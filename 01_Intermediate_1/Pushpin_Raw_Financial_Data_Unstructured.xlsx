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2cf3b37d42de646/STUDIES/Excel Course/Excel Skills for Business-Intermediate 1/Excel Skills for Business-Intermediate 1 (Portfolio)/"/>
    </mc:Choice>
  </mc:AlternateContent>
  <xr:revisionPtr revIDLastSave="14" documentId="8_{4ECCC369-F6FA-41EE-A39B-8CB994F080CD}" xr6:coauthVersionLast="47" xr6:coauthVersionMax="47" xr10:uidLastSave="{A58C5026-B47D-4CF0-BCC2-FFBDDAEDDCF0}"/>
  <bookViews>
    <workbookView xWindow="2400" yWindow="-16320" windowWidth="29040" windowHeight="15720" firstSheet="2" activeTab="12" xr2:uid="{ECB2D43A-E8D4-4E07-A4B6-803A7236AC78}"/>
  </bookViews>
  <sheets>
    <sheet name="HR Q3" sheetId="4" r:id="rId1"/>
    <sheet name="Sheet2" sheetId="2" r:id="rId2"/>
    <sheet name="Sheet1" sheetId="1" r:id="rId3"/>
    <sheet name="Sheet3" sheetId="3" r:id="rId4"/>
    <sheet name="Sheet1 (2)" sheetId="5" r:id="rId5"/>
    <sheet name="Staff" sheetId="6" r:id="rId6"/>
    <sheet name="Stats" sheetId="7" r:id="rId7"/>
    <sheet name="Orders" sheetId="8" r:id="rId8"/>
    <sheet name="Sales Dash" sheetId="9" r:id="rId9"/>
    <sheet name="Staff (2)" sheetId="10" r:id="rId10"/>
    <sheet name="Stats (2)" sheetId="11" r:id="rId11"/>
    <sheet name="Orders (2)" sheetId="12" r:id="rId12"/>
    <sheet name="Sales Dash (2)" sheetId="13" r:id="rId13"/>
  </sheets>
  <externalReferences>
    <externalReference r:id="rId14"/>
  </externalReferences>
  <definedNames>
    <definedName name="_xlnm._FilterDatabase" localSheetId="7" hidden="1">Orders!$A$5:$Y$1044</definedName>
    <definedName name="_xlnm._FilterDatabase" localSheetId="11" hidden="1">'Orders (2)'!$A$5:$Y$1044</definedName>
    <definedName name="_xlnm._FilterDatabase" localSheetId="4" hidden="1">'Sheet1 (2)'!$A$4:$J$24</definedName>
    <definedName name="_xlnm._FilterDatabase" localSheetId="5" hidden="1">Staff!$A$4:$H$24</definedName>
    <definedName name="_xlnm._FilterDatabase" localSheetId="9" hidden="1">'Staff (2)'!$A$4:$H$24</definedName>
    <definedName name="Account_Manager">Orders!$I$6:$I$1044</definedName>
    <definedName name="Address">Orders!$E$6:$E$1044</definedName>
    <definedName name="Annual_Salary">'Staff (2)'!$N$4:$N$38</definedName>
    <definedName name="City">Orders!$F$6:$F$1044</definedName>
    <definedName name="Cost_Price">Orders!$P$6:$P$1044</definedName>
    <definedName name="Customer_Name">Orders!$D$6:$D$1044</definedName>
    <definedName name="Customer_Type">Orders!$H$6:$H$1044</definedName>
    <definedName name="Date_of_Hire">'Staff (2)'!$F$4:$F$38</definedName>
    <definedName name="Department">'Staff (2)'!$H$4:$H$38</definedName>
    <definedName name="Discount">Orders!$V$6:$V$1044</definedName>
    <definedName name="Email">'Staff (2)'!$E$4:$E$38</definedName>
    <definedName name="Emp_ID">'Staff (2)'!$A$4:$A$38</definedName>
    <definedName name="Extension">'Staff (2)'!$K$4:$K$38</definedName>
    <definedName name="First">'Staff (2)'!$C$4:$C$38</definedName>
    <definedName name="Floor">'Staff (2)'!$J$4:$J$38</definedName>
    <definedName name="Gender">'Staff (2)'!$D$4:$D$38</definedName>
    <definedName name="Last">'Staff (2)'!$B$4:$B$38</definedName>
    <definedName name="Last_Review">'Staff (2)'!$L$4:$L$38</definedName>
    <definedName name="Location">'Staff (2)'!$I$4:$I$38</definedName>
    <definedName name="Mileage_Rate">[1]Sean!$C$4</definedName>
    <definedName name="MileageRate" localSheetId="0">'HR Q3'!$C$4</definedName>
    <definedName name="MileageRate" localSheetId="1">Sheet2!$C$4</definedName>
    <definedName name="MileageRate" localSheetId="3">Sheet3!$C$4</definedName>
    <definedName name="MileageRate">Sheet1!$C$4</definedName>
    <definedName name="Next_Review">'Staff (2)'!$M$4:$M$38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Orders!$S$6:$S$1044</definedName>
    <definedName name="Order_Total">Orders!$W$6:$W$1044</definedName>
    <definedName name="Order_Year">Orders!$C$6:$C$1044</definedName>
    <definedName name="Pension">'Staff (2)'!$O$4:$O$38</definedName>
    <definedName name="Pension_Rate">'Staff (2)'!$P$1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Orders!$R$6:$R$1044</definedName>
    <definedName name="Retail_Price">Orders!$Q$6:$Q$1044</definedName>
    <definedName name="Ship_Date">Orders!$O$6:$O$1044</definedName>
    <definedName name="Ship_Mode">Orders!$N$6:$N$1044</definedName>
    <definedName name="Ship_Time">Orders!#REF!</definedName>
    <definedName name="Shipping_Cost">Orders!$X$6:$X$1044</definedName>
    <definedName name="State">Orders!$G$6:$G$1044</definedName>
    <definedName name="Sub_Total">Orders!$T$6:$T$1044</definedName>
    <definedName name="Total">Orders!$Y$6:$Y$1044</definedName>
    <definedName name="WeekEnding" localSheetId="0">'HR Q3'!$C$3</definedName>
    <definedName name="WeekEnding" localSheetId="1">Sheet2!$C$3</definedName>
    <definedName name="WeekEnding" localSheetId="3">Sheet3!$C$3</definedName>
    <definedName name="WeekEnding">Sheet1!$C$3</definedName>
    <definedName name="Years_Service">'Staff (2)'!$G$4:$G$38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F7" i="1" s="1"/>
  <c r="C8" i="1"/>
  <c r="D8" i="1"/>
  <c r="D14" i="1" s="1"/>
  <c r="D31" i="1" s="1"/>
  <c r="F9" i="1"/>
  <c r="F10" i="1"/>
  <c r="F11" i="1"/>
  <c r="F12" i="1"/>
  <c r="F13" i="1"/>
  <c r="C14" i="1"/>
  <c r="C31" i="1" s="1"/>
  <c r="F17" i="1"/>
  <c r="F18" i="1"/>
  <c r="F21" i="1" s="1"/>
  <c r="F19" i="1"/>
  <c r="F20" i="1"/>
  <c r="C21" i="1"/>
  <c r="D21" i="1"/>
  <c r="E21" i="1"/>
  <c r="F24" i="1"/>
  <c r="F25" i="1"/>
  <c r="F29" i="1" s="1"/>
  <c r="F26" i="1"/>
  <c r="F27" i="1"/>
  <c r="F28" i="1"/>
  <c r="C29" i="1"/>
  <c r="D29" i="1"/>
  <c r="E29" i="1"/>
  <c r="E42" i="13"/>
  <c r="D42" i="13"/>
  <c r="C42" i="13"/>
  <c r="B42" i="13"/>
  <c r="E41" i="13"/>
  <c r="D41" i="13"/>
  <c r="C41" i="13"/>
  <c r="B41" i="13"/>
  <c r="E40" i="13"/>
  <c r="D40" i="13"/>
  <c r="C40" i="13"/>
  <c r="B40" i="13"/>
  <c r="E39" i="13"/>
  <c r="D39" i="13"/>
  <c r="C39" i="13"/>
  <c r="B39" i="13"/>
  <c r="E38" i="13"/>
  <c r="D38" i="13"/>
  <c r="C38" i="13"/>
  <c r="B38" i="13"/>
  <c r="F34" i="13"/>
  <c r="E34" i="13"/>
  <c r="D34" i="13"/>
  <c r="C34" i="13"/>
  <c r="B34" i="13"/>
  <c r="F33" i="13"/>
  <c r="E33" i="13"/>
  <c r="D33" i="13"/>
  <c r="C33" i="13"/>
  <c r="B33" i="13"/>
  <c r="F32" i="13"/>
  <c r="E32" i="13"/>
  <c r="D32" i="13"/>
  <c r="C32" i="13"/>
  <c r="B32" i="13"/>
  <c r="F31" i="13"/>
  <c r="E31" i="13"/>
  <c r="D31" i="13"/>
  <c r="C31" i="13"/>
  <c r="B31" i="13"/>
  <c r="F30" i="13"/>
  <c r="E30" i="13"/>
  <c r="D30" i="13"/>
  <c r="C30" i="13"/>
  <c r="B30" i="13"/>
  <c r="F29" i="13"/>
  <c r="E29" i="13"/>
  <c r="D29" i="13"/>
  <c r="C29" i="13"/>
  <c r="B29" i="13"/>
  <c r="F28" i="13"/>
  <c r="E28" i="13"/>
  <c r="D28" i="13"/>
  <c r="C28" i="13"/>
  <c r="B28" i="13"/>
  <c r="F27" i="13"/>
  <c r="E27" i="13"/>
  <c r="D27" i="13"/>
  <c r="C27" i="13"/>
  <c r="B27" i="13"/>
  <c r="F26" i="13"/>
  <c r="E26" i="13"/>
  <c r="D26" i="13"/>
  <c r="C26" i="13"/>
  <c r="B26" i="13"/>
  <c r="F25" i="13"/>
  <c r="E25" i="13"/>
  <c r="D25" i="13"/>
  <c r="C25" i="13"/>
  <c r="B25" i="13"/>
  <c r="F24" i="13"/>
  <c r="E24" i="13"/>
  <c r="D24" i="13"/>
  <c r="C24" i="13"/>
  <c r="B24" i="13"/>
  <c r="F23" i="13"/>
  <c r="E23" i="13"/>
  <c r="D23" i="13"/>
  <c r="C23" i="13"/>
  <c r="B23" i="13"/>
  <c r="F22" i="13"/>
  <c r="E22" i="13"/>
  <c r="D22" i="13"/>
  <c r="C22" i="13"/>
  <c r="B22" i="13"/>
  <c r="F21" i="13"/>
  <c r="E21" i="13"/>
  <c r="D21" i="13"/>
  <c r="C21" i="13"/>
  <c r="B21" i="13"/>
  <c r="B17" i="13"/>
  <c r="C14" i="13"/>
  <c r="B14" i="13"/>
  <c r="C13" i="13"/>
  <c r="B13" i="13"/>
  <c r="C12" i="13"/>
  <c r="B12" i="13"/>
  <c r="C11" i="13"/>
  <c r="B11" i="13"/>
  <c r="C7" i="13"/>
  <c r="B7" i="13"/>
  <c r="C6" i="13"/>
  <c r="B6" i="13"/>
  <c r="C5" i="13"/>
  <c r="B5" i="13"/>
  <c r="T1044" i="12"/>
  <c r="R1044" i="12"/>
  <c r="C1044" i="12"/>
  <c r="T1043" i="12"/>
  <c r="R1043" i="12"/>
  <c r="C1043" i="12"/>
  <c r="W1042" i="12"/>
  <c r="Y1042" i="12" s="1"/>
  <c r="V1042" i="12"/>
  <c r="T1042" i="12"/>
  <c r="R1042" i="12"/>
  <c r="C1042" i="12"/>
  <c r="V1041" i="12"/>
  <c r="T1041" i="12"/>
  <c r="R1041" i="12"/>
  <c r="C1041" i="12"/>
  <c r="W1040" i="12"/>
  <c r="Y1040" i="12" s="1"/>
  <c r="V1040" i="12"/>
  <c r="T1040" i="12"/>
  <c r="R1040" i="12"/>
  <c r="C1040" i="12"/>
  <c r="T1039" i="12"/>
  <c r="R1039" i="12"/>
  <c r="C1039" i="12"/>
  <c r="V1038" i="12"/>
  <c r="W1038" i="12" s="1"/>
  <c r="Y1038" i="12" s="1"/>
  <c r="T1038" i="12"/>
  <c r="R1038" i="12"/>
  <c r="C1038" i="12"/>
  <c r="T1037" i="12"/>
  <c r="V1037" i="12" s="1"/>
  <c r="W1037" i="12" s="1"/>
  <c r="Y1037" i="12" s="1"/>
  <c r="R1037" i="12"/>
  <c r="C1037" i="12"/>
  <c r="W1036" i="12"/>
  <c r="Y1036" i="12" s="1"/>
  <c r="V1036" i="12"/>
  <c r="T1036" i="12"/>
  <c r="R1036" i="12"/>
  <c r="C1036" i="12"/>
  <c r="V1035" i="12"/>
  <c r="T1035" i="12"/>
  <c r="R1035" i="12"/>
  <c r="C1035" i="12"/>
  <c r="V1034" i="12"/>
  <c r="W1034" i="12" s="1"/>
  <c r="Y1034" i="12" s="1"/>
  <c r="T1034" i="12"/>
  <c r="R1034" i="12"/>
  <c r="C1034" i="12"/>
  <c r="Y1033" i="12"/>
  <c r="W1033" i="12"/>
  <c r="V1033" i="12"/>
  <c r="T1033" i="12"/>
  <c r="R1033" i="12"/>
  <c r="C1033" i="12"/>
  <c r="T1032" i="12"/>
  <c r="R1032" i="12"/>
  <c r="C1032" i="12"/>
  <c r="T1031" i="12"/>
  <c r="R1031" i="12"/>
  <c r="C1031" i="12"/>
  <c r="W1030" i="12"/>
  <c r="Y1030" i="12" s="1"/>
  <c r="V1030" i="12"/>
  <c r="T1030" i="12"/>
  <c r="R1030" i="12"/>
  <c r="C1030" i="12"/>
  <c r="T1029" i="12"/>
  <c r="R1029" i="12"/>
  <c r="C1029" i="12"/>
  <c r="T1028" i="12"/>
  <c r="V1028" i="12" s="1"/>
  <c r="R1028" i="12"/>
  <c r="C1028" i="12"/>
  <c r="T1027" i="12"/>
  <c r="R1027" i="12"/>
  <c r="C1027" i="12"/>
  <c r="V1026" i="12"/>
  <c r="W1026" i="12" s="1"/>
  <c r="Y1026" i="12" s="1"/>
  <c r="T1026" i="12"/>
  <c r="R1026" i="12"/>
  <c r="C1026" i="12"/>
  <c r="V1025" i="12"/>
  <c r="W1025" i="12" s="1"/>
  <c r="Y1025" i="12" s="1"/>
  <c r="T1025" i="12"/>
  <c r="R1025" i="12"/>
  <c r="C1025" i="12"/>
  <c r="W1024" i="12"/>
  <c r="Y1024" i="12" s="1"/>
  <c r="V1024" i="12"/>
  <c r="T1024" i="12"/>
  <c r="R1024" i="12"/>
  <c r="C1024" i="12"/>
  <c r="T1023" i="12"/>
  <c r="R1023" i="12"/>
  <c r="C1023" i="12"/>
  <c r="V1022" i="12"/>
  <c r="W1022" i="12" s="1"/>
  <c r="Y1022" i="12" s="1"/>
  <c r="T1022" i="12"/>
  <c r="R1022" i="12"/>
  <c r="C1022" i="12"/>
  <c r="Y1021" i="12"/>
  <c r="W1021" i="12"/>
  <c r="V1021" i="12"/>
  <c r="T1021" i="12"/>
  <c r="R1021" i="12"/>
  <c r="C1021" i="12"/>
  <c r="T1020" i="12"/>
  <c r="R1020" i="12"/>
  <c r="C1020" i="12"/>
  <c r="V1019" i="12"/>
  <c r="T1019" i="12"/>
  <c r="R1019" i="12"/>
  <c r="C1019" i="12"/>
  <c r="W1018" i="12"/>
  <c r="Y1018" i="12" s="1"/>
  <c r="V1018" i="12"/>
  <c r="T1018" i="12"/>
  <c r="R1018" i="12"/>
  <c r="C1018" i="12"/>
  <c r="T1017" i="12"/>
  <c r="R1017" i="12"/>
  <c r="C1017" i="12"/>
  <c r="T1016" i="12"/>
  <c r="R1016" i="12"/>
  <c r="C1016" i="12"/>
  <c r="T1015" i="12"/>
  <c r="R1015" i="12"/>
  <c r="C1015" i="12"/>
  <c r="W1014" i="12"/>
  <c r="Y1014" i="12" s="1"/>
  <c r="V1014" i="12"/>
  <c r="T1014" i="12"/>
  <c r="R1014" i="12"/>
  <c r="C1014" i="12"/>
  <c r="V1013" i="12"/>
  <c r="T1013" i="12"/>
  <c r="R1013" i="12"/>
  <c r="C1013" i="12"/>
  <c r="Y1012" i="12"/>
  <c r="T1012" i="12"/>
  <c r="V1012" i="12" s="1"/>
  <c r="W1012" i="12" s="1"/>
  <c r="R1012" i="12"/>
  <c r="C1012" i="12"/>
  <c r="T1011" i="12"/>
  <c r="R1011" i="12"/>
  <c r="C1011" i="12"/>
  <c r="W1010" i="12"/>
  <c r="Y1010" i="12" s="1"/>
  <c r="V1010" i="12"/>
  <c r="T1010" i="12"/>
  <c r="R1010" i="12"/>
  <c r="C1010" i="12"/>
  <c r="T1009" i="12"/>
  <c r="R1009" i="12"/>
  <c r="C1009" i="12"/>
  <c r="Y1008" i="12"/>
  <c r="W1008" i="12"/>
  <c r="V1008" i="12"/>
  <c r="T1008" i="12"/>
  <c r="R1008" i="12"/>
  <c r="C1008" i="12"/>
  <c r="T1007" i="12"/>
  <c r="R1007" i="12"/>
  <c r="C1007" i="12"/>
  <c r="V1006" i="12"/>
  <c r="W1006" i="12" s="1"/>
  <c r="Y1006" i="12" s="1"/>
  <c r="T1006" i="12"/>
  <c r="R1006" i="12"/>
  <c r="C1006" i="12"/>
  <c r="T1005" i="12"/>
  <c r="V1005" i="12" s="1"/>
  <c r="W1005" i="12" s="1"/>
  <c r="Y1005" i="12" s="1"/>
  <c r="R1005" i="12"/>
  <c r="C1005" i="12"/>
  <c r="T1004" i="12"/>
  <c r="V1004" i="12" s="1"/>
  <c r="R1004" i="12"/>
  <c r="C1004" i="12"/>
  <c r="T1003" i="12"/>
  <c r="R1003" i="12"/>
  <c r="C1003" i="12"/>
  <c r="V1002" i="12"/>
  <c r="W1002" i="12" s="1"/>
  <c r="Y1002" i="12" s="1"/>
  <c r="T1002" i="12"/>
  <c r="R1002" i="12"/>
  <c r="C1002" i="12"/>
  <c r="Y1001" i="12"/>
  <c r="W1001" i="12"/>
  <c r="V1001" i="12"/>
  <c r="T1001" i="12"/>
  <c r="R1001" i="12"/>
  <c r="C1001" i="12"/>
  <c r="T1000" i="12"/>
  <c r="R1000" i="12"/>
  <c r="C1000" i="12"/>
  <c r="V999" i="12"/>
  <c r="T999" i="12"/>
  <c r="R999" i="12"/>
  <c r="C999" i="12"/>
  <c r="W998" i="12"/>
  <c r="Y998" i="12" s="1"/>
  <c r="V998" i="12"/>
  <c r="T998" i="12"/>
  <c r="R998" i="12"/>
  <c r="C998" i="12"/>
  <c r="T997" i="12"/>
  <c r="R997" i="12"/>
  <c r="C997" i="12"/>
  <c r="W996" i="12"/>
  <c r="Y996" i="12" s="1"/>
  <c r="V996" i="12"/>
  <c r="T996" i="12"/>
  <c r="R996" i="12"/>
  <c r="C996" i="12"/>
  <c r="T995" i="12"/>
  <c r="R995" i="12"/>
  <c r="C995" i="12"/>
  <c r="Y994" i="12"/>
  <c r="W994" i="12"/>
  <c r="V994" i="12"/>
  <c r="T994" i="12"/>
  <c r="R994" i="12"/>
  <c r="C994" i="12"/>
  <c r="V993" i="12"/>
  <c r="W993" i="12" s="1"/>
  <c r="Y993" i="12" s="1"/>
  <c r="T993" i="12"/>
  <c r="R993" i="12"/>
  <c r="C993" i="12"/>
  <c r="T992" i="12"/>
  <c r="R992" i="12"/>
  <c r="C992" i="12"/>
  <c r="T991" i="12"/>
  <c r="R991" i="12"/>
  <c r="C991" i="12"/>
  <c r="V990" i="12"/>
  <c r="W990" i="12" s="1"/>
  <c r="Y990" i="12" s="1"/>
  <c r="T990" i="12"/>
  <c r="R990" i="12"/>
  <c r="C990" i="12"/>
  <c r="V989" i="12"/>
  <c r="W989" i="12" s="1"/>
  <c r="Y989" i="12" s="1"/>
  <c r="T989" i="12"/>
  <c r="R989" i="12"/>
  <c r="C989" i="12"/>
  <c r="V988" i="12"/>
  <c r="T988" i="12"/>
  <c r="R988" i="12"/>
  <c r="C988" i="12"/>
  <c r="V987" i="12"/>
  <c r="T987" i="12"/>
  <c r="R987" i="12"/>
  <c r="C987" i="12"/>
  <c r="W986" i="12"/>
  <c r="Y986" i="12" s="1"/>
  <c r="V986" i="12"/>
  <c r="T986" i="12"/>
  <c r="R986" i="12"/>
  <c r="C986" i="12"/>
  <c r="W985" i="12"/>
  <c r="Y985" i="12" s="1"/>
  <c r="V985" i="12"/>
  <c r="T985" i="12"/>
  <c r="R985" i="12"/>
  <c r="C985" i="12"/>
  <c r="T984" i="12"/>
  <c r="R984" i="12"/>
  <c r="C984" i="12"/>
  <c r="T983" i="12"/>
  <c r="R983" i="12"/>
  <c r="C983" i="12"/>
  <c r="V982" i="12"/>
  <c r="W982" i="12" s="1"/>
  <c r="Y982" i="12" s="1"/>
  <c r="T982" i="12"/>
  <c r="R982" i="12"/>
  <c r="C982" i="12"/>
  <c r="V981" i="12"/>
  <c r="T981" i="12"/>
  <c r="R981" i="12"/>
  <c r="C981" i="12"/>
  <c r="Y980" i="12"/>
  <c r="W980" i="12"/>
  <c r="T980" i="12"/>
  <c r="V980" i="12" s="1"/>
  <c r="R980" i="12"/>
  <c r="C980" i="12"/>
  <c r="T979" i="12"/>
  <c r="R979" i="12"/>
  <c r="C979" i="12"/>
  <c r="V978" i="12"/>
  <c r="W978" i="12" s="1"/>
  <c r="Y978" i="12" s="1"/>
  <c r="T978" i="12"/>
  <c r="R978" i="12"/>
  <c r="C978" i="12"/>
  <c r="T977" i="12"/>
  <c r="R977" i="12"/>
  <c r="C977" i="12"/>
  <c r="V976" i="12"/>
  <c r="W976" i="12" s="1"/>
  <c r="Y976" i="12" s="1"/>
  <c r="T976" i="12"/>
  <c r="R976" i="12"/>
  <c r="C976" i="12"/>
  <c r="T975" i="12"/>
  <c r="R975" i="12"/>
  <c r="C975" i="12"/>
  <c r="V974" i="12"/>
  <c r="W974" i="12" s="1"/>
  <c r="Y974" i="12" s="1"/>
  <c r="T974" i="12"/>
  <c r="R974" i="12"/>
  <c r="C974" i="12"/>
  <c r="W973" i="12"/>
  <c r="Y973" i="12" s="1"/>
  <c r="T973" i="12"/>
  <c r="V973" i="12" s="1"/>
  <c r="R973" i="12"/>
  <c r="C973" i="12"/>
  <c r="W972" i="12"/>
  <c r="Y972" i="12" s="1"/>
  <c r="V972" i="12"/>
  <c r="T972" i="12"/>
  <c r="R972" i="12"/>
  <c r="C972" i="12"/>
  <c r="T971" i="12"/>
  <c r="R971" i="12"/>
  <c r="C971" i="12"/>
  <c r="V970" i="12"/>
  <c r="W970" i="12" s="1"/>
  <c r="Y970" i="12" s="1"/>
  <c r="T970" i="12"/>
  <c r="R970" i="12"/>
  <c r="C970" i="12"/>
  <c r="W969" i="12"/>
  <c r="Y969" i="12" s="1"/>
  <c r="V969" i="12"/>
  <c r="T969" i="12"/>
  <c r="R969" i="12"/>
  <c r="C969" i="12"/>
  <c r="V968" i="12"/>
  <c r="T968" i="12"/>
  <c r="R968" i="12"/>
  <c r="C968" i="12"/>
  <c r="T967" i="12"/>
  <c r="R967" i="12"/>
  <c r="C967" i="12"/>
  <c r="W966" i="12"/>
  <c r="Y966" i="12" s="1"/>
  <c r="V966" i="12"/>
  <c r="T966" i="12"/>
  <c r="R966" i="12"/>
  <c r="C966" i="12"/>
  <c r="V965" i="12"/>
  <c r="T965" i="12"/>
  <c r="R965" i="12"/>
  <c r="C965" i="12"/>
  <c r="V964" i="12"/>
  <c r="W964" i="12" s="1"/>
  <c r="Y964" i="12" s="1"/>
  <c r="T964" i="12"/>
  <c r="R964" i="12"/>
  <c r="C964" i="12"/>
  <c r="T963" i="12"/>
  <c r="R963" i="12"/>
  <c r="C963" i="12"/>
  <c r="W962" i="12"/>
  <c r="Y962" i="12" s="1"/>
  <c r="V962" i="12"/>
  <c r="T962" i="12"/>
  <c r="R962" i="12"/>
  <c r="C962" i="12"/>
  <c r="T961" i="12"/>
  <c r="R961" i="12"/>
  <c r="C961" i="12"/>
  <c r="W960" i="12"/>
  <c r="Y960" i="12" s="1"/>
  <c r="V960" i="12"/>
  <c r="T960" i="12"/>
  <c r="R960" i="12"/>
  <c r="C960" i="12"/>
  <c r="T959" i="12"/>
  <c r="R959" i="12"/>
  <c r="C959" i="12"/>
  <c r="V958" i="12"/>
  <c r="W958" i="12" s="1"/>
  <c r="Y958" i="12" s="1"/>
  <c r="T958" i="12"/>
  <c r="R958" i="12"/>
  <c r="C958" i="12"/>
  <c r="Y957" i="12"/>
  <c r="W957" i="12"/>
  <c r="V957" i="12"/>
  <c r="T957" i="12"/>
  <c r="R957" i="12"/>
  <c r="C957" i="12"/>
  <c r="V956" i="12"/>
  <c r="T956" i="12"/>
  <c r="R956" i="12"/>
  <c r="C956" i="12"/>
  <c r="V955" i="12"/>
  <c r="T955" i="12"/>
  <c r="R955" i="12"/>
  <c r="C955" i="12"/>
  <c r="V954" i="12"/>
  <c r="W954" i="12" s="1"/>
  <c r="Y954" i="12" s="1"/>
  <c r="T954" i="12"/>
  <c r="R954" i="12"/>
  <c r="C954" i="12"/>
  <c r="V953" i="12"/>
  <c r="W953" i="12" s="1"/>
  <c r="Y953" i="12" s="1"/>
  <c r="T953" i="12"/>
  <c r="R953" i="12"/>
  <c r="C953" i="12"/>
  <c r="T952" i="12"/>
  <c r="R952" i="12"/>
  <c r="C952" i="12"/>
  <c r="V951" i="12"/>
  <c r="T951" i="12"/>
  <c r="R951" i="12"/>
  <c r="C951" i="12"/>
  <c r="W950" i="12"/>
  <c r="Y950" i="12" s="1"/>
  <c r="V950" i="12"/>
  <c r="T950" i="12"/>
  <c r="R950" i="12"/>
  <c r="C950" i="12"/>
  <c r="V949" i="12"/>
  <c r="T949" i="12"/>
  <c r="R949" i="12"/>
  <c r="C949" i="12"/>
  <c r="W948" i="12"/>
  <c r="Y948" i="12" s="1"/>
  <c r="T948" i="12"/>
  <c r="V948" i="12" s="1"/>
  <c r="R948" i="12"/>
  <c r="C948" i="12"/>
  <c r="T947" i="12"/>
  <c r="R947" i="12"/>
  <c r="C947" i="12"/>
  <c r="V946" i="12"/>
  <c r="W946" i="12" s="1"/>
  <c r="Y946" i="12" s="1"/>
  <c r="T946" i="12"/>
  <c r="R946" i="12"/>
  <c r="C946" i="12"/>
  <c r="T945" i="12"/>
  <c r="R945" i="12"/>
  <c r="C945" i="12"/>
  <c r="W944" i="12"/>
  <c r="Y944" i="12" s="1"/>
  <c r="V944" i="12"/>
  <c r="T944" i="12"/>
  <c r="R944" i="12"/>
  <c r="C944" i="12"/>
  <c r="T943" i="12"/>
  <c r="R943" i="12"/>
  <c r="C943" i="12"/>
  <c r="V942" i="12"/>
  <c r="W942" i="12" s="1"/>
  <c r="Y942" i="12" s="1"/>
  <c r="T942" i="12"/>
  <c r="R942" i="12"/>
  <c r="C942" i="12"/>
  <c r="W941" i="12"/>
  <c r="Y941" i="12" s="1"/>
  <c r="T941" i="12"/>
  <c r="V941" i="12" s="1"/>
  <c r="R941" i="12"/>
  <c r="C941" i="12"/>
  <c r="W940" i="12"/>
  <c r="Y940" i="12" s="1"/>
  <c r="V940" i="12"/>
  <c r="T940" i="12"/>
  <c r="R940" i="12"/>
  <c r="C940" i="12"/>
  <c r="T939" i="12"/>
  <c r="R939" i="12"/>
  <c r="C939" i="12"/>
  <c r="Y938" i="12"/>
  <c r="V938" i="12"/>
  <c r="W938" i="12" s="1"/>
  <c r="T938" i="12"/>
  <c r="R938" i="12"/>
  <c r="C938" i="12"/>
  <c r="Y937" i="12"/>
  <c r="W937" i="12"/>
  <c r="V937" i="12"/>
  <c r="T937" i="12"/>
  <c r="R937" i="12"/>
  <c r="C937" i="12"/>
  <c r="T936" i="12"/>
  <c r="R936" i="12"/>
  <c r="C936" i="12"/>
  <c r="T935" i="12"/>
  <c r="R935" i="12"/>
  <c r="C935" i="12"/>
  <c r="W934" i="12"/>
  <c r="Y934" i="12" s="1"/>
  <c r="V934" i="12"/>
  <c r="T934" i="12"/>
  <c r="R934" i="12"/>
  <c r="C934" i="12"/>
  <c r="V933" i="12"/>
  <c r="T933" i="12"/>
  <c r="R933" i="12"/>
  <c r="C933" i="12"/>
  <c r="Y932" i="12"/>
  <c r="W932" i="12"/>
  <c r="V932" i="12"/>
  <c r="T932" i="12"/>
  <c r="R932" i="12"/>
  <c r="C932" i="12"/>
  <c r="T931" i="12"/>
  <c r="R931" i="12"/>
  <c r="C931" i="12"/>
  <c r="Y930" i="12"/>
  <c r="W930" i="12"/>
  <c r="V930" i="12"/>
  <c r="T930" i="12"/>
  <c r="R930" i="12"/>
  <c r="C930" i="12"/>
  <c r="W929" i="12"/>
  <c r="Y929" i="12" s="1"/>
  <c r="V929" i="12"/>
  <c r="T929" i="12"/>
  <c r="R929" i="12"/>
  <c r="C929" i="12"/>
  <c r="V928" i="12"/>
  <c r="T928" i="12"/>
  <c r="R928" i="12"/>
  <c r="C928" i="12"/>
  <c r="T927" i="12"/>
  <c r="R927" i="12"/>
  <c r="C927" i="12"/>
  <c r="W926" i="12"/>
  <c r="Y926" i="12" s="1"/>
  <c r="V926" i="12"/>
  <c r="T926" i="12"/>
  <c r="R926" i="12"/>
  <c r="C926" i="12"/>
  <c r="W925" i="12"/>
  <c r="Y925" i="12" s="1"/>
  <c r="T925" i="12"/>
  <c r="V925" i="12" s="1"/>
  <c r="R925" i="12"/>
  <c r="C925" i="12"/>
  <c r="V924" i="12"/>
  <c r="T924" i="12"/>
  <c r="R924" i="12"/>
  <c r="C924" i="12"/>
  <c r="V923" i="12"/>
  <c r="T923" i="12"/>
  <c r="R923" i="12"/>
  <c r="C923" i="12"/>
  <c r="V922" i="12"/>
  <c r="W922" i="12" s="1"/>
  <c r="Y922" i="12" s="1"/>
  <c r="T922" i="12"/>
  <c r="R922" i="12"/>
  <c r="C922" i="12"/>
  <c r="W921" i="12"/>
  <c r="Y921" i="12" s="1"/>
  <c r="V921" i="12"/>
  <c r="T921" i="12"/>
  <c r="R921" i="12"/>
  <c r="C921" i="12"/>
  <c r="T920" i="12"/>
  <c r="R920" i="12"/>
  <c r="C920" i="12"/>
  <c r="T919" i="12"/>
  <c r="R919" i="12"/>
  <c r="C919" i="12"/>
  <c r="W918" i="12"/>
  <c r="Y918" i="12" s="1"/>
  <c r="V918" i="12"/>
  <c r="T918" i="12"/>
  <c r="R918" i="12"/>
  <c r="C918" i="12"/>
  <c r="V917" i="12"/>
  <c r="T917" i="12"/>
  <c r="R917" i="12"/>
  <c r="C917" i="12"/>
  <c r="Y916" i="12"/>
  <c r="W916" i="12"/>
  <c r="T916" i="12"/>
  <c r="V916" i="12" s="1"/>
  <c r="R916" i="12"/>
  <c r="C916" i="12"/>
  <c r="V915" i="12"/>
  <c r="T915" i="12"/>
  <c r="R915" i="12"/>
  <c r="C915" i="12"/>
  <c r="V914" i="12"/>
  <c r="W914" i="12" s="1"/>
  <c r="Y914" i="12" s="1"/>
  <c r="T914" i="12"/>
  <c r="R914" i="12"/>
  <c r="C914" i="12"/>
  <c r="T913" i="12"/>
  <c r="R913" i="12"/>
  <c r="C913" i="12"/>
  <c r="W912" i="12"/>
  <c r="Y912" i="12" s="1"/>
  <c r="V912" i="12"/>
  <c r="T912" i="12"/>
  <c r="R912" i="12"/>
  <c r="C912" i="12"/>
  <c r="T911" i="12"/>
  <c r="R911" i="12"/>
  <c r="C911" i="12"/>
  <c r="V910" i="12"/>
  <c r="W910" i="12" s="1"/>
  <c r="Y910" i="12" s="1"/>
  <c r="T910" i="12"/>
  <c r="R910" i="12"/>
  <c r="C910" i="12"/>
  <c r="W909" i="12"/>
  <c r="Y909" i="12" s="1"/>
  <c r="T909" i="12"/>
  <c r="V909" i="12" s="1"/>
  <c r="R909" i="12"/>
  <c r="C909" i="12"/>
  <c r="Y908" i="12"/>
  <c r="W908" i="12"/>
  <c r="V908" i="12"/>
  <c r="T908" i="12"/>
  <c r="R908" i="12"/>
  <c r="C908" i="12"/>
  <c r="T907" i="12"/>
  <c r="R907" i="12"/>
  <c r="C907" i="12"/>
  <c r="V906" i="12"/>
  <c r="W906" i="12" s="1"/>
  <c r="Y906" i="12" s="1"/>
  <c r="T906" i="12"/>
  <c r="R906" i="12"/>
  <c r="C906" i="12"/>
  <c r="W905" i="12"/>
  <c r="Y905" i="12" s="1"/>
  <c r="V905" i="12"/>
  <c r="T905" i="12"/>
  <c r="R905" i="12"/>
  <c r="C905" i="12"/>
  <c r="V904" i="12"/>
  <c r="W904" i="12" s="1"/>
  <c r="Y904" i="12" s="1"/>
  <c r="T904" i="12"/>
  <c r="R904" i="12"/>
  <c r="C904" i="12"/>
  <c r="V903" i="12"/>
  <c r="T903" i="12"/>
  <c r="R903" i="12"/>
  <c r="C903" i="12"/>
  <c r="Y902" i="12"/>
  <c r="W902" i="12"/>
  <c r="V902" i="12"/>
  <c r="T902" i="12"/>
  <c r="R902" i="12"/>
  <c r="C902" i="12"/>
  <c r="T901" i="12"/>
  <c r="R901" i="12"/>
  <c r="C901" i="12"/>
  <c r="Y900" i="12"/>
  <c r="W900" i="12"/>
  <c r="T900" i="12"/>
  <c r="V900" i="12" s="1"/>
  <c r="R900" i="12"/>
  <c r="C900" i="12"/>
  <c r="T899" i="12"/>
  <c r="R899" i="12"/>
  <c r="C899" i="12"/>
  <c r="Y898" i="12"/>
  <c r="V898" i="12"/>
  <c r="W898" i="12" s="1"/>
  <c r="T898" i="12"/>
  <c r="R898" i="12"/>
  <c r="C898" i="12"/>
  <c r="V897" i="12"/>
  <c r="T897" i="12"/>
  <c r="R897" i="12"/>
  <c r="C897" i="12"/>
  <c r="W896" i="12"/>
  <c r="Y896" i="12" s="1"/>
  <c r="V896" i="12"/>
  <c r="T896" i="12"/>
  <c r="R896" i="12"/>
  <c r="C896" i="12"/>
  <c r="T895" i="12"/>
  <c r="R895" i="12"/>
  <c r="C895" i="12"/>
  <c r="V894" i="12"/>
  <c r="W894" i="12" s="1"/>
  <c r="Y894" i="12" s="1"/>
  <c r="T894" i="12"/>
  <c r="R894" i="12"/>
  <c r="C894" i="12"/>
  <c r="Y893" i="12"/>
  <c r="W893" i="12"/>
  <c r="V893" i="12"/>
  <c r="T893" i="12"/>
  <c r="R893" i="12"/>
  <c r="C893" i="12"/>
  <c r="T892" i="12"/>
  <c r="R892" i="12"/>
  <c r="C892" i="12"/>
  <c r="V891" i="12"/>
  <c r="T891" i="12"/>
  <c r="R891" i="12"/>
  <c r="C891" i="12"/>
  <c r="V890" i="12"/>
  <c r="W890" i="12" s="1"/>
  <c r="Y890" i="12" s="1"/>
  <c r="T890" i="12"/>
  <c r="R890" i="12"/>
  <c r="C890" i="12"/>
  <c r="W889" i="12"/>
  <c r="Y889" i="12" s="1"/>
  <c r="V889" i="12"/>
  <c r="T889" i="12"/>
  <c r="R889" i="12"/>
  <c r="C889" i="12"/>
  <c r="T888" i="12"/>
  <c r="R888" i="12"/>
  <c r="C888" i="12"/>
  <c r="V887" i="12"/>
  <c r="T887" i="12"/>
  <c r="R887" i="12"/>
  <c r="C887" i="12"/>
  <c r="V886" i="12"/>
  <c r="W886" i="12" s="1"/>
  <c r="Y886" i="12" s="1"/>
  <c r="T886" i="12"/>
  <c r="R886" i="12"/>
  <c r="C886" i="12"/>
  <c r="V885" i="12"/>
  <c r="T885" i="12"/>
  <c r="R885" i="12"/>
  <c r="C885" i="12"/>
  <c r="Y884" i="12"/>
  <c r="T884" i="12"/>
  <c r="V884" i="12" s="1"/>
  <c r="W884" i="12" s="1"/>
  <c r="R884" i="12"/>
  <c r="C884" i="12"/>
  <c r="T883" i="12"/>
  <c r="R883" i="12"/>
  <c r="C883" i="12"/>
  <c r="W882" i="12"/>
  <c r="Y882" i="12" s="1"/>
  <c r="V882" i="12"/>
  <c r="T882" i="12"/>
  <c r="R882" i="12"/>
  <c r="C882" i="12"/>
  <c r="T881" i="12"/>
  <c r="R881" i="12"/>
  <c r="C881" i="12"/>
  <c r="W880" i="12"/>
  <c r="Y880" i="12" s="1"/>
  <c r="V880" i="12"/>
  <c r="T880" i="12"/>
  <c r="R880" i="12"/>
  <c r="C880" i="12"/>
  <c r="T879" i="12"/>
  <c r="R879" i="12"/>
  <c r="C879" i="12"/>
  <c r="V878" i="12"/>
  <c r="W878" i="12" s="1"/>
  <c r="Y878" i="12" s="1"/>
  <c r="T878" i="12"/>
  <c r="R878" i="12"/>
  <c r="C878" i="12"/>
  <c r="W877" i="12"/>
  <c r="Y877" i="12" s="1"/>
  <c r="T877" i="12"/>
  <c r="V877" i="12" s="1"/>
  <c r="R877" i="12"/>
  <c r="C877" i="12"/>
  <c r="Y876" i="12"/>
  <c r="W876" i="12"/>
  <c r="T876" i="12"/>
  <c r="V876" i="12" s="1"/>
  <c r="R876" i="12"/>
  <c r="C876" i="12"/>
  <c r="T875" i="12"/>
  <c r="R875" i="12"/>
  <c r="C875" i="12"/>
  <c r="Y874" i="12"/>
  <c r="V874" i="12"/>
  <c r="W874" i="12" s="1"/>
  <c r="T874" i="12"/>
  <c r="R874" i="12"/>
  <c r="C874" i="12"/>
  <c r="V873" i="12"/>
  <c r="W873" i="12" s="1"/>
  <c r="Y873" i="12" s="1"/>
  <c r="T873" i="12"/>
  <c r="R873" i="12"/>
  <c r="C873" i="12"/>
  <c r="V872" i="12"/>
  <c r="T872" i="12"/>
  <c r="R872" i="12"/>
  <c r="C872" i="12"/>
  <c r="T871" i="12"/>
  <c r="R871" i="12"/>
  <c r="C871" i="12"/>
  <c r="Y870" i="12"/>
  <c r="W870" i="12"/>
  <c r="V870" i="12"/>
  <c r="T870" i="12"/>
  <c r="R870" i="12"/>
  <c r="C870" i="12"/>
  <c r="T869" i="12"/>
  <c r="R869" i="12"/>
  <c r="C869" i="12"/>
  <c r="Y868" i="12"/>
  <c r="W868" i="12"/>
  <c r="V868" i="12"/>
  <c r="T868" i="12"/>
  <c r="R868" i="12"/>
  <c r="C868" i="12"/>
  <c r="T867" i="12"/>
  <c r="R867" i="12"/>
  <c r="C867" i="12"/>
  <c r="Y866" i="12"/>
  <c r="W866" i="12"/>
  <c r="V866" i="12"/>
  <c r="T866" i="12"/>
  <c r="R866" i="12"/>
  <c r="C866" i="12"/>
  <c r="Y865" i="12"/>
  <c r="W865" i="12"/>
  <c r="V865" i="12"/>
  <c r="T865" i="12"/>
  <c r="R865" i="12"/>
  <c r="C865" i="12"/>
  <c r="W864" i="12"/>
  <c r="Y864" i="12" s="1"/>
  <c r="V864" i="12"/>
  <c r="T864" i="12"/>
  <c r="R864" i="12"/>
  <c r="C864" i="12"/>
  <c r="T863" i="12"/>
  <c r="R863" i="12"/>
  <c r="C863" i="12"/>
  <c r="Y862" i="12"/>
  <c r="W862" i="12"/>
  <c r="V862" i="12"/>
  <c r="T862" i="12"/>
  <c r="R862" i="12"/>
  <c r="C862" i="12"/>
  <c r="T861" i="12"/>
  <c r="R861" i="12"/>
  <c r="C861" i="12"/>
  <c r="V860" i="12"/>
  <c r="T860" i="12"/>
  <c r="R860" i="12"/>
  <c r="C860" i="12"/>
  <c r="V859" i="12"/>
  <c r="T859" i="12"/>
  <c r="R859" i="12"/>
  <c r="C859" i="12"/>
  <c r="V858" i="12"/>
  <c r="W858" i="12" s="1"/>
  <c r="Y858" i="12" s="1"/>
  <c r="T858" i="12"/>
  <c r="R858" i="12"/>
  <c r="C858" i="12"/>
  <c r="W857" i="12"/>
  <c r="Y857" i="12" s="1"/>
  <c r="V857" i="12"/>
  <c r="T857" i="12"/>
  <c r="R857" i="12"/>
  <c r="C857" i="12"/>
  <c r="T856" i="12"/>
  <c r="R856" i="12"/>
  <c r="C856" i="12"/>
  <c r="T855" i="12"/>
  <c r="R855" i="12"/>
  <c r="C855" i="12"/>
  <c r="V854" i="12"/>
  <c r="W854" i="12" s="1"/>
  <c r="Y854" i="12" s="1"/>
  <c r="T854" i="12"/>
  <c r="R854" i="12"/>
  <c r="C854" i="12"/>
  <c r="T853" i="12"/>
  <c r="R853" i="12"/>
  <c r="C853" i="12"/>
  <c r="Y852" i="12"/>
  <c r="W852" i="12"/>
  <c r="T852" i="12"/>
  <c r="V852" i="12" s="1"/>
  <c r="R852" i="12"/>
  <c r="C852" i="12"/>
  <c r="V851" i="12"/>
  <c r="T851" i="12"/>
  <c r="R851" i="12"/>
  <c r="C851" i="12"/>
  <c r="V850" i="12"/>
  <c r="W850" i="12" s="1"/>
  <c r="Y850" i="12" s="1"/>
  <c r="T850" i="12"/>
  <c r="R850" i="12"/>
  <c r="C850" i="12"/>
  <c r="T849" i="12"/>
  <c r="R849" i="12"/>
  <c r="C849" i="12"/>
  <c r="Y848" i="12"/>
  <c r="W848" i="12"/>
  <c r="V848" i="12"/>
  <c r="T848" i="12"/>
  <c r="R848" i="12"/>
  <c r="C848" i="12"/>
  <c r="T847" i="12"/>
  <c r="R847" i="12"/>
  <c r="C847" i="12"/>
  <c r="V846" i="12"/>
  <c r="W846" i="12" s="1"/>
  <c r="Y846" i="12" s="1"/>
  <c r="T846" i="12"/>
  <c r="R846" i="12"/>
  <c r="C846" i="12"/>
  <c r="W845" i="12"/>
  <c r="Y845" i="12" s="1"/>
  <c r="V845" i="12"/>
  <c r="T845" i="12"/>
  <c r="R845" i="12"/>
  <c r="C845" i="12"/>
  <c r="T844" i="12"/>
  <c r="R844" i="12"/>
  <c r="C844" i="12"/>
  <c r="T843" i="12"/>
  <c r="R843" i="12"/>
  <c r="C843" i="12"/>
  <c r="V842" i="12"/>
  <c r="W842" i="12" s="1"/>
  <c r="Y842" i="12" s="1"/>
  <c r="T842" i="12"/>
  <c r="R842" i="12"/>
  <c r="C842" i="12"/>
  <c r="Y841" i="12"/>
  <c r="W841" i="12"/>
  <c r="V841" i="12"/>
  <c r="T841" i="12"/>
  <c r="R841" i="12"/>
  <c r="C841" i="12"/>
  <c r="V840" i="12"/>
  <c r="W840" i="12" s="1"/>
  <c r="Y840" i="12" s="1"/>
  <c r="T840" i="12"/>
  <c r="R840" i="12"/>
  <c r="C840" i="12"/>
  <c r="V839" i="12"/>
  <c r="T839" i="12"/>
  <c r="R839" i="12"/>
  <c r="C839" i="12"/>
  <c r="Y838" i="12"/>
  <c r="W838" i="12"/>
  <c r="V838" i="12"/>
  <c r="T838" i="12"/>
  <c r="R838" i="12"/>
  <c r="C838" i="12"/>
  <c r="V837" i="12"/>
  <c r="W837" i="12" s="1"/>
  <c r="Y837" i="12" s="1"/>
  <c r="T837" i="12"/>
  <c r="R837" i="12"/>
  <c r="C837" i="12"/>
  <c r="V836" i="12"/>
  <c r="T836" i="12"/>
  <c r="R836" i="12"/>
  <c r="C836" i="12"/>
  <c r="T835" i="12"/>
  <c r="R835" i="12"/>
  <c r="C835" i="12"/>
  <c r="W834" i="12"/>
  <c r="Y834" i="12" s="1"/>
  <c r="V834" i="12"/>
  <c r="T834" i="12"/>
  <c r="R834" i="12"/>
  <c r="C834" i="12"/>
  <c r="T833" i="12"/>
  <c r="R833" i="12"/>
  <c r="C833" i="12"/>
  <c r="T832" i="12"/>
  <c r="R832" i="12"/>
  <c r="C832" i="12"/>
  <c r="T831" i="12"/>
  <c r="R831" i="12"/>
  <c r="C831" i="12"/>
  <c r="W830" i="12"/>
  <c r="Y830" i="12" s="1"/>
  <c r="V830" i="12"/>
  <c r="T830" i="12"/>
  <c r="R830" i="12"/>
  <c r="C830" i="12"/>
  <c r="T829" i="12"/>
  <c r="R829" i="12"/>
  <c r="C829" i="12"/>
  <c r="V828" i="12"/>
  <c r="T828" i="12"/>
  <c r="R828" i="12"/>
  <c r="C828" i="12"/>
  <c r="V827" i="12"/>
  <c r="T827" i="12"/>
  <c r="R827" i="12"/>
  <c r="C827" i="12"/>
  <c r="Y826" i="12"/>
  <c r="W826" i="12"/>
  <c r="V826" i="12"/>
  <c r="T826" i="12"/>
  <c r="R826" i="12"/>
  <c r="C826" i="12"/>
  <c r="V825" i="12"/>
  <c r="W825" i="12" s="1"/>
  <c r="Y825" i="12" s="1"/>
  <c r="T825" i="12"/>
  <c r="R825" i="12"/>
  <c r="C825" i="12"/>
  <c r="T824" i="12"/>
  <c r="R824" i="12"/>
  <c r="C824" i="12"/>
  <c r="V823" i="12"/>
  <c r="T823" i="12"/>
  <c r="R823" i="12"/>
  <c r="C823" i="12"/>
  <c r="Y822" i="12"/>
  <c r="V822" i="12"/>
  <c r="W822" i="12" s="1"/>
  <c r="T822" i="12"/>
  <c r="R822" i="12"/>
  <c r="C822" i="12"/>
  <c r="V821" i="12"/>
  <c r="T821" i="12"/>
  <c r="R821" i="12"/>
  <c r="C821" i="12"/>
  <c r="T820" i="12"/>
  <c r="V820" i="12" s="1"/>
  <c r="W820" i="12" s="1"/>
  <c r="Y820" i="12" s="1"/>
  <c r="R820" i="12"/>
  <c r="C820" i="12"/>
  <c r="T819" i="12"/>
  <c r="R819" i="12"/>
  <c r="C819" i="12"/>
  <c r="V818" i="12"/>
  <c r="W818" i="12" s="1"/>
  <c r="Y818" i="12" s="1"/>
  <c r="T818" i="12"/>
  <c r="R818" i="12"/>
  <c r="C818" i="12"/>
  <c r="T817" i="12"/>
  <c r="R817" i="12"/>
  <c r="C817" i="12"/>
  <c r="Y816" i="12"/>
  <c r="W816" i="12"/>
  <c r="V816" i="12"/>
  <c r="T816" i="12"/>
  <c r="R816" i="12"/>
  <c r="C816" i="12"/>
  <c r="V815" i="12"/>
  <c r="T815" i="12"/>
  <c r="R815" i="12"/>
  <c r="C815" i="12"/>
  <c r="V814" i="12"/>
  <c r="W814" i="12" s="1"/>
  <c r="Y814" i="12" s="1"/>
  <c r="T814" i="12"/>
  <c r="R814" i="12"/>
  <c r="C814" i="12"/>
  <c r="Y813" i="12"/>
  <c r="W813" i="12"/>
  <c r="V813" i="12"/>
  <c r="T813" i="12"/>
  <c r="R813" i="12"/>
  <c r="C813" i="12"/>
  <c r="T812" i="12"/>
  <c r="R812" i="12"/>
  <c r="C812" i="12"/>
  <c r="V811" i="12"/>
  <c r="T811" i="12"/>
  <c r="R811" i="12"/>
  <c r="C811" i="12"/>
  <c r="Y810" i="12"/>
  <c r="V810" i="12"/>
  <c r="W810" i="12" s="1"/>
  <c r="T810" i="12"/>
  <c r="R810" i="12"/>
  <c r="C810" i="12"/>
  <c r="V809" i="12"/>
  <c r="W809" i="12" s="1"/>
  <c r="Y809" i="12" s="1"/>
  <c r="T809" i="12"/>
  <c r="R809" i="12"/>
  <c r="C809" i="12"/>
  <c r="Y808" i="12"/>
  <c r="W808" i="12"/>
  <c r="T808" i="12"/>
  <c r="V808" i="12" s="1"/>
  <c r="R808" i="12"/>
  <c r="C808" i="12"/>
  <c r="V807" i="12"/>
  <c r="T807" i="12"/>
  <c r="R807" i="12"/>
  <c r="C807" i="12"/>
  <c r="W806" i="12"/>
  <c r="Y806" i="12" s="1"/>
  <c r="V806" i="12"/>
  <c r="T806" i="12"/>
  <c r="R806" i="12"/>
  <c r="C806" i="12"/>
  <c r="T805" i="12"/>
  <c r="V805" i="12" s="1"/>
  <c r="R805" i="12"/>
  <c r="C805" i="12"/>
  <c r="V804" i="12"/>
  <c r="T804" i="12"/>
  <c r="R804" i="12"/>
  <c r="C804" i="12"/>
  <c r="T803" i="12"/>
  <c r="R803" i="12"/>
  <c r="C803" i="12"/>
  <c r="W802" i="12"/>
  <c r="Y802" i="12" s="1"/>
  <c r="V802" i="12"/>
  <c r="T802" i="12"/>
  <c r="R802" i="12"/>
  <c r="C802" i="12"/>
  <c r="T801" i="12"/>
  <c r="R801" i="12"/>
  <c r="C801" i="12"/>
  <c r="T800" i="12"/>
  <c r="R800" i="12"/>
  <c r="C800" i="12"/>
  <c r="T799" i="12"/>
  <c r="R799" i="12"/>
  <c r="C799" i="12"/>
  <c r="W798" i="12"/>
  <c r="Y798" i="12" s="1"/>
  <c r="V798" i="12"/>
  <c r="T798" i="12"/>
  <c r="R798" i="12"/>
  <c r="C798" i="12"/>
  <c r="T797" i="12"/>
  <c r="R797" i="12"/>
  <c r="C797" i="12"/>
  <c r="T796" i="12"/>
  <c r="R796" i="12"/>
  <c r="C796" i="12"/>
  <c r="V795" i="12"/>
  <c r="T795" i="12"/>
  <c r="R795" i="12"/>
  <c r="C795" i="12"/>
  <c r="W794" i="12"/>
  <c r="Y794" i="12" s="1"/>
  <c r="V794" i="12"/>
  <c r="T794" i="12"/>
  <c r="R794" i="12"/>
  <c r="C794" i="12"/>
  <c r="V793" i="12"/>
  <c r="T793" i="12"/>
  <c r="R793" i="12"/>
  <c r="C793" i="12"/>
  <c r="T792" i="12"/>
  <c r="R792" i="12"/>
  <c r="C792" i="12"/>
  <c r="V791" i="12"/>
  <c r="T791" i="12"/>
  <c r="R791" i="12"/>
  <c r="C791" i="12"/>
  <c r="Y790" i="12"/>
  <c r="W790" i="12"/>
  <c r="V790" i="12"/>
  <c r="T790" i="12"/>
  <c r="R790" i="12"/>
  <c r="C790" i="12"/>
  <c r="V789" i="12"/>
  <c r="T789" i="12"/>
  <c r="R789" i="12"/>
  <c r="C789" i="12"/>
  <c r="W788" i="12"/>
  <c r="Y788" i="12" s="1"/>
  <c r="V788" i="12"/>
  <c r="T788" i="12"/>
  <c r="R788" i="12"/>
  <c r="C788" i="12"/>
  <c r="V787" i="12"/>
  <c r="T787" i="12"/>
  <c r="R787" i="12"/>
  <c r="C787" i="12"/>
  <c r="W786" i="12"/>
  <c r="Y786" i="12" s="1"/>
  <c r="V786" i="12"/>
  <c r="T786" i="12"/>
  <c r="R786" i="12"/>
  <c r="C786" i="12"/>
  <c r="T785" i="12"/>
  <c r="R785" i="12"/>
  <c r="C785" i="12"/>
  <c r="W784" i="12"/>
  <c r="Y784" i="12" s="1"/>
  <c r="V784" i="12"/>
  <c r="T784" i="12"/>
  <c r="R784" i="12"/>
  <c r="C784" i="12"/>
  <c r="V783" i="12"/>
  <c r="T783" i="12"/>
  <c r="R783" i="12"/>
  <c r="C783" i="12"/>
  <c r="V782" i="12"/>
  <c r="W782" i="12" s="1"/>
  <c r="Y782" i="12" s="1"/>
  <c r="T782" i="12"/>
  <c r="R782" i="12"/>
  <c r="C782" i="12"/>
  <c r="V781" i="12"/>
  <c r="W781" i="12" s="1"/>
  <c r="Y781" i="12" s="1"/>
  <c r="T781" i="12"/>
  <c r="R781" i="12"/>
  <c r="C781" i="12"/>
  <c r="T780" i="12"/>
  <c r="R780" i="12"/>
  <c r="C780" i="12"/>
  <c r="V779" i="12"/>
  <c r="T779" i="12"/>
  <c r="R779" i="12"/>
  <c r="C779" i="12"/>
  <c r="W778" i="12"/>
  <c r="Y778" i="12" s="1"/>
  <c r="V778" i="12"/>
  <c r="T778" i="12"/>
  <c r="R778" i="12"/>
  <c r="C778" i="12"/>
  <c r="T777" i="12"/>
  <c r="R777" i="12"/>
  <c r="C777" i="12"/>
  <c r="W776" i="12"/>
  <c r="Y776" i="12" s="1"/>
  <c r="V776" i="12"/>
  <c r="T776" i="12"/>
  <c r="R776" i="12"/>
  <c r="C776" i="12"/>
  <c r="T775" i="12"/>
  <c r="R775" i="12"/>
  <c r="C775" i="12"/>
  <c r="V774" i="12"/>
  <c r="W774" i="12" s="1"/>
  <c r="Y774" i="12" s="1"/>
  <c r="T774" i="12"/>
  <c r="R774" i="12"/>
  <c r="C774" i="12"/>
  <c r="Y773" i="12"/>
  <c r="W773" i="12"/>
  <c r="V773" i="12"/>
  <c r="T773" i="12"/>
  <c r="R773" i="12"/>
  <c r="C773" i="12"/>
  <c r="T772" i="12"/>
  <c r="R772" i="12"/>
  <c r="C772" i="12"/>
  <c r="T771" i="12"/>
  <c r="R771" i="12"/>
  <c r="C771" i="12"/>
  <c r="W770" i="12"/>
  <c r="Y770" i="12" s="1"/>
  <c r="V770" i="12"/>
  <c r="T770" i="12"/>
  <c r="R770" i="12"/>
  <c r="C770" i="12"/>
  <c r="T769" i="12"/>
  <c r="R769" i="12"/>
  <c r="C769" i="12"/>
  <c r="V768" i="12"/>
  <c r="W768" i="12" s="1"/>
  <c r="Y768" i="12" s="1"/>
  <c r="T768" i="12"/>
  <c r="R768" i="12"/>
  <c r="C768" i="12"/>
  <c r="V767" i="12"/>
  <c r="T767" i="12"/>
  <c r="R767" i="12"/>
  <c r="C767" i="12"/>
  <c r="W766" i="12"/>
  <c r="Y766" i="12" s="1"/>
  <c r="V766" i="12"/>
  <c r="T766" i="12"/>
  <c r="R766" i="12"/>
  <c r="C766" i="12"/>
  <c r="T765" i="12"/>
  <c r="V765" i="12" s="1"/>
  <c r="R765" i="12"/>
  <c r="C765" i="12"/>
  <c r="T764" i="12"/>
  <c r="R764" i="12"/>
  <c r="C764" i="12"/>
  <c r="T763" i="12"/>
  <c r="R763" i="12"/>
  <c r="C763" i="12"/>
  <c r="W762" i="12"/>
  <c r="Y762" i="12" s="1"/>
  <c r="V762" i="12"/>
  <c r="T762" i="12"/>
  <c r="R762" i="12"/>
  <c r="C762" i="12"/>
  <c r="T761" i="12"/>
  <c r="R761" i="12"/>
  <c r="C761" i="12"/>
  <c r="W760" i="12"/>
  <c r="Y760" i="12" s="1"/>
  <c r="T760" i="12"/>
  <c r="V760" i="12" s="1"/>
  <c r="R760" i="12"/>
  <c r="C760" i="12"/>
  <c r="V759" i="12"/>
  <c r="T759" i="12"/>
  <c r="R759" i="12"/>
  <c r="C759" i="12"/>
  <c r="Y758" i="12"/>
  <c r="W758" i="12"/>
  <c r="V758" i="12"/>
  <c r="T758" i="12"/>
  <c r="R758" i="12"/>
  <c r="C758" i="12"/>
  <c r="V757" i="12"/>
  <c r="T757" i="12"/>
  <c r="R757" i="12"/>
  <c r="C757" i="12"/>
  <c r="Y756" i="12"/>
  <c r="W756" i="12"/>
  <c r="V756" i="12"/>
  <c r="T756" i="12"/>
  <c r="R756" i="12"/>
  <c r="C756" i="12"/>
  <c r="T755" i="12"/>
  <c r="R755" i="12"/>
  <c r="C755" i="12"/>
  <c r="W754" i="12"/>
  <c r="Y754" i="12" s="1"/>
  <c r="V754" i="12"/>
  <c r="T754" i="12"/>
  <c r="R754" i="12"/>
  <c r="C754" i="12"/>
  <c r="W753" i="12"/>
  <c r="Y753" i="12" s="1"/>
  <c r="T753" i="12"/>
  <c r="V753" i="12" s="1"/>
  <c r="R753" i="12"/>
  <c r="C753" i="12"/>
  <c r="T752" i="12"/>
  <c r="R752" i="12"/>
  <c r="C752" i="12"/>
  <c r="V751" i="12"/>
  <c r="T751" i="12"/>
  <c r="R751" i="12"/>
  <c r="C751" i="12"/>
  <c r="Y750" i="12"/>
  <c r="V750" i="12"/>
  <c r="W750" i="12" s="1"/>
  <c r="T750" i="12"/>
  <c r="R750" i="12"/>
  <c r="C750" i="12"/>
  <c r="Y749" i="12"/>
  <c r="W749" i="12"/>
  <c r="V749" i="12"/>
  <c r="T749" i="12"/>
  <c r="R749" i="12"/>
  <c r="C749" i="12"/>
  <c r="W748" i="12"/>
  <c r="Y748" i="12" s="1"/>
  <c r="V748" i="12"/>
  <c r="T748" i="12"/>
  <c r="R748" i="12"/>
  <c r="C748" i="12"/>
  <c r="T747" i="12"/>
  <c r="R747" i="12"/>
  <c r="C747" i="12"/>
  <c r="Y746" i="12"/>
  <c r="W746" i="12"/>
  <c r="V746" i="12"/>
  <c r="T746" i="12"/>
  <c r="R746" i="12"/>
  <c r="C746" i="12"/>
  <c r="W745" i="12"/>
  <c r="Y745" i="12" s="1"/>
  <c r="V745" i="12"/>
  <c r="T745" i="12"/>
  <c r="R745" i="12"/>
  <c r="C745" i="12"/>
  <c r="V744" i="12"/>
  <c r="T744" i="12"/>
  <c r="R744" i="12"/>
  <c r="C744" i="12"/>
  <c r="T743" i="12"/>
  <c r="R743" i="12"/>
  <c r="C743" i="12"/>
  <c r="W742" i="12"/>
  <c r="Y742" i="12" s="1"/>
  <c r="V742" i="12"/>
  <c r="T742" i="12"/>
  <c r="R742" i="12"/>
  <c r="C742" i="12"/>
  <c r="T741" i="12"/>
  <c r="R741" i="12"/>
  <c r="C741" i="12"/>
  <c r="T740" i="12"/>
  <c r="V740" i="12" s="1"/>
  <c r="R740" i="12"/>
  <c r="C740" i="12"/>
  <c r="T739" i="12"/>
  <c r="R739" i="12"/>
  <c r="C739" i="12"/>
  <c r="W738" i="12"/>
  <c r="Y738" i="12" s="1"/>
  <c r="V738" i="12"/>
  <c r="T738" i="12"/>
  <c r="R738" i="12"/>
  <c r="C738" i="12"/>
  <c r="T737" i="12"/>
  <c r="R737" i="12"/>
  <c r="C737" i="12"/>
  <c r="T736" i="12"/>
  <c r="R736" i="12"/>
  <c r="C736" i="12"/>
  <c r="V735" i="12"/>
  <c r="T735" i="12"/>
  <c r="R735" i="12"/>
  <c r="C735" i="12"/>
  <c r="W734" i="12"/>
  <c r="Y734" i="12" s="1"/>
  <c r="V734" i="12"/>
  <c r="T734" i="12"/>
  <c r="R734" i="12"/>
  <c r="C734" i="12"/>
  <c r="V733" i="12"/>
  <c r="T733" i="12"/>
  <c r="R733" i="12"/>
  <c r="C733" i="12"/>
  <c r="V732" i="12"/>
  <c r="T732" i="12"/>
  <c r="R732" i="12"/>
  <c r="C732" i="12"/>
  <c r="T731" i="12"/>
  <c r="R731" i="12"/>
  <c r="C731" i="12"/>
  <c r="V730" i="12"/>
  <c r="W730" i="12" s="1"/>
  <c r="Y730" i="12" s="1"/>
  <c r="T730" i="12"/>
  <c r="R730" i="12"/>
  <c r="C730" i="12"/>
  <c r="V729" i="12"/>
  <c r="W729" i="12" s="1"/>
  <c r="Y729" i="12" s="1"/>
  <c r="T729" i="12"/>
  <c r="R729" i="12"/>
  <c r="C729" i="12"/>
  <c r="T728" i="12"/>
  <c r="R728" i="12"/>
  <c r="C728" i="12"/>
  <c r="T727" i="12"/>
  <c r="R727" i="12"/>
  <c r="C727" i="12"/>
  <c r="Y726" i="12"/>
  <c r="W726" i="12"/>
  <c r="V726" i="12"/>
  <c r="T726" i="12"/>
  <c r="R726" i="12"/>
  <c r="C726" i="12"/>
  <c r="T725" i="12"/>
  <c r="R725" i="12"/>
  <c r="C725" i="12"/>
  <c r="V724" i="12"/>
  <c r="W724" i="12" s="1"/>
  <c r="Y724" i="12" s="1"/>
  <c r="T724" i="12"/>
  <c r="R724" i="12"/>
  <c r="C724" i="12"/>
  <c r="V723" i="12"/>
  <c r="T723" i="12"/>
  <c r="R723" i="12"/>
  <c r="C723" i="12"/>
  <c r="W722" i="12"/>
  <c r="Y722" i="12" s="1"/>
  <c r="V722" i="12"/>
  <c r="T722" i="12"/>
  <c r="R722" i="12"/>
  <c r="C722" i="12"/>
  <c r="T721" i="12"/>
  <c r="R721" i="12"/>
  <c r="C721" i="12"/>
  <c r="V720" i="12"/>
  <c r="W720" i="12" s="1"/>
  <c r="Y720" i="12" s="1"/>
  <c r="T720" i="12"/>
  <c r="R720" i="12"/>
  <c r="C720" i="12"/>
  <c r="T719" i="12"/>
  <c r="R719" i="12"/>
  <c r="C719" i="12"/>
  <c r="Y718" i="12"/>
  <c r="V718" i="12"/>
  <c r="W718" i="12" s="1"/>
  <c r="T718" i="12"/>
  <c r="R718" i="12"/>
  <c r="C718" i="12"/>
  <c r="Y717" i="12"/>
  <c r="W717" i="12"/>
  <c r="V717" i="12"/>
  <c r="T717" i="12"/>
  <c r="R717" i="12"/>
  <c r="C717" i="12"/>
  <c r="V716" i="12"/>
  <c r="T716" i="12"/>
  <c r="R716" i="12"/>
  <c r="C716" i="12"/>
  <c r="T715" i="12"/>
  <c r="R715" i="12"/>
  <c r="C715" i="12"/>
  <c r="W714" i="12"/>
  <c r="Y714" i="12" s="1"/>
  <c r="V714" i="12"/>
  <c r="T714" i="12"/>
  <c r="R714" i="12"/>
  <c r="C714" i="12"/>
  <c r="V713" i="12"/>
  <c r="T713" i="12"/>
  <c r="R713" i="12"/>
  <c r="C713" i="12"/>
  <c r="T712" i="12"/>
  <c r="R712" i="12"/>
  <c r="C712" i="12"/>
  <c r="V711" i="12"/>
  <c r="T711" i="12"/>
  <c r="R711" i="12"/>
  <c r="C711" i="12"/>
  <c r="V710" i="12"/>
  <c r="W710" i="12" s="1"/>
  <c r="Y710" i="12" s="1"/>
  <c r="T710" i="12"/>
  <c r="R710" i="12"/>
  <c r="C710" i="12"/>
  <c r="Y709" i="12"/>
  <c r="W709" i="12"/>
  <c r="T709" i="12"/>
  <c r="V709" i="12" s="1"/>
  <c r="R709" i="12"/>
  <c r="C709" i="12"/>
  <c r="T708" i="12"/>
  <c r="R708" i="12"/>
  <c r="C708" i="12"/>
  <c r="T707" i="12"/>
  <c r="R707" i="12"/>
  <c r="C707" i="12"/>
  <c r="T706" i="12"/>
  <c r="V706" i="12" s="1"/>
  <c r="R706" i="12"/>
  <c r="C706" i="12"/>
  <c r="T705" i="12"/>
  <c r="R705" i="12"/>
  <c r="C705" i="12"/>
  <c r="V704" i="12"/>
  <c r="W704" i="12" s="1"/>
  <c r="Y704" i="12" s="1"/>
  <c r="T704" i="12"/>
  <c r="R704" i="12"/>
  <c r="C704" i="12"/>
  <c r="T703" i="12"/>
  <c r="R703" i="12"/>
  <c r="C703" i="12"/>
  <c r="T702" i="12"/>
  <c r="R702" i="12"/>
  <c r="C702" i="12"/>
  <c r="W701" i="12"/>
  <c r="Y701" i="12" s="1"/>
  <c r="T701" i="12"/>
  <c r="V701" i="12" s="1"/>
  <c r="R701" i="12"/>
  <c r="C701" i="12"/>
  <c r="V700" i="12"/>
  <c r="T700" i="12"/>
  <c r="R700" i="12"/>
  <c r="C700" i="12"/>
  <c r="W699" i="12"/>
  <c r="Y699" i="12" s="1"/>
  <c r="T699" i="12"/>
  <c r="V699" i="12" s="1"/>
  <c r="R699" i="12"/>
  <c r="C699" i="12"/>
  <c r="Y698" i="12"/>
  <c r="W698" i="12"/>
  <c r="T698" i="12"/>
  <c r="V698" i="12" s="1"/>
  <c r="R698" i="12"/>
  <c r="C698" i="12"/>
  <c r="V697" i="12"/>
  <c r="T697" i="12"/>
  <c r="R697" i="12"/>
  <c r="C697" i="12"/>
  <c r="V696" i="12"/>
  <c r="W696" i="12" s="1"/>
  <c r="Y696" i="12" s="1"/>
  <c r="T696" i="12"/>
  <c r="R696" i="12"/>
  <c r="C696" i="12"/>
  <c r="T695" i="12"/>
  <c r="V695" i="12" s="1"/>
  <c r="R695" i="12"/>
  <c r="C695" i="12"/>
  <c r="V694" i="12"/>
  <c r="W694" i="12" s="1"/>
  <c r="Y694" i="12" s="1"/>
  <c r="T694" i="12"/>
  <c r="R694" i="12"/>
  <c r="C694" i="12"/>
  <c r="Y693" i="12"/>
  <c r="W693" i="12"/>
  <c r="T693" i="12"/>
  <c r="V693" i="12" s="1"/>
  <c r="R693" i="12"/>
  <c r="C693" i="12"/>
  <c r="T692" i="12"/>
  <c r="R692" i="12"/>
  <c r="C692" i="12"/>
  <c r="T691" i="12"/>
  <c r="V691" i="12" s="1"/>
  <c r="R691" i="12"/>
  <c r="C691" i="12"/>
  <c r="T690" i="12"/>
  <c r="V690" i="12" s="1"/>
  <c r="R690" i="12"/>
  <c r="C690" i="12"/>
  <c r="V689" i="12"/>
  <c r="W689" i="12" s="1"/>
  <c r="Y689" i="12" s="1"/>
  <c r="T689" i="12"/>
  <c r="R689" i="12"/>
  <c r="C689" i="12"/>
  <c r="W688" i="12"/>
  <c r="Y688" i="12" s="1"/>
  <c r="V688" i="12"/>
  <c r="T688" i="12"/>
  <c r="R688" i="12"/>
  <c r="C688" i="12"/>
  <c r="T687" i="12"/>
  <c r="R687" i="12"/>
  <c r="C687" i="12"/>
  <c r="T686" i="12"/>
  <c r="R686" i="12"/>
  <c r="C686" i="12"/>
  <c r="W685" i="12"/>
  <c r="Y685" i="12" s="1"/>
  <c r="T685" i="12"/>
  <c r="V685" i="12" s="1"/>
  <c r="R685" i="12"/>
  <c r="C685" i="12"/>
  <c r="T684" i="12"/>
  <c r="R684" i="12"/>
  <c r="C684" i="12"/>
  <c r="W683" i="12"/>
  <c r="Y683" i="12" s="1"/>
  <c r="T683" i="12"/>
  <c r="V683" i="12" s="1"/>
  <c r="R683" i="12"/>
  <c r="C683" i="12"/>
  <c r="V682" i="12"/>
  <c r="T682" i="12"/>
  <c r="R682" i="12"/>
  <c r="C682" i="12"/>
  <c r="T681" i="12"/>
  <c r="R681" i="12"/>
  <c r="C681" i="12"/>
  <c r="V680" i="12"/>
  <c r="W680" i="12" s="1"/>
  <c r="Y680" i="12" s="1"/>
  <c r="T680" i="12"/>
  <c r="R680" i="12"/>
  <c r="C680" i="12"/>
  <c r="T679" i="12"/>
  <c r="R679" i="12"/>
  <c r="C679" i="12"/>
  <c r="T678" i="12"/>
  <c r="R678" i="12"/>
  <c r="C678" i="12"/>
  <c r="V677" i="12"/>
  <c r="W677" i="12" s="1"/>
  <c r="Y677" i="12" s="1"/>
  <c r="T677" i="12"/>
  <c r="R677" i="12"/>
  <c r="C677" i="12"/>
  <c r="W676" i="12"/>
  <c r="Y676" i="12" s="1"/>
  <c r="T676" i="12"/>
  <c r="V676" i="12" s="1"/>
  <c r="R676" i="12"/>
  <c r="C676" i="12"/>
  <c r="T675" i="12"/>
  <c r="V675" i="12" s="1"/>
  <c r="R675" i="12"/>
  <c r="C675" i="12"/>
  <c r="W674" i="12"/>
  <c r="Y674" i="12" s="1"/>
  <c r="V674" i="12"/>
  <c r="T674" i="12"/>
  <c r="R674" i="12"/>
  <c r="C674" i="12"/>
  <c r="T673" i="12"/>
  <c r="V673" i="12" s="1"/>
  <c r="R673" i="12"/>
  <c r="C673" i="12"/>
  <c r="T672" i="12"/>
  <c r="R672" i="12"/>
  <c r="C672" i="12"/>
  <c r="W671" i="12"/>
  <c r="Y671" i="12" s="1"/>
  <c r="T671" i="12"/>
  <c r="V671" i="12" s="1"/>
  <c r="R671" i="12"/>
  <c r="C671" i="12"/>
  <c r="T670" i="12"/>
  <c r="R670" i="12"/>
  <c r="C670" i="12"/>
  <c r="V669" i="12"/>
  <c r="W669" i="12" s="1"/>
  <c r="Y669" i="12" s="1"/>
  <c r="T669" i="12"/>
  <c r="R669" i="12"/>
  <c r="C669" i="12"/>
  <c r="W668" i="12"/>
  <c r="Y668" i="12" s="1"/>
  <c r="V668" i="12"/>
  <c r="T668" i="12"/>
  <c r="R668" i="12"/>
  <c r="C668" i="12"/>
  <c r="W667" i="12"/>
  <c r="Y667" i="12" s="1"/>
  <c r="T667" i="12"/>
  <c r="V667" i="12" s="1"/>
  <c r="R667" i="12"/>
  <c r="C667" i="12"/>
  <c r="V666" i="12"/>
  <c r="W666" i="12" s="1"/>
  <c r="Y666" i="12" s="1"/>
  <c r="T666" i="12"/>
  <c r="R666" i="12"/>
  <c r="C666" i="12"/>
  <c r="T665" i="12"/>
  <c r="R665" i="12"/>
  <c r="C665" i="12"/>
  <c r="W664" i="12"/>
  <c r="Y664" i="12" s="1"/>
  <c r="T664" i="12"/>
  <c r="V664" i="12" s="1"/>
  <c r="R664" i="12"/>
  <c r="C664" i="12"/>
  <c r="W663" i="12"/>
  <c r="Y663" i="12" s="1"/>
  <c r="T663" i="12"/>
  <c r="V663" i="12" s="1"/>
  <c r="R663" i="12"/>
  <c r="C663" i="12"/>
  <c r="T662" i="12"/>
  <c r="R662" i="12"/>
  <c r="C662" i="12"/>
  <c r="W661" i="12"/>
  <c r="Y661" i="12" s="1"/>
  <c r="V661" i="12"/>
  <c r="T661" i="12"/>
  <c r="R661" i="12"/>
  <c r="C661" i="12"/>
  <c r="W660" i="12"/>
  <c r="Y660" i="12" s="1"/>
  <c r="T660" i="12"/>
  <c r="V660" i="12" s="1"/>
  <c r="R660" i="12"/>
  <c r="C660" i="12"/>
  <c r="T659" i="12"/>
  <c r="V659" i="12" s="1"/>
  <c r="R659" i="12"/>
  <c r="C659" i="12"/>
  <c r="W658" i="12"/>
  <c r="Y658" i="12" s="1"/>
  <c r="V658" i="12"/>
  <c r="T658" i="12"/>
  <c r="R658" i="12"/>
  <c r="C658" i="12"/>
  <c r="T657" i="12"/>
  <c r="R657" i="12"/>
  <c r="C657" i="12"/>
  <c r="T656" i="12"/>
  <c r="R656" i="12"/>
  <c r="C656" i="12"/>
  <c r="Y655" i="12"/>
  <c r="W655" i="12"/>
  <c r="T655" i="12"/>
  <c r="V655" i="12" s="1"/>
  <c r="R655" i="12"/>
  <c r="C655" i="12"/>
  <c r="V654" i="12"/>
  <c r="T654" i="12"/>
  <c r="R654" i="12"/>
  <c r="C654" i="12"/>
  <c r="V653" i="12"/>
  <c r="W653" i="12" s="1"/>
  <c r="Y653" i="12" s="1"/>
  <c r="T653" i="12"/>
  <c r="R653" i="12"/>
  <c r="C653" i="12"/>
  <c r="W652" i="12"/>
  <c r="Y652" i="12" s="1"/>
  <c r="V652" i="12"/>
  <c r="T652" i="12"/>
  <c r="R652" i="12"/>
  <c r="C652" i="12"/>
  <c r="T651" i="12"/>
  <c r="V651" i="12" s="1"/>
  <c r="R651" i="12"/>
  <c r="C651" i="12"/>
  <c r="V650" i="12"/>
  <c r="W650" i="12" s="1"/>
  <c r="Y650" i="12" s="1"/>
  <c r="T650" i="12"/>
  <c r="R650" i="12"/>
  <c r="C650" i="12"/>
  <c r="T649" i="12"/>
  <c r="R649" i="12"/>
  <c r="C649" i="12"/>
  <c r="V648" i="12"/>
  <c r="T648" i="12"/>
  <c r="R648" i="12"/>
  <c r="C648" i="12"/>
  <c r="W647" i="12"/>
  <c r="Y647" i="12" s="1"/>
  <c r="T647" i="12"/>
  <c r="V647" i="12" s="1"/>
  <c r="R647" i="12"/>
  <c r="C647" i="12"/>
  <c r="T646" i="12"/>
  <c r="R646" i="12"/>
  <c r="C646" i="12"/>
  <c r="Y645" i="12"/>
  <c r="V645" i="12"/>
  <c r="W645" i="12" s="1"/>
  <c r="T645" i="12"/>
  <c r="R645" i="12"/>
  <c r="C645" i="12"/>
  <c r="T644" i="12"/>
  <c r="V644" i="12" s="1"/>
  <c r="R644" i="12"/>
  <c r="C644" i="12"/>
  <c r="T643" i="12"/>
  <c r="V643" i="12" s="1"/>
  <c r="R643" i="12"/>
  <c r="C643" i="12"/>
  <c r="W642" i="12"/>
  <c r="Y642" i="12" s="1"/>
  <c r="V642" i="12"/>
  <c r="T642" i="12"/>
  <c r="R642" i="12"/>
  <c r="C642" i="12"/>
  <c r="V641" i="12"/>
  <c r="T641" i="12"/>
  <c r="R641" i="12"/>
  <c r="C641" i="12"/>
  <c r="T640" i="12"/>
  <c r="R640" i="12"/>
  <c r="C640" i="12"/>
  <c r="W639" i="12"/>
  <c r="Y639" i="12" s="1"/>
  <c r="T639" i="12"/>
  <c r="V639" i="12" s="1"/>
  <c r="R639" i="12"/>
  <c r="C639" i="12"/>
  <c r="T638" i="12"/>
  <c r="R638" i="12"/>
  <c r="C638" i="12"/>
  <c r="V637" i="12"/>
  <c r="W637" i="12" s="1"/>
  <c r="Y637" i="12" s="1"/>
  <c r="T637" i="12"/>
  <c r="R637" i="12"/>
  <c r="C637" i="12"/>
  <c r="W636" i="12"/>
  <c r="Y636" i="12" s="1"/>
  <c r="V636" i="12"/>
  <c r="T636" i="12"/>
  <c r="R636" i="12"/>
  <c r="C636" i="12"/>
  <c r="T635" i="12"/>
  <c r="V635" i="12" s="1"/>
  <c r="R635" i="12"/>
  <c r="C635" i="12"/>
  <c r="V634" i="12"/>
  <c r="W634" i="12" s="1"/>
  <c r="Y634" i="12" s="1"/>
  <c r="T634" i="12"/>
  <c r="R634" i="12"/>
  <c r="C634" i="12"/>
  <c r="T633" i="12"/>
  <c r="R633" i="12"/>
  <c r="C633" i="12"/>
  <c r="T632" i="12"/>
  <c r="R632" i="12"/>
  <c r="C632" i="12"/>
  <c r="W631" i="12"/>
  <c r="Y631" i="12" s="1"/>
  <c r="T631" i="12"/>
  <c r="V631" i="12" s="1"/>
  <c r="R631" i="12"/>
  <c r="C631" i="12"/>
  <c r="T630" i="12"/>
  <c r="R630" i="12"/>
  <c r="C630" i="12"/>
  <c r="W629" i="12"/>
  <c r="Y629" i="12" s="1"/>
  <c r="V629" i="12"/>
  <c r="T629" i="12"/>
  <c r="R629" i="12"/>
  <c r="C629" i="12"/>
  <c r="T628" i="12"/>
  <c r="R628" i="12"/>
  <c r="C628" i="12"/>
  <c r="T627" i="12"/>
  <c r="V627" i="12" s="1"/>
  <c r="R627" i="12"/>
  <c r="C627" i="12"/>
  <c r="V626" i="12"/>
  <c r="W626" i="12" s="1"/>
  <c r="Y626" i="12" s="1"/>
  <c r="T626" i="12"/>
  <c r="R626" i="12"/>
  <c r="C626" i="12"/>
  <c r="T625" i="12"/>
  <c r="R625" i="12"/>
  <c r="C625" i="12"/>
  <c r="T624" i="12"/>
  <c r="R624" i="12"/>
  <c r="C624" i="12"/>
  <c r="Y623" i="12"/>
  <c r="W623" i="12"/>
  <c r="T623" i="12"/>
  <c r="V623" i="12" s="1"/>
  <c r="R623" i="12"/>
  <c r="C623" i="12"/>
  <c r="V622" i="12"/>
  <c r="T622" i="12"/>
  <c r="R622" i="12"/>
  <c r="C622" i="12"/>
  <c r="V621" i="12"/>
  <c r="W621" i="12" s="1"/>
  <c r="Y621" i="12" s="1"/>
  <c r="T621" i="12"/>
  <c r="R621" i="12"/>
  <c r="C621" i="12"/>
  <c r="W620" i="12"/>
  <c r="Y620" i="12" s="1"/>
  <c r="V620" i="12"/>
  <c r="T620" i="12"/>
  <c r="R620" i="12"/>
  <c r="C620" i="12"/>
  <c r="T619" i="12"/>
  <c r="R619" i="12"/>
  <c r="C619" i="12"/>
  <c r="V618" i="12"/>
  <c r="W618" i="12" s="1"/>
  <c r="Y618" i="12" s="1"/>
  <c r="T618" i="12"/>
  <c r="R618" i="12"/>
  <c r="C618" i="12"/>
  <c r="T617" i="12"/>
  <c r="R617" i="12"/>
  <c r="C617" i="12"/>
  <c r="V616" i="12"/>
  <c r="W616" i="12" s="1"/>
  <c r="Y616" i="12" s="1"/>
  <c r="T616" i="12"/>
  <c r="R616" i="12"/>
  <c r="C616" i="12"/>
  <c r="W615" i="12"/>
  <c r="Y615" i="12" s="1"/>
  <c r="T615" i="12"/>
  <c r="V615" i="12" s="1"/>
  <c r="R615" i="12"/>
  <c r="C615" i="12"/>
  <c r="T614" i="12"/>
  <c r="R614" i="12"/>
  <c r="C614" i="12"/>
  <c r="V613" i="12"/>
  <c r="W613" i="12" s="1"/>
  <c r="Y613" i="12" s="1"/>
  <c r="T613" i="12"/>
  <c r="R613" i="12"/>
  <c r="C613" i="12"/>
  <c r="W612" i="12"/>
  <c r="Y612" i="12" s="1"/>
  <c r="T612" i="12"/>
  <c r="V612" i="12" s="1"/>
  <c r="R612" i="12"/>
  <c r="C612" i="12"/>
  <c r="T611" i="12"/>
  <c r="V611" i="12" s="1"/>
  <c r="R611" i="12"/>
  <c r="C611" i="12"/>
  <c r="W610" i="12"/>
  <c r="Y610" i="12" s="1"/>
  <c r="V610" i="12"/>
  <c r="T610" i="12"/>
  <c r="R610" i="12"/>
  <c r="C610" i="12"/>
  <c r="V609" i="12"/>
  <c r="T609" i="12"/>
  <c r="R609" i="12"/>
  <c r="C609" i="12"/>
  <c r="T608" i="12"/>
  <c r="R608" i="12"/>
  <c r="C608" i="12"/>
  <c r="W607" i="12"/>
  <c r="Y607" i="12" s="1"/>
  <c r="T607" i="12"/>
  <c r="V607" i="12" s="1"/>
  <c r="R607" i="12"/>
  <c r="C607" i="12"/>
  <c r="V606" i="12"/>
  <c r="T606" i="12"/>
  <c r="R606" i="12"/>
  <c r="C606" i="12"/>
  <c r="V605" i="12"/>
  <c r="W605" i="12" s="1"/>
  <c r="Y605" i="12" s="1"/>
  <c r="T605" i="12"/>
  <c r="R605" i="12"/>
  <c r="C605" i="12"/>
  <c r="W604" i="12"/>
  <c r="Y604" i="12" s="1"/>
  <c r="V604" i="12"/>
  <c r="T604" i="12"/>
  <c r="R604" i="12"/>
  <c r="C604" i="12"/>
  <c r="W603" i="12"/>
  <c r="Y603" i="12" s="1"/>
  <c r="T603" i="12"/>
  <c r="V603" i="12" s="1"/>
  <c r="R603" i="12"/>
  <c r="C603" i="12"/>
  <c r="V602" i="12"/>
  <c r="W602" i="12" s="1"/>
  <c r="Y602" i="12" s="1"/>
  <c r="T602" i="12"/>
  <c r="R602" i="12"/>
  <c r="C602" i="12"/>
  <c r="T601" i="12"/>
  <c r="R601" i="12"/>
  <c r="C601" i="12"/>
  <c r="T600" i="12"/>
  <c r="V600" i="12" s="1"/>
  <c r="W600" i="12" s="1"/>
  <c r="Y600" i="12" s="1"/>
  <c r="R600" i="12"/>
  <c r="C600" i="12"/>
  <c r="W599" i="12"/>
  <c r="Y599" i="12" s="1"/>
  <c r="T599" i="12"/>
  <c r="V599" i="12" s="1"/>
  <c r="R599" i="12"/>
  <c r="C599" i="12"/>
  <c r="T598" i="12"/>
  <c r="R598" i="12"/>
  <c r="C598" i="12"/>
  <c r="V597" i="12"/>
  <c r="W597" i="12" s="1"/>
  <c r="Y597" i="12" s="1"/>
  <c r="T597" i="12"/>
  <c r="R597" i="12"/>
  <c r="C597" i="12"/>
  <c r="T596" i="12"/>
  <c r="R596" i="12"/>
  <c r="C596" i="12"/>
  <c r="T595" i="12"/>
  <c r="V595" i="12" s="1"/>
  <c r="R595" i="12"/>
  <c r="C595" i="12"/>
  <c r="V594" i="12"/>
  <c r="W594" i="12" s="1"/>
  <c r="Y594" i="12" s="1"/>
  <c r="T594" i="12"/>
  <c r="R594" i="12"/>
  <c r="C594" i="12"/>
  <c r="T593" i="12"/>
  <c r="R593" i="12"/>
  <c r="C593" i="12"/>
  <c r="T592" i="12"/>
  <c r="R592" i="12"/>
  <c r="C592" i="12"/>
  <c r="Y591" i="12"/>
  <c r="W591" i="12"/>
  <c r="T591" i="12"/>
  <c r="V591" i="12" s="1"/>
  <c r="R591" i="12"/>
  <c r="C591" i="12"/>
  <c r="T590" i="12"/>
  <c r="R590" i="12"/>
  <c r="C590" i="12"/>
  <c r="W589" i="12"/>
  <c r="Y589" i="12" s="1"/>
  <c r="V589" i="12"/>
  <c r="T589" i="12"/>
  <c r="R589" i="12"/>
  <c r="C589" i="12"/>
  <c r="W588" i="12"/>
  <c r="Y588" i="12" s="1"/>
  <c r="V588" i="12"/>
  <c r="T588" i="12"/>
  <c r="R588" i="12"/>
  <c r="C588" i="12"/>
  <c r="W587" i="12"/>
  <c r="Y587" i="12" s="1"/>
  <c r="T587" i="12"/>
  <c r="V587" i="12" s="1"/>
  <c r="R587" i="12"/>
  <c r="C587" i="12"/>
  <c r="W586" i="12"/>
  <c r="Y586" i="12" s="1"/>
  <c r="V586" i="12"/>
  <c r="T586" i="12"/>
  <c r="R586" i="12"/>
  <c r="C586" i="12"/>
  <c r="T585" i="12"/>
  <c r="R585" i="12"/>
  <c r="C585" i="12"/>
  <c r="V584" i="12"/>
  <c r="W584" i="12" s="1"/>
  <c r="Y584" i="12" s="1"/>
  <c r="T584" i="12"/>
  <c r="R584" i="12"/>
  <c r="C584" i="12"/>
  <c r="W583" i="12"/>
  <c r="Y583" i="12" s="1"/>
  <c r="T583" i="12"/>
  <c r="V583" i="12" s="1"/>
  <c r="R583" i="12"/>
  <c r="C583" i="12"/>
  <c r="T582" i="12"/>
  <c r="R582" i="12"/>
  <c r="C582" i="12"/>
  <c r="W581" i="12"/>
  <c r="Y581" i="12" s="1"/>
  <c r="V581" i="12"/>
  <c r="T581" i="12"/>
  <c r="R581" i="12"/>
  <c r="C581" i="12"/>
  <c r="T580" i="12"/>
  <c r="R580" i="12"/>
  <c r="C580" i="12"/>
  <c r="T579" i="12"/>
  <c r="R579" i="12"/>
  <c r="C579" i="12"/>
  <c r="V578" i="12"/>
  <c r="W578" i="12" s="1"/>
  <c r="Y578" i="12" s="1"/>
  <c r="T578" i="12"/>
  <c r="R578" i="12"/>
  <c r="C578" i="12"/>
  <c r="T577" i="12"/>
  <c r="R577" i="12"/>
  <c r="C577" i="12"/>
  <c r="T576" i="12"/>
  <c r="R576" i="12"/>
  <c r="C576" i="12"/>
  <c r="W575" i="12"/>
  <c r="Y575" i="12" s="1"/>
  <c r="T575" i="12"/>
  <c r="V575" i="12" s="1"/>
  <c r="R575" i="12"/>
  <c r="C575" i="12"/>
  <c r="T574" i="12"/>
  <c r="R574" i="12"/>
  <c r="C574" i="12"/>
  <c r="V573" i="12"/>
  <c r="W573" i="12" s="1"/>
  <c r="Y573" i="12" s="1"/>
  <c r="T573" i="12"/>
  <c r="R573" i="12"/>
  <c r="C573" i="12"/>
  <c r="W572" i="12"/>
  <c r="Y572" i="12" s="1"/>
  <c r="V572" i="12"/>
  <c r="T572" i="12"/>
  <c r="R572" i="12"/>
  <c r="C572" i="12"/>
  <c r="W571" i="12"/>
  <c r="Y571" i="12" s="1"/>
  <c r="T571" i="12"/>
  <c r="V571" i="12" s="1"/>
  <c r="R571" i="12"/>
  <c r="C571" i="12"/>
  <c r="V570" i="12"/>
  <c r="W570" i="12" s="1"/>
  <c r="Y570" i="12" s="1"/>
  <c r="T570" i="12"/>
  <c r="R570" i="12"/>
  <c r="C570" i="12"/>
  <c r="T569" i="12"/>
  <c r="R569" i="12"/>
  <c r="C569" i="12"/>
  <c r="T568" i="12"/>
  <c r="R568" i="12"/>
  <c r="C568" i="12"/>
  <c r="W567" i="12"/>
  <c r="Y567" i="12" s="1"/>
  <c r="T567" i="12"/>
  <c r="V567" i="12" s="1"/>
  <c r="R567" i="12"/>
  <c r="C567" i="12"/>
  <c r="T566" i="12"/>
  <c r="R566" i="12"/>
  <c r="C566" i="12"/>
  <c r="V565" i="12"/>
  <c r="W565" i="12" s="1"/>
  <c r="Y565" i="12" s="1"/>
  <c r="T565" i="12"/>
  <c r="R565" i="12"/>
  <c r="C565" i="12"/>
  <c r="W564" i="12"/>
  <c r="Y564" i="12" s="1"/>
  <c r="T564" i="12"/>
  <c r="V564" i="12" s="1"/>
  <c r="R564" i="12"/>
  <c r="C564" i="12"/>
  <c r="T563" i="12"/>
  <c r="R563" i="12"/>
  <c r="C563" i="12"/>
  <c r="W562" i="12"/>
  <c r="Y562" i="12" s="1"/>
  <c r="V562" i="12"/>
  <c r="T562" i="12"/>
  <c r="R562" i="12"/>
  <c r="C562" i="12"/>
  <c r="T561" i="12"/>
  <c r="R561" i="12"/>
  <c r="C561" i="12"/>
  <c r="V560" i="12"/>
  <c r="T560" i="12"/>
  <c r="R560" i="12"/>
  <c r="C560" i="12"/>
  <c r="W559" i="12"/>
  <c r="Y559" i="12" s="1"/>
  <c r="T559" i="12"/>
  <c r="V559" i="12" s="1"/>
  <c r="R559" i="12"/>
  <c r="C559" i="12"/>
  <c r="V558" i="12"/>
  <c r="T558" i="12"/>
  <c r="R558" i="12"/>
  <c r="C558" i="12"/>
  <c r="W557" i="12"/>
  <c r="Y557" i="12" s="1"/>
  <c r="V557" i="12"/>
  <c r="T557" i="12"/>
  <c r="R557" i="12"/>
  <c r="C557" i="12"/>
  <c r="W556" i="12"/>
  <c r="Y556" i="12" s="1"/>
  <c r="V556" i="12"/>
  <c r="T556" i="12"/>
  <c r="R556" i="12"/>
  <c r="C556" i="12"/>
  <c r="W555" i="12"/>
  <c r="Y555" i="12" s="1"/>
  <c r="T555" i="12"/>
  <c r="V555" i="12" s="1"/>
  <c r="R555" i="12"/>
  <c r="C555" i="12"/>
  <c r="W554" i="12"/>
  <c r="Y554" i="12" s="1"/>
  <c r="V554" i="12"/>
  <c r="T554" i="12"/>
  <c r="R554" i="12"/>
  <c r="C554" i="12"/>
  <c r="T553" i="12"/>
  <c r="R553" i="12"/>
  <c r="C553" i="12"/>
  <c r="W552" i="12"/>
  <c r="Y552" i="12" s="1"/>
  <c r="V552" i="12"/>
  <c r="T552" i="12"/>
  <c r="R552" i="12"/>
  <c r="C552" i="12"/>
  <c r="Y551" i="12"/>
  <c r="W551" i="12"/>
  <c r="T551" i="12"/>
  <c r="V551" i="12" s="1"/>
  <c r="R551" i="12"/>
  <c r="C551" i="12"/>
  <c r="T550" i="12"/>
  <c r="R550" i="12"/>
  <c r="C550" i="12"/>
  <c r="V549" i="12"/>
  <c r="W549" i="12" s="1"/>
  <c r="Y549" i="12" s="1"/>
  <c r="T549" i="12"/>
  <c r="R549" i="12"/>
  <c r="C549" i="12"/>
  <c r="T548" i="12"/>
  <c r="R548" i="12"/>
  <c r="C548" i="12"/>
  <c r="T547" i="12"/>
  <c r="R547" i="12"/>
  <c r="C547" i="12"/>
  <c r="V546" i="12"/>
  <c r="W546" i="12" s="1"/>
  <c r="Y546" i="12" s="1"/>
  <c r="T546" i="12"/>
  <c r="R546" i="12"/>
  <c r="C546" i="12"/>
  <c r="T545" i="12"/>
  <c r="R545" i="12"/>
  <c r="C545" i="12"/>
  <c r="T544" i="12"/>
  <c r="R544" i="12"/>
  <c r="C544" i="12"/>
  <c r="W543" i="12"/>
  <c r="Y543" i="12" s="1"/>
  <c r="V543" i="12"/>
  <c r="T543" i="12"/>
  <c r="R543" i="12"/>
  <c r="C543" i="12"/>
  <c r="W542" i="12"/>
  <c r="Y542" i="12" s="1"/>
  <c r="V542" i="12"/>
  <c r="T542" i="12"/>
  <c r="R542" i="12"/>
  <c r="C542" i="12"/>
  <c r="T541" i="12"/>
  <c r="R541" i="12"/>
  <c r="C541" i="12"/>
  <c r="T540" i="12"/>
  <c r="R540" i="12"/>
  <c r="C540" i="12"/>
  <c r="W539" i="12"/>
  <c r="Y539" i="12" s="1"/>
  <c r="V539" i="12"/>
  <c r="T539" i="12"/>
  <c r="R539" i="12"/>
  <c r="C539" i="12"/>
  <c r="V538" i="12"/>
  <c r="T538" i="12"/>
  <c r="W538" i="12" s="1"/>
  <c r="Y538" i="12" s="1"/>
  <c r="R538" i="12"/>
  <c r="C538" i="12"/>
  <c r="T537" i="12"/>
  <c r="V537" i="12" s="1"/>
  <c r="R537" i="12"/>
  <c r="C537" i="12"/>
  <c r="T536" i="12"/>
  <c r="R536" i="12"/>
  <c r="C536" i="12"/>
  <c r="W535" i="12"/>
  <c r="Y535" i="12" s="1"/>
  <c r="V535" i="12"/>
  <c r="T535" i="12"/>
  <c r="R535" i="12"/>
  <c r="C535" i="12"/>
  <c r="V534" i="12"/>
  <c r="W534" i="12" s="1"/>
  <c r="Y534" i="12" s="1"/>
  <c r="T534" i="12"/>
  <c r="R534" i="12"/>
  <c r="C534" i="12"/>
  <c r="T533" i="12"/>
  <c r="R533" i="12"/>
  <c r="C533" i="12"/>
  <c r="T532" i="12"/>
  <c r="R532" i="12"/>
  <c r="C532" i="12"/>
  <c r="W531" i="12"/>
  <c r="Y531" i="12" s="1"/>
  <c r="V531" i="12"/>
  <c r="T531" i="12"/>
  <c r="R531" i="12"/>
  <c r="C531" i="12"/>
  <c r="V530" i="12"/>
  <c r="T530" i="12"/>
  <c r="R530" i="12"/>
  <c r="C530" i="12"/>
  <c r="T529" i="12"/>
  <c r="V529" i="12" s="1"/>
  <c r="R529" i="12"/>
  <c r="C529" i="12"/>
  <c r="T528" i="12"/>
  <c r="R528" i="12"/>
  <c r="C528" i="12"/>
  <c r="W527" i="12"/>
  <c r="Y527" i="12" s="1"/>
  <c r="V527" i="12"/>
  <c r="T527" i="12"/>
  <c r="R527" i="12"/>
  <c r="C527" i="12"/>
  <c r="W526" i="12"/>
  <c r="Y526" i="12" s="1"/>
  <c r="V526" i="12"/>
  <c r="T526" i="12"/>
  <c r="R526" i="12"/>
  <c r="C526" i="12"/>
  <c r="T525" i="12"/>
  <c r="R525" i="12"/>
  <c r="C525" i="12"/>
  <c r="T524" i="12"/>
  <c r="R524" i="12"/>
  <c r="C524" i="12"/>
  <c r="W523" i="12"/>
  <c r="Y523" i="12" s="1"/>
  <c r="V523" i="12"/>
  <c r="T523" i="12"/>
  <c r="R523" i="12"/>
  <c r="C523" i="12"/>
  <c r="V522" i="12"/>
  <c r="T522" i="12"/>
  <c r="W522" i="12" s="1"/>
  <c r="Y522" i="12" s="1"/>
  <c r="R522" i="12"/>
  <c r="C522" i="12"/>
  <c r="T521" i="12"/>
  <c r="V521" i="12" s="1"/>
  <c r="R521" i="12"/>
  <c r="C521" i="12"/>
  <c r="T520" i="12"/>
  <c r="R520" i="12"/>
  <c r="C520" i="12"/>
  <c r="W519" i="12"/>
  <c r="Y519" i="12" s="1"/>
  <c r="V519" i="12"/>
  <c r="T519" i="12"/>
  <c r="R519" i="12"/>
  <c r="C519" i="12"/>
  <c r="V518" i="12"/>
  <c r="W518" i="12" s="1"/>
  <c r="Y518" i="12" s="1"/>
  <c r="T518" i="12"/>
  <c r="R518" i="12"/>
  <c r="C518" i="12"/>
  <c r="T517" i="12"/>
  <c r="R517" i="12"/>
  <c r="C517" i="12"/>
  <c r="T516" i="12"/>
  <c r="R516" i="12"/>
  <c r="C516" i="12"/>
  <c r="W515" i="12"/>
  <c r="Y515" i="12" s="1"/>
  <c r="V515" i="12"/>
  <c r="T515" i="12"/>
  <c r="R515" i="12"/>
  <c r="C515" i="12"/>
  <c r="V514" i="12"/>
  <c r="T514" i="12"/>
  <c r="W514" i="12" s="1"/>
  <c r="Y514" i="12" s="1"/>
  <c r="R514" i="12"/>
  <c r="C514" i="12"/>
  <c r="T513" i="12"/>
  <c r="V513" i="12" s="1"/>
  <c r="R513" i="12"/>
  <c r="C513" i="12"/>
  <c r="T512" i="12"/>
  <c r="R512" i="12"/>
  <c r="C512" i="12"/>
  <c r="W511" i="12"/>
  <c r="Y511" i="12" s="1"/>
  <c r="V511" i="12"/>
  <c r="T511" i="12"/>
  <c r="R511" i="12"/>
  <c r="C511" i="12"/>
  <c r="V510" i="12"/>
  <c r="W510" i="12" s="1"/>
  <c r="Y510" i="12" s="1"/>
  <c r="T510" i="12"/>
  <c r="R510" i="12"/>
  <c r="C510" i="12"/>
  <c r="T509" i="12"/>
  <c r="R509" i="12"/>
  <c r="C509" i="12"/>
  <c r="T508" i="12"/>
  <c r="R508" i="12"/>
  <c r="C508" i="12"/>
  <c r="W507" i="12"/>
  <c r="Y507" i="12" s="1"/>
  <c r="V507" i="12"/>
  <c r="T507" i="12"/>
  <c r="R507" i="12"/>
  <c r="C507" i="12"/>
  <c r="V506" i="12"/>
  <c r="T506" i="12"/>
  <c r="W506" i="12" s="1"/>
  <c r="Y506" i="12" s="1"/>
  <c r="R506" i="12"/>
  <c r="C506" i="12"/>
  <c r="T505" i="12"/>
  <c r="V505" i="12" s="1"/>
  <c r="R505" i="12"/>
  <c r="C505" i="12"/>
  <c r="T504" i="12"/>
  <c r="R504" i="12"/>
  <c r="C504" i="12"/>
  <c r="W503" i="12"/>
  <c r="Y503" i="12" s="1"/>
  <c r="V503" i="12"/>
  <c r="T503" i="12"/>
  <c r="R503" i="12"/>
  <c r="C503" i="12"/>
  <c r="V502" i="12"/>
  <c r="W502" i="12" s="1"/>
  <c r="Y502" i="12" s="1"/>
  <c r="T502" i="12"/>
  <c r="R502" i="12"/>
  <c r="C502" i="12"/>
  <c r="T501" i="12"/>
  <c r="R501" i="12"/>
  <c r="C501" i="12"/>
  <c r="T500" i="12"/>
  <c r="R500" i="12"/>
  <c r="C500" i="12"/>
  <c r="W499" i="12"/>
  <c r="Y499" i="12" s="1"/>
  <c r="V499" i="12"/>
  <c r="T499" i="12"/>
  <c r="R499" i="12"/>
  <c r="C499" i="12"/>
  <c r="V498" i="12"/>
  <c r="T498" i="12"/>
  <c r="W498" i="12" s="1"/>
  <c r="Y498" i="12" s="1"/>
  <c r="R498" i="12"/>
  <c r="C498" i="12"/>
  <c r="T497" i="12"/>
  <c r="V497" i="12" s="1"/>
  <c r="R497" i="12"/>
  <c r="C497" i="12"/>
  <c r="T496" i="12"/>
  <c r="R496" i="12"/>
  <c r="C496" i="12"/>
  <c r="W495" i="12"/>
  <c r="Y495" i="12" s="1"/>
  <c r="V495" i="12"/>
  <c r="T495" i="12"/>
  <c r="R495" i="12"/>
  <c r="C495" i="12"/>
  <c r="W494" i="12"/>
  <c r="Y494" i="12" s="1"/>
  <c r="V494" i="12"/>
  <c r="T494" i="12"/>
  <c r="R494" i="12"/>
  <c r="C494" i="12"/>
  <c r="T493" i="12"/>
  <c r="R493" i="12"/>
  <c r="C493" i="12"/>
  <c r="V492" i="12"/>
  <c r="T492" i="12"/>
  <c r="R492" i="12"/>
  <c r="C492" i="12"/>
  <c r="V491" i="12"/>
  <c r="W491" i="12" s="1"/>
  <c r="Y491" i="12" s="1"/>
  <c r="T491" i="12"/>
  <c r="R491" i="12"/>
  <c r="C491" i="12"/>
  <c r="T490" i="12"/>
  <c r="V490" i="12" s="1"/>
  <c r="R490" i="12"/>
  <c r="C490" i="12"/>
  <c r="W489" i="12"/>
  <c r="Y489" i="12" s="1"/>
  <c r="T489" i="12"/>
  <c r="V489" i="12" s="1"/>
  <c r="R489" i="12"/>
  <c r="C489" i="12"/>
  <c r="V488" i="12"/>
  <c r="T488" i="12"/>
  <c r="R488" i="12"/>
  <c r="C488" i="12"/>
  <c r="W487" i="12"/>
  <c r="Y487" i="12" s="1"/>
  <c r="V487" i="12"/>
  <c r="T487" i="12"/>
  <c r="R487" i="12"/>
  <c r="C487" i="12"/>
  <c r="V486" i="12"/>
  <c r="W486" i="12" s="1"/>
  <c r="Y486" i="12" s="1"/>
  <c r="T486" i="12"/>
  <c r="R486" i="12"/>
  <c r="C486" i="12"/>
  <c r="Y485" i="12"/>
  <c r="W485" i="12"/>
  <c r="T485" i="12"/>
  <c r="V485" i="12" s="1"/>
  <c r="R485" i="12"/>
  <c r="C485" i="12"/>
  <c r="V484" i="12"/>
  <c r="T484" i="12"/>
  <c r="R484" i="12"/>
  <c r="C484" i="12"/>
  <c r="Y483" i="12"/>
  <c r="V483" i="12"/>
  <c r="W483" i="12" s="1"/>
  <c r="T483" i="12"/>
  <c r="R483" i="12"/>
  <c r="C483" i="12"/>
  <c r="T482" i="12"/>
  <c r="R482" i="12"/>
  <c r="C482" i="12"/>
  <c r="W481" i="12"/>
  <c r="Y481" i="12" s="1"/>
  <c r="T481" i="12"/>
  <c r="V481" i="12" s="1"/>
  <c r="R481" i="12"/>
  <c r="C481" i="12"/>
  <c r="T480" i="12"/>
  <c r="R480" i="12"/>
  <c r="C480" i="12"/>
  <c r="W479" i="12"/>
  <c r="Y479" i="12" s="1"/>
  <c r="V479" i="12"/>
  <c r="T479" i="12"/>
  <c r="R479" i="12"/>
  <c r="C479" i="12"/>
  <c r="V478" i="12"/>
  <c r="T478" i="12"/>
  <c r="R478" i="12"/>
  <c r="C478" i="12"/>
  <c r="T477" i="12"/>
  <c r="V477" i="12" s="1"/>
  <c r="R477" i="12"/>
  <c r="C477" i="12"/>
  <c r="T476" i="12"/>
  <c r="R476" i="12"/>
  <c r="C476" i="12"/>
  <c r="V475" i="12"/>
  <c r="W475" i="12" s="1"/>
  <c r="Y475" i="12" s="1"/>
  <c r="T475" i="12"/>
  <c r="R475" i="12"/>
  <c r="C475" i="12"/>
  <c r="T474" i="12"/>
  <c r="V474" i="12" s="1"/>
  <c r="W474" i="12" s="1"/>
  <c r="Y474" i="12" s="1"/>
  <c r="R474" i="12"/>
  <c r="C474" i="12"/>
  <c r="T473" i="12"/>
  <c r="V473" i="12" s="1"/>
  <c r="R473" i="12"/>
  <c r="C473" i="12"/>
  <c r="T472" i="12"/>
  <c r="R472" i="12"/>
  <c r="C472" i="12"/>
  <c r="Y471" i="12"/>
  <c r="W471" i="12"/>
  <c r="V471" i="12"/>
  <c r="T471" i="12"/>
  <c r="R471" i="12"/>
  <c r="C471" i="12"/>
  <c r="V470" i="12"/>
  <c r="T470" i="12"/>
  <c r="R470" i="12"/>
  <c r="C470" i="12"/>
  <c r="T469" i="12"/>
  <c r="R469" i="12"/>
  <c r="C469" i="12"/>
  <c r="V468" i="12"/>
  <c r="T468" i="12"/>
  <c r="R468" i="12"/>
  <c r="C468" i="12"/>
  <c r="V467" i="12"/>
  <c r="W467" i="12" s="1"/>
  <c r="Y467" i="12" s="1"/>
  <c r="T467" i="12"/>
  <c r="R467" i="12"/>
  <c r="C467" i="12"/>
  <c r="T466" i="12"/>
  <c r="R466" i="12"/>
  <c r="C466" i="12"/>
  <c r="W465" i="12"/>
  <c r="Y465" i="12" s="1"/>
  <c r="T465" i="12"/>
  <c r="V465" i="12" s="1"/>
  <c r="R465" i="12"/>
  <c r="C465" i="12"/>
  <c r="T464" i="12"/>
  <c r="R464" i="12"/>
  <c r="C464" i="12"/>
  <c r="W463" i="12"/>
  <c r="Y463" i="12" s="1"/>
  <c r="V463" i="12"/>
  <c r="T463" i="12"/>
  <c r="R463" i="12"/>
  <c r="C463" i="12"/>
  <c r="W462" i="12"/>
  <c r="Y462" i="12" s="1"/>
  <c r="V462" i="12"/>
  <c r="T462" i="12"/>
  <c r="R462" i="12"/>
  <c r="C462" i="12"/>
  <c r="T461" i="12"/>
  <c r="R461" i="12"/>
  <c r="C461" i="12"/>
  <c r="V460" i="12"/>
  <c r="T460" i="12"/>
  <c r="R460" i="12"/>
  <c r="C460" i="12"/>
  <c r="Y459" i="12"/>
  <c r="W459" i="12"/>
  <c r="V459" i="12"/>
  <c r="T459" i="12"/>
  <c r="R459" i="12"/>
  <c r="C459" i="12"/>
  <c r="W458" i="12"/>
  <c r="Y458" i="12" s="1"/>
  <c r="T458" i="12"/>
  <c r="V458" i="12" s="1"/>
  <c r="R458" i="12"/>
  <c r="C458" i="12"/>
  <c r="W457" i="12"/>
  <c r="Y457" i="12" s="1"/>
  <c r="T457" i="12"/>
  <c r="V457" i="12" s="1"/>
  <c r="R457" i="12"/>
  <c r="C457" i="12"/>
  <c r="T456" i="12"/>
  <c r="R456" i="12"/>
  <c r="C456" i="12"/>
  <c r="W455" i="12"/>
  <c r="Y455" i="12" s="1"/>
  <c r="V455" i="12"/>
  <c r="T455" i="12"/>
  <c r="R455" i="12"/>
  <c r="C455" i="12"/>
  <c r="V454" i="12"/>
  <c r="W454" i="12" s="1"/>
  <c r="Y454" i="12" s="1"/>
  <c r="T454" i="12"/>
  <c r="R454" i="12"/>
  <c r="C454" i="12"/>
  <c r="T453" i="12"/>
  <c r="R453" i="12"/>
  <c r="C453" i="12"/>
  <c r="V452" i="12"/>
  <c r="T452" i="12"/>
  <c r="R452" i="12"/>
  <c r="C452" i="12"/>
  <c r="V451" i="12"/>
  <c r="W451" i="12" s="1"/>
  <c r="Y451" i="12" s="1"/>
  <c r="T451" i="12"/>
  <c r="R451" i="12"/>
  <c r="C451" i="12"/>
  <c r="V450" i="12"/>
  <c r="W450" i="12" s="1"/>
  <c r="Y450" i="12" s="1"/>
  <c r="T450" i="12"/>
  <c r="R450" i="12"/>
  <c r="C450" i="12"/>
  <c r="W449" i="12"/>
  <c r="Y449" i="12" s="1"/>
  <c r="T449" i="12"/>
  <c r="V449" i="12" s="1"/>
  <c r="R449" i="12"/>
  <c r="C449" i="12"/>
  <c r="Y448" i="12"/>
  <c r="V448" i="12"/>
  <c r="W448" i="12" s="1"/>
  <c r="T448" i="12"/>
  <c r="R448" i="12"/>
  <c r="C448" i="12"/>
  <c r="W447" i="12"/>
  <c r="Y447" i="12" s="1"/>
  <c r="V447" i="12"/>
  <c r="T447" i="12"/>
  <c r="R447" i="12"/>
  <c r="C447" i="12"/>
  <c r="T446" i="12"/>
  <c r="V446" i="12" s="1"/>
  <c r="R446" i="12"/>
  <c r="C446" i="12"/>
  <c r="W445" i="12"/>
  <c r="Y445" i="12" s="1"/>
  <c r="T445" i="12"/>
  <c r="V445" i="12" s="1"/>
  <c r="R445" i="12"/>
  <c r="C445" i="12"/>
  <c r="V444" i="12"/>
  <c r="W444" i="12" s="1"/>
  <c r="Y444" i="12" s="1"/>
  <c r="T444" i="12"/>
  <c r="R444" i="12"/>
  <c r="C444" i="12"/>
  <c r="T443" i="12"/>
  <c r="R443" i="12"/>
  <c r="C443" i="12"/>
  <c r="T442" i="12"/>
  <c r="R442" i="12"/>
  <c r="C442" i="12"/>
  <c r="W441" i="12"/>
  <c r="Y441" i="12" s="1"/>
  <c r="T441" i="12"/>
  <c r="V441" i="12" s="1"/>
  <c r="R441" i="12"/>
  <c r="C441" i="12"/>
  <c r="T440" i="12"/>
  <c r="R440" i="12"/>
  <c r="C440" i="12"/>
  <c r="V439" i="12"/>
  <c r="T439" i="12"/>
  <c r="R439" i="12"/>
  <c r="C439" i="12"/>
  <c r="T438" i="12"/>
  <c r="V438" i="12" s="1"/>
  <c r="W438" i="12" s="1"/>
  <c r="Y438" i="12" s="1"/>
  <c r="R438" i="12"/>
  <c r="C438" i="12"/>
  <c r="W437" i="12"/>
  <c r="Y437" i="12" s="1"/>
  <c r="T437" i="12"/>
  <c r="V437" i="12" s="1"/>
  <c r="R437" i="12"/>
  <c r="C437" i="12"/>
  <c r="V436" i="12"/>
  <c r="T436" i="12"/>
  <c r="W436" i="12" s="1"/>
  <c r="Y436" i="12" s="1"/>
  <c r="R436" i="12"/>
  <c r="C436" i="12"/>
  <c r="Y435" i="12"/>
  <c r="V435" i="12"/>
  <c r="W435" i="12" s="1"/>
  <c r="T435" i="12"/>
  <c r="R435" i="12"/>
  <c r="C435" i="12"/>
  <c r="T434" i="12"/>
  <c r="R434" i="12"/>
  <c r="C434" i="12"/>
  <c r="W433" i="12"/>
  <c r="Y433" i="12" s="1"/>
  <c r="T433" i="12"/>
  <c r="V433" i="12" s="1"/>
  <c r="R433" i="12"/>
  <c r="C433" i="12"/>
  <c r="V432" i="12"/>
  <c r="W432" i="12" s="1"/>
  <c r="Y432" i="12" s="1"/>
  <c r="T432" i="12"/>
  <c r="R432" i="12"/>
  <c r="C432" i="12"/>
  <c r="Y431" i="12"/>
  <c r="V431" i="12"/>
  <c r="W431" i="12" s="1"/>
  <c r="T431" i="12"/>
  <c r="R431" i="12"/>
  <c r="C431" i="12"/>
  <c r="T430" i="12"/>
  <c r="V430" i="12" s="1"/>
  <c r="R430" i="12"/>
  <c r="C430" i="12"/>
  <c r="W429" i="12"/>
  <c r="Y429" i="12" s="1"/>
  <c r="T429" i="12"/>
  <c r="V429" i="12" s="1"/>
  <c r="R429" i="12"/>
  <c r="C429" i="12"/>
  <c r="V428" i="12"/>
  <c r="W428" i="12" s="1"/>
  <c r="Y428" i="12" s="1"/>
  <c r="T428" i="12"/>
  <c r="R428" i="12"/>
  <c r="C428" i="12"/>
  <c r="V427" i="12"/>
  <c r="T427" i="12"/>
  <c r="R427" i="12"/>
  <c r="C427" i="12"/>
  <c r="T426" i="12"/>
  <c r="R426" i="12"/>
  <c r="C426" i="12"/>
  <c r="W425" i="12"/>
  <c r="Y425" i="12" s="1"/>
  <c r="T425" i="12"/>
  <c r="V425" i="12" s="1"/>
  <c r="R425" i="12"/>
  <c r="C425" i="12"/>
  <c r="V424" i="12"/>
  <c r="T424" i="12"/>
  <c r="R424" i="12"/>
  <c r="C424" i="12"/>
  <c r="V423" i="12"/>
  <c r="T423" i="12"/>
  <c r="W423" i="12" s="1"/>
  <c r="Y423" i="12" s="1"/>
  <c r="R423" i="12"/>
  <c r="C423" i="12"/>
  <c r="W422" i="12"/>
  <c r="Y422" i="12" s="1"/>
  <c r="T422" i="12"/>
  <c r="V422" i="12" s="1"/>
  <c r="R422" i="12"/>
  <c r="C422" i="12"/>
  <c r="T421" i="12"/>
  <c r="V421" i="12" s="1"/>
  <c r="R421" i="12"/>
  <c r="C421" i="12"/>
  <c r="V420" i="12"/>
  <c r="T420" i="12"/>
  <c r="R420" i="12"/>
  <c r="C420" i="12"/>
  <c r="V419" i="12"/>
  <c r="W419" i="12" s="1"/>
  <c r="Y419" i="12" s="1"/>
  <c r="T419" i="12"/>
  <c r="R419" i="12"/>
  <c r="C419" i="12"/>
  <c r="T418" i="12"/>
  <c r="R418" i="12"/>
  <c r="C418" i="12"/>
  <c r="W417" i="12"/>
  <c r="Y417" i="12" s="1"/>
  <c r="T417" i="12"/>
  <c r="V417" i="12" s="1"/>
  <c r="R417" i="12"/>
  <c r="C417" i="12"/>
  <c r="V416" i="12"/>
  <c r="W416" i="12" s="1"/>
  <c r="Y416" i="12" s="1"/>
  <c r="T416" i="12"/>
  <c r="R416" i="12"/>
  <c r="C416" i="12"/>
  <c r="W415" i="12"/>
  <c r="Y415" i="12" s="1"/>
  <c r="V415" i="12"/>
  <c r="T415" i="12"/>
  <c r="R415" i="12"/>
  <c r="C415" i="12"/>
  <c r="T414" i="12"/>
  <c r="R414" i="12"/>
  <c r="C414" i="12"/>
  <c r="W413" i="12"/>
  <c r="Y413" i="12" s="1"/>
  <c r="T413" i="12"/>
  <c r="V413" i="12" s="1"/>
  <c r="R413" i="12"/>
  <c r="C413" i="12"/>
  <c r="W412" i="12"/>
  <c r="Y412" i="12" s="1"/>
  <c r="V412" i="12"/>
  <c r="T412" i="12"/>
  <c r="R412" i="12"/>
  <c r="C412" i="12"/>
  <c r="T411" i="12"/>
  <c r="R411" i="12"/>
  <c r="C411" i="12"/>
  <c r="T410" i="12"/>
  <c r="R410" i="12"/>
  <c r="C410" i="12"/>
  <c r="W409" i="12"/>
  <c r="Y409" i="12" s="1"/>
  <c r="T409" i="12"/>
  <c r="V409" i="12" s="1"/>
  <c r="R409" i="12"/>
  <c r="C409" i="12"/>
  <c r="T408" i="12"/>
  <c r="R408" i="12"/>
  <c r="C408" i="12"/>
  <c r="V407" i="12"/>
  <c r="T407" i="12"/>
  <c r="W407" i="12" s="1"/>
  <c r="Y407" i="12" s="1"/>
  <c r="R407" i="12"/>
  <c r="C407" i="12"/>
  <c r="T406" i="12"/>
  <c r="V406" i="12" s="1"/>
  <c r="W406" i="12" s="1"/>
  <c r="Y406" i="12" s="1"/>
  <c r="R406" i="12"/>
  <c r="C406" i="12"/>
  <c r="W405" i="12"/>
  <c r="Y405" i="12" s="1"/>
  <c r="T405" i="12"/>
  <c r="V405" i="12" s="1"/>
  <c r="R405" i="12"/>
  <c r="C405" i="12"/>
  <c r="V404" i="12"/>
  <c r="T404" i="12"/>
  <c r="W404" i="12" s="1"/>
  <c r="Y404" i="12" s="1"/>
  <c r="R404" i="12"/>
  <c r="C404" i="12"/>
  <c r="Y403" i="12"/>
  <c r="V403" i="12"/>
  <c r="W403" i="12" s="1"/>
  <c r="T403" i="12"/>
  <c r="R403" i="12"/>
  <c r="C403" i="12"/>
  <c r="V402" i="12"/>
  <c r="T402" i="12"/>
  <c r="R402" i="12"/>
  <c r="C402" i="12"/>
  <c r="W401" i="12"/>
  <c r="Y401" i="12" s="1"/>
  <c r="T401" i="12"/>
  <c r="V401" i="12" s="1"/>
  <c r="R401" i="12"/>
  <c r="C401" i="12"/>
  <c r="Y400" i="12"/>
  <c r="V400" i="12"/>
  <c r="W400" i="12" s="1"/>
  <c r="T400" i="12"/>
  <c r="R400" i="12"/>
  <c r="C400" i="12"/>
  <c r="V399" i="12"/>
  <c r="W399" i="12" s="1"/>
  <c r="Y399" i="12" s="1"/>
  <c r="T399" i="12"/>
  <c r="R399" i="12"/>
  <c r="C399" i="12"/>
  <c r="T398" i="12"/>
  <c r="V398" i="12" s="1"/>
  <c r="W398" i="12" s="1"/>
  <c r="Y398" i="12" s="1"/>
  <c r="R398" i="12"/>
  <c r="C398" i="12"/>
  <c r="W397" i="12"/>
  <c r="Y397" i="12" s="1"/>
  <c r="T397" i="12"/>
  <c r="V397" i="12" s="1"/>
  <c r="R397" i="12"/>
  <c r="C397" i="12"/>
  <c r="W396" i="12"/>
  <c r="Y396" i="12" s="1"/>
  <c r="V396" i="12"/>
  <c r="T396" i="12"/>
  <c r="R396" i="12"/>
  <c r="C396" i="12"/>
  <c r="W395" i="12"/>
  <c r="Y395" i="12" s="1"/>
  <c r="T395" i="12"/>
  <c r="V395" i="12" s="1"/>
  <c r="R395" i="12"/>
  <c r="C395" i="12"/>
  <c r="T394" i="12"/>
  <c r="R394" i="12"/>
  <c r="C394" i="12"/>
  <c r="Y393" i="12"/>
  <c r="W393" i="12"/>
  <c r="T393" i="12"/>
  <c r="V393" i="12" s="1"/>
  <c r="R393" i="12"/>
  <c r="C393" i="12"/>
  <c r="T392" i="12"/>
  <c r="V392" i="12" s="1"/>
  <c r="R392" i="12"/>
  <c r="C392" i="12"/>
  <c r="T391" i="12"/>
  <c r="R391" i="12"/>
  <c r="C391" i="12"/>
  <c r="T390" i="12"/>
  <c r="V390" i="12" s="1"/>
  <c r="W390" i="12" s="1"/>
  <c r="Y390" i="12" s="1"/>
  <c r="R390" i="12"/>
  <c r="C390" i="12"/>
  <c r="T389" i="12"/>
  <c r="R389" i="12"/>
  <c r="C389" i="12"/>
  <c r="V388" i="12"/>
  <c r="T388" i="12"/>
  <c r="R388" i="12"/>
  <c r="C388" i="12"/>
  <c r="V387" i="12"/>
  <c r="W387" i="12" s="1"/>
  <c r="Y387" i="12" s="1"/>
  <c r="T387" i="12"/>
  <c r="R387" i="12"/>
  <c r="C387" i="12"/>
  <c r="V386" i="12"/>
  <c r="W386" i="12" s="1"/>
  <c r="Y386" i="12" s="1"/>
  <c r="T386" i="12"/>
  <c r="R386" i="12"/>
  <c r="C386" i="12"/>
  <c r="W385" i="12"/>
  <c r="Y385" i="12" s="1"/>
  <c r="T385" i="12"/>
  <c r="V385" i="12" s="1"/>
  <c r="R385" i="12"/>
  <c r="C385" i="12"/>
  <c r="Y384" i="12"/>
  <c r="V384" i="12"/>
  <c r="W384" i="12" s="1"/>
  <c r="T384" i="12"/>
  <c r="R384" i="12"/>
  <c r="C384" i="12"/>
  <c r="Y383" i="12"/>
  <c r="W383" i="12"/>
  <c r="V383" i="12"/>
  <c r="T383" i="12"/>
  <c r="R383" i="12"/>
  <c r="C383" i="12"/>
  <c r="V382" i="12"/>
  <c r="W382" i="12" s="1"/>
  <c r="Y382" i="12" s="1"/>
  <c r="T382" i="12"/>
  <c r="R382" i="12"/>
  <c r="C382" i="12"/>
  <c r="W381" i="12"/>
  <c r="Y381" i="12" s="1"/>
  <c r="T381" i="12"/>
  <c r="V381" i="12" s="1"/>
  <c r="R381" i="12"/>
  <c r="C381" i="12"/>
  <c r="Y380" i="12"/>
  <c r="W380" i="12"/>
  <c r="V380" i="12"/>
  <c r="T380" i="12"/>
  <c r="R380" i="12"/>
  <c r="C380" i="12"/>
  <c r="T379" i="12"/>
  <c r="R379" i="12"/>
  <c r="C379" i="12"/>
  <c r="T378" i="12"/>
  <c r="R378" i="12"/>
  <c r="C378" i="12"/>
  <c r="W377" i="12"/>
  <c r="Y377" i="12" s="1"/>
  <c r="T377" i="12"/>
  <c r="V377" i="12" s="1"/>
  <c r="R377" i="12"/>
  <c r="C377" i="12"/>
  <c r="T376" i="12"/>
  <c r="R376" i="12"/>
  <c r="C376" i="12"/>
  <c r="V375" i="12"/>
  <c r="T375" i="12"/>
  <c r="R375" i="12"/>
  <c r="C375" i="12"/>
  <c r="T374" i="12"/>
  <c r="V374" i="12" s="1"/>
  <c r="W374" i="12" s="1"/>
  <c r="Y374" i="12" s="1"/>
  <c r="R374" i="12"/>
  <c r="C374" i="12"/>
  <c r="T373" i="12"/>
  <c r="V373" i="12" s="1"/>
  <c r="R373" i="12"/>
  <c r="C373" i="12"/>
  <c r="V372" i="12"/>
  <c r="T372" i="12"/>
  <c r="R372" i="12"/>
  <c r="C372" i="12"/>
  <c r="Y371" i="12"/>
  <c r="W371" i="12"/>
  <c r="V371" i="12"/>
  <c r="T371" i="12"/>
  <c r="R371" i="12"/>
  <c r="C371" i="12"/>
  <c r="V370" i="12"/>
  <c r="W370" i="12" s="1"/>
  <c r="Y370" i="12" s="1"/>
  <c r="T370" i="12"/>
  <c r="R370" i="12"/>
  <c r="C370" i="12"/>
  <c r="T369" i="12"/>
  <c r="R369" i="12"/>
  <c r="C369" i="12"/>
  <c r="Y368" i="12"/>
  <c r="V368" i="12"/>
  <c r="W368" i="12" s="1"/>
  <c r="T368" i="12"/>
  <c r="R368" i="12"/>
  <c r="C368" i="12"/>
  <c r="Y367" i="12"/>
  <c r="W367" i="12"/>
  <c r="V367" i="12"/>
  <c r="T367" i="12"/>
  <c r="R367" i="12"/>
  <c r="C367" i="12"/>
  <c r="T366" i="12"/>
  <c r="R366" i="12"/>
  <c r="C366" i="12"/>
  <c r="T365" i="12"/>
  <c r="V365" i="12" s="1"/>
  <c r="R365" i="12"/>
  <c r="C365" i="12"/>
  <c r="V364" i="12"/>
  <c r="W364" i="12" s="1"/>
  <c r="Y364" i="12" s="1"/>
  <c r="T364" i="12"/>
  <c r="R364" i="12"/>
  <c r="C364" i="12"/>
  <c r="T363" i="12"/>
  <c r="R363" i="12"/>
  <c r="C363" i="12"/>
  <c r="T362" i="12"/>
  <c r="R362" i="12"/>
  <c r="C362" i="12"/>
  <c r="Y361" i="12"/>
  <c r="W361" i="12"/>
  <c r="T361" i="12"/>
  <c r="V361" i="12" s="1"/>
  <c r="R361" i="12"/>
  <c r="C361" i="12"/>
  <c r="W360" i="12"/>
  <c r="Y360" i="12" s="1"/>
  <c r="T360" i="12"/>
  <c r="V360" i="12" s="1"/>
  <c r="R360" i="12"/>
  <c r="C360" i="12"/>
  <c r="V359" i="12"/>
  <c r="T359" i="12"/>
  <c r="R359" i="12"/>
  <c r="C359" i="12"/>
  <c r="W358" i="12"/>
  <c r="Y358" i="12" s="1"/>
  <c r="V358" i="12"/>
  <c r="T358" i="12"/>
  <c r="R358" i="12"/>
  <c r="C358" i="12"/>
  <c r="T357" i="12"/>
  <c r="V357" i="12" s="1"/>
  <c r="R357" i="12"/>
  <c r="C357" i="12"/>
  <c r="T356" i="12"/>
  <c r="V356" i="12" s="1"/>
  <c r="R356" i="12"/>
  <c r="C356" i="12"/>
  <c r="Y355" i="12"/>
  <c r="T355" i="12"/>
  <c r="V355" i="12" s="1"/>
  <c r="W355" i="12" s="1"/>
  <c r="R355" i="12"/>
  <c r="C355" i="12"/>
  <c r="V354" i="12"/>
  <c r="W354" i="12" s="1"/>
  <c r="Y354" i="12" s="1"/>
  <c r="T354" i="12"/>
  <c r="R354" i="12"/>
  <c r="C354" i="12"/>
  <c r="T353" i="12"/>
  <c r="R353" i="12"/>
  <c r="C353" i="12"/>
  <c r="V352" i="12"/>
  <c r="T352" i="12"/>
  <c r="R352" i="12"/>
  <c r="C352" i="12"/>
  <c r="T351" i="12"/>
  <c r="V351" i="12" s="1"/>
  <c r="W351" i="12" s="1"/>
  <c r="Y351" i="12" s="1"/>
  <c r="R351" i="12"/>
  <c r="C351" i="12"/>
  <c r="Y350" i="12"/>
  <c r="W350" i="12"/>
  <c r="V350" i="12"/>
  <c r="T350" i="12"/>
  <c r="R350" i="12"/>
  <c r="C350" i="12"/>
  <c r="V349" i="12"/>
  <c r="T349" i="12"/>
  <c r="W349" i="12" s="1"/>
  <c r="Y349" i="12" s="1"/>
  <c r="R349" i="12"/>
  <c r="C349" i="12"/>
  <c r="T348" i="12"/>
  <c r="V348" i="12" s="1"/>
  <c r="R348" i="12"/>
  <c r="C348" i="12"/>
  <c r="T347" i="12"/>
  <c r="V347" i="12" s="1"/>
  <c r="W347" i="12" s="1"/>
  <c r="Y347" i="12" s="1"/>
  <c r="R347" i="12"/>
  <c r="C347" i="12"/>
  <c r="V346" i="12"/>
  <c r="W346" i="12" s="1"/>
  <c r="Y346" i="12" s="1"/>
  <c r="T346" i="12"/>
  <c r="R346" i="12"/>
  <c r="C346" i="12"/>
  <c r="T345" i="12"/>
  <c r="R345" i="12"/>
  <c r="C345" i="12"/>
  <c r="T344" i="12"/>
  <c r="V344" i="12" s="1"/>
  <c r="R344" i="12"/>
  <c r="C344" i="12"/>
  <c r="T343" i="12"/>
  <c r="V343" i="12" s="1"/>
  <c r="W343" i="12" s="1"/>
  <c r="Y343" i="12" s="1"/>
  <c r="R343" i="12"/>
  <c r="C343" i="12"/>
  <c r="Y342" i="12"/>
  <c r="W342" i="12"/>
  <c r="V342" i="12"/>
  <c r="T342" i="12"/>
  <c r="R342" i="12"/>
  <c r="C342" i="12"/>
  <c r="W341" i="12"/>
  <c r="Y341" i="12" s="1"/>
  <c r="V341" i="12"/>
  <c r="T341" i="12"/>
  <c r="R341" i="12"/>
  <c r="C341" i="12"/>
  <c r="T340" i="12"/>
  <c r="V340" i="12" s="1"/>
  <c r="R340" i="12"/>
  <c r="C340" i="12"/>
  <c r="Y339" i="12"/>
  <c r="W339" i="12"/>
  <c r="T339" i="12"/>
  <c r="V339" i="12" s="1"/>
  <c r="R339" i="12"/>
  <c r="C339" i="12"/>
  <c r="W338" i="12"/>
  <c r="Y338" i="12" s="1"/>
  <c r="V338" i="12"/>
  <c r="T338" i="12"/>
  <c r="R338" i="12"/>
  <c r="C338" i="12"/>
  <c r="T337" i="12"/>
  <c r="R337" i="12"/>
  <c r="C337" i="12"/>
  <c r="W336" i="12"/>
  <c r="Y336" i="12" s="1"/>
  <c r="T336" i="12"/>
  <c r="V336" i="12" s="1"/>
  <c r="R336" i="12"/>
  <c r="C336" i="12"/>
  <c r="T335" i="12"/>
  <c r="V335" i="12" s="1"/>
  <c r="R335" i="12"/>
  <c r="C335" i="12"/>
  <c r="T334" i="12"/>
  <c r="R334" i="12"/>
  <c r="C334" i="12"/>
  <c r="Y333" i="12"/>
  <c r="V333" i="12"/>
  <c r="W333" i="12" s="1"/>
  <c r="T333" i="12"/>
  <c r="R333" i="12"/>
  <c r="C333" i="12"/>
  <c r="T332" i="12"/>
  <c r="R332" i="12"/>
  <c r="C332" i="12"/>
  <c r="T331" i="12"/>
  <c r="R331" i="12"/>
  <c r="C331" i="12"/>
  <c r="Y330" i="12"/>
  <c r="V330" i="12"/>
  <c r="W330" i="12" s="1"/>
  <c r="T330" i="12"/>
  <c r="R330" i="12"/>
  <c r="C330" i="12"/>
  <c r="V329" i="12"/>
  <c r="W329" i="12" s="1"/>
  <c r="Y329" i="12" s="1"/>
  <c r="T329" i="12"/>
  <c r="R329" i="12"/>
  <c r="C329" i="12"/>
  <c r="V328" i="12"/>
  <c r="T328" i="12"/>
  <c r="R328" i="12"/>
  <c r="C328" i="12"/>
  <c r="W327" i="12"/>
  <c r="Y327" i="12" s="1"/>
  <c r="T327" i="12"/>
  <c r="V327" i="12" s="1"/>
  <c r="R327" i="12"/>
  <c r="C327" i="12"/>
  <c r="V326" i="12"/>
  <c r="W326" i="12" s="1"/>
  <c r="Y326" i="12" s="1"/>
  <c r="T326" i="12"/>
  <c r="R326" i="12"/>
  <c r="C326" i="12"/>
  <c r="V325" i="12"/>
  <c r="T325" i="12"/>
  <c r="W325" i="12" s="1"/>
  <c r="Y325" i="12" s="1"/>
  <c r="R325" i="12"/>
  <c r="C325" i="12"/>
  <c r="T324" i="12"/>
  <c r="R324" i="12"/>
  <c r="C324" i="12"/>
  <c r="W323" i="12"/>
  <c r="Y323" i="12" s="1"/>
  <c r="T323" i="12"/>
  <c r="V323" i="12" s="1"/>
  <c r="R323" i="12"/>
  <c r="C323" i="12"/>
  <c r="V322" i="12"/>
  <c r="W322" i="12" s="1"/>
  <c r="Y322" i="12" s="1"/>
  <c r="T322" i="12"/>
  <c r="R322" i="12"/>
  <c r="C322" i="12"/>
  <c r="T321" i="12"/>
  <c r="R321" i="12"/>
  <c r="C321" i="12"/>
  <c r="T320" i="12"/>
  <c r="V320" i="12" s="1"/>
  <c r="W320" i="12" s="1"/>
  <c r="Y320" i="12" s="1"/>
  <c r="R320" i="12"/>
  <c r="C320" i="12"/>
  <c r="Y319" i="12"/>
  <c r="W319" i="12"/>
  <c r="T319" i="12"/>
  <c r="V319" i="12" s="1"/>
  <c r="R319" i="12"/>
  <c r="C319" i="12"/>
  <c r="T318" i="12"/>
  <c r="R318" i="12"/>
  <c r="C318" i="12"/>
  <c r="Y317" i="12"/>
  <c r="V317" i="12"/>
  <c r="W317" i="12" s="1"/>
  <c r="T317" i="12"/>
  <c r="R317" i="12"/>
  <c r="C317" i="12"/>
  <c r="W316" i="12"/>
  <c r="Y316" i="12" s="1"/>
  <c r="V316" i="12"/>
  <c r="T316" i="12"/>
  <c r="R316" i="12"/>
  <c r="C316" i="12"/>
  <c r="T315" i="12"/>
  <c r="R315" i="12"/>
  <c r="C315" i="12"/>
  <c r="Y314" i="12"/>
  <c r="V314" i="12"/>
  <c r="W314" i="12" s="1"/>
  <c r="T314" i="12"/>
  <c r="R314" i="12"/>
  <c r="C314" i="12"/>
  <c r="V313" i="12"/>
  <c r="W313" i="12" s="1"/>
  <c r="Y313" i="12" s="1"/>
  <c r="T313" i="12"/>
  <c r="R313" i="12"/>
  <c r="C313" i="12"/>
  <c r="V312" i="12"/>
  <c r="T312" i="12"/>
  <c r="R312" i="12"/>
  <c r="C312" i="12"/>
  <c r="W311" i="12"/>
  <c r="Y311" i="12" s="1"/>
  <c r="T311" i="12"/>
  <c r="V311" i="12" s="1"/>
  <c r="R311" i="12"/>
  <c r="C311" i="12"/>
  <c r="Y310" i="12"/>
  <c r="W310" i="12"/>
  <c r="V310" i="12"/>
  <c r="T310" i="12"/>
  <c r="R310" i="12"/>
  <c r="C310" i="12"/>
  <c r="T309" i="12"/>
  <c r="R309" i="12"/>
  <c r="C309" i="12"/>
  <c r="T308" i="12"/>
  <c r="R308" i="12"/>
  <c r="C308" i="12"/>
  <c r="Y307" i="12"/>
  <c r="V307" i="12"/>
  <c r="W307" i="12" s="1"/>
  <c r="T307" i="12"/>
  <c r="R307" i="12"/>
  <c r="C307" i="12"/>
  <c r="V306" i="12"/>
  <c r="W306" i="12" s="1"/>
  <c r="Y306" i="12" s="1"/>
  <c r="T306" i="12"/>
  <c r="R306" i="12"/>
  <c r="C306" i="12"/>
  <c r="T305" i="12"/>
  <c r="R305" i="12"/>
  <c r="C305" i="12"/>
  <c r="T304" i="12"/>
  <c r="R304" i="12"/>
  <c r="C304" i="12"/>
  <c r="Y303" i="12"/>
  <c r="V303" i="12"/>
  <c r="W303" i="12" s="1"/>
  <c r="T303" i="12"/>
  <c r="R303" i="12"/>
  <c r="C303" i="12"/>
  <c r="V302" i="12"/>
  <c r="W302" i="12" s="1"/>
  <c r="Y302" i="12" s="1"/>
  <c r="T302" i="12"/>
  <c r="R302" i="12"/>
  <c r="C302" i="12"/>
  <c r="V301" i="12"/>
  <c r="W301" i="12" s="1"/>
  <c r="Y301" i="12" s="1"/>
  <c r="T301" i="12"/>
  <c r="R301" i="12"/>
  <c r="C301" i="12"/>
  <c r="T300" i="12"/>
  <c r="R300" i="12"/>
  <c r="C300" i="12"/>
  <c r="V299" i="12"/>
  <c r="W299" i="12" s="1"/>
  <c r="Y299" i="12" s="1"/>
  <c r="T299" i="12"/>
  <c r="R299" i="12"/>
  <c r="C299" i="12"/>
  <c r="V298" i="12"/>
  <c r="W298" i="12" s="1"/>
  <c r="Y298" i="12" s="1"/>
  <c r="T298" i="12"/>
  <c r="R298" i="12"/>
  <c r="C298" i="12"/>
  <c r="V297" i="12"/>
  <c r="T297" i="12"/>
  <c r="W297" i="12" s="1"/>
  <c r="Y297" i="12" s="1"/>
  <c r="R297" i="12"/>
  <c r="C297" i="12"/>
  <c r="T296" i="12"/>
  <c r="R296" i="12"/>
  <c r="C296" i="12"/>
  <c r="V295" i="12"/>
  <c r="W295" i="12" s="1"/>
  <c r="Y295" i="12" s="1"/>
  <c r="T295" i="12"/>
  <c r="R295" i="12"/>
  <c r="C295" i="12"/>
  <c r="W294" i="12"/>
  <c r="Y294" i="12" s="1"/>
  <c r="V294" i="12"/>
  <c r="T294" i="12"/>
  <c r="R294" i="12"/>
  <c r="C294" i="12"/>
  <c r="T293" i="12"/>
  <c r="V293" i="12" s="1"/>
  <c r="R293" i="12"/>
  <c r="C293" i="12"/>
  <c r="T292" i="12"/>
  <c r="R292" i="12"/>
  <c r="C292" i="12"/>
  <c r="V291" i="12"/>
  <c r="W291" i="12" s="1"/>
  <c r="Y291" i="12" s="1"/>
  <c r="T291" i="12"/>
  <c r="R291" i="12"/>
  <c r="C291" i="12"/>
  <c r="W290" i="12"/>
  <c r="Y290" i="12" s="1"/>
  <c r="V290" i="12"/>
  <c r="T290" i="12"/>
  <c r="R290" i="12"/>
  <c r="C290" i="12"/>
  <c r="W289" i="12"/>
  <c r="Y289" i="12" s="1"/>
  <c r="V289" i="12"/>
  <c r="T289" i="12"/>
  <c r="R289" i="12"/>
  <c r="C289" i="12"/>
  <c r="T288" i="12"/>
  <c r="R288" i="12"/>
  <c r="C288" i="12"/>
  <c r="Y287" i="12"/>
  <c r="V287" i="12"/>
  <c r="W287" i="12" s="1"/>
  <c r="T287" i="12"/>
  <c r="R287" i="12"/>
  <c r="C287" i="12"/>
  <c r="V286" i="12"/>
  <c r="W286" i="12" s="1"/>
  <c r="Y286" i="12" s="1"/>
  <c r="T286" i="12"/>
  <c r="R286" i="12"/>
  <c r="C286" i="12"/>
  <c r="W285" i="12"/>
  <c r="Y285" i="12" s="1"/>
  <c r="V285" i="12"/>
  <c r="T285" i="12"/>
  <c r="R285" i="12"/>
  <c r="C285" i="12"/>
  <c r="T284" i="12"/>
  <c r="R284" i="12"/>
  <c r="C284" i="12"/>
  <c r="Y283" i="12"/>
  <c r="V283" i="12"/>
  <c r="W283" i="12" s="1"/>
  <c r="T283" i="12"/>
  <c r="R283" i="12"/>
  <c r="C283" i="12"/>
  <c r="Y282" i="12"/>
  <c r="W282" i="12"/>
  <c r="V282" i="12"/>
  <c r="T282" i="12"/>
  <c r="R282" i="12"/>
  <c r="C282" i="12"/>
  <c r="T281" i="12"/>
  <c r="R281" i="12"/>
  <c r="C281" i="12"/>
  <c r="T280" i="12"/>
  <c r="R280" i="12"/>
  <c r="C280" i="12"/>
  <c r="V279" i="12"/>
  <c r="W279" i="12" s="1"/>
  <c r="Y279" i="12" s="1"/>
  <c r="T279" i="12"/>
  <c r="R279" i="12"/>
  <c r="C279" i="12"/>
  <c r="Y278" i="12"/>
  <c r="W278" i="12"/>
  <c r="V278" i="12"/>
  <c r="T278" i="12"/>
  <c r="R278" i="12"/>
  <c r="C278" i="12"/>
  <c r="T277" i="12"/>
  <c r="R277" i="12"/>
  <c r="C277" i="12"/>
  <c r="T276" i="12"/>
  <c r="R276" i="12"/>
  <c r="C276" i="12"/>
  <c r="Y275" i="12"/>
  <c r="V275" i="12"/>
  <c r="W275" i="12" s="1"/>
  <c r="T275" i="12"/>
  <c r="R275" i="12"/>
  <c r="C275" i="12"/>
  <c r="V274" i="12"/>
  <c r="W274" i="12" s="1"/>
  <c r="Y274" i="12" s="1"/>
  <c r="T274" i="12"/>
  <c r="R274" i="12"/>
  <c r="C274" i="12"/>
  <c r="T273" i="12"/>
  <c r="R273" i="12"/>
  <c r="C273" i="12"/>
  <c r="T272" i="12"/>
  <c r="R272" i="12"/>
  <c r="C272" i="12"/>
  <c r="Y271" i="12"/>
  <c r="V271" i="12"/>
  <c r="W271" i="12" s="1"/>
  <c r="T271" i="12"/>
  <c r="R271" i="12"/>
  <c r="C271" i="12"/>
  <c r="V270" i="12"/>
  <c r="W270" i="12" s="1"/>
  <c r="Y270" i="12" s="1"/>
  <c r="T270" i="12"/>
  <c r="R270" i="12"/>
  <c r="C270" i="12"/>
  <c r="V269" i="12"/>
  <c r="W269" i="12" s="1"/>
  <c r="Y269" i="12" s="1"/>
  <c r="T269" i="12"/>
  <c r="R269" i="12"/>
  <c r="C269" i="12"/>
  <c r="T268" i="12"/>
  <c r="R268" i="12"/>
  <c r="C268" i="12"/>
  <c r="V267" i="12"/>
  <c r="W267" i="12" s="1"/>
  <c r="Y267" i="12" s="1"/>
  <c r="T267" i="12"/>
  <c r="R267" i="12"/>
  <c r="C267" i="12"/>
  <c r="V266" i="12"/>
  <c r="W266" i="12" s="1"/>
  <c r="Y266" i="12" s="1"/>
  <c r="T266" i="12"/>
  <c r="R266" i="12"/>
  <c r="C266" i="12"/>
  <c r="V265" i="12"/>
  <c r="T265" i="12"/>
  <c r="W265" i="12" s="1"/>
  <c r="Y265" i="12" s="1"/>
  <c r="R265" i="12"/>
  <c r="C265" i="12"/>
  <c r="T264" i="12"/>
  <c r="R264" i="12"/>
  <c r="C264" i="12"/>
  <c r="V263" i="12"/>
  <c r="W263" i="12" s="1"/>
  <c r="Y263" i="12" s="1"/>
  <c r="T263" i="12"/>
  <c r="R263" i="12"/>
  <c r="C263" i="12"/>
  <c r="W262" i="12"/>
  <c r="Y262" i="12" s="1"/>
  <c r="V262" i="12"/>
  <c r="T262" i="12"/>
  <c r="R262" i="12"/>
  <c r="C262" i="12"/>
  <c r="T261" i="12"/>
  <c r="V261" i="12" s="1"/>
  <c r="R261" i="12"/>
  <c r="C261" i="12"/>
  <c r="T260" i="12"/>
  <c r="R260" i="12"/>
  <c r="C260" i="12"/>
  <c r="V259" i="12"/>
  <c r="W259" i="12" s="1"/>
  <c r="Y259" i="12" s="1"/>
  <c r="T259" i="12"/>
  <c r="R259" i="12"/>
  <c r="C259" i="12"/>
  <c r="W258" i="12"/>
  <c r="Y258" i="12" s="1"/>
  <c r="V258" i="12"/>
  <c r="T258" i="12"/>
  <c r="R258" i="12"/>
  <c r="C258" i="12"/>
  <c r="W257" i="12"/>
  <c r="Y257" i="12" s="1"/>
  <c r="V257" i="12"/>
  <c r="T257" i="12"/>
  <c r="R257" i="12"/>
  <c r="C257" i="12"/>
  <c r="T256" i="12"/>
  <c r="R256" i="12"/>
  <c r="C256" i="12"/>
  <c r="Y255" i="12"/>
  <c r="V255" i="12"/>
  <c r="W255" i="12" s="1"/>
  <c r="T255" i="12"/>
  <c r="R255" i="12"/>
  <c r="C255" i="12"/>
  <c r="V254" i="12"/>
  <c r="W254" i="12" s="1"/>
  <c r="Y254" i="12" s="1"/>
  <c r="T254" i="12"/>
  <c r="R254" i="12"/>
  <c r="C254" i="12"/>
  <c r="W253" i="12"/>
  <c r="Y253" i="12" s="1"/>
  <c r="V253" i="12"/>
  <c r="T253" i="12"/>
  <c r="R253" i="12"/>
  <c r="C253" i="12"/>
  <c r="T252" i="12"/>
  <c r="R252" i="12"/>
  <c r="C252" i="12"/>
  <c r="Y251" i="12"/>
  <c r="V251" i="12"/>
  <c r="W251" i="12" s="1"/>
  <c r="T251" i="12"/>
  <c r="R251" i="12"/>
  <c r="C251" i="12"/>
  <c r="Y250" i="12"/>
  <c r="W250" i="12"/>
  <c r="V250" i="12"/>
  <c r="T250" i="12"/>
  <c r="R250" i="12"/>
  <c r="C250" i="12"/>
  <c r="T249" i="12"/>
  <c r="R249" i="12"/>
  <c r="C249" i="12"/>
  <c r="T248" i="12"/>
  <c r="R248" i="12"/>
  <c r="C248" i="12"/>
  <c r="V247" i="12"/>
  <c r="W247" i="12" s="1"/>
  <c r="Y247" i="12" s="1"/>
  <c r="T247" i="12"/>
  <c r="R247" i="12"/>
  <c r="C247" i="12"/>
  <c r="Y246" i="12"/>
  <c r="W246" i="12"/>
  <c r="V246" i="12"/>
  <c r="T246" i="12"/>
  <c r="R246" i="12"/>
  <c r="C246" i="12"/>
  <c r="T245" i="12"/>
  <c r="R245" i="12"/>
  <c r="C245" i="12"/>
  <c r="T244" i="12"/>
  <c r="R244" i="12"/>
  <c r="C244" i="12"/>
  <c r="Y243" i="12"/>
  <c r="V243" i="12"/>
  <c r="W243" i="12" s="1"/>
  <c r="T243" i="12"/>
  <c r="R243" i="12"/>
  <c r="C243" i="12"/>
  <c r="V242" i="12"/>
  <c r="W242" i="12" s="1"/>
  <c r="Y242" i="12" s="1"/>
  <c r="T242" i="12"/>
  <c r="R242" i="12"/>
  <c r="C242" i="12"/>
  <c r="T241" i="12"/>
  <c r="R241" i="12"/>
  <c r="C241" i="12"/>
  <c r="T240" i="12"/>
  <c r="R240" i="12"/>
  <c r="C240" i="12"/>
  <c r="Y239" i="12"/>
  <c r="V239" i="12"/>
  <c r="W239" i="12" s="1"/>
  <c r="T239" i="12"/>
  <c r="R239" i="12"/>
  <c r="C239" i="12"/>
  <c r="V238" i="12"/>
  <c r="W238" i="12" s="1"/>
  <c r="Y238" i="12" s="1"/>
  <c r="T238" i="12"/>
  <c r="R238" i="12"/>
  <c r="C238" i="12"/>
  <c r="V237" i="12"/>
  <c r="W237" i="12" s="1"/>
  <c r="Y237" i="12" s="1"/>
  <c r="T237" i="12"/>
  <c r="R237" i="12"/>
  <c r="C237" i="12"/>
  <c r="T236" i="12"/>
  <c r="R236" i="12"/>
  <c r="C236" i="12"/>
  <c r="V235" i="12"/>
  <c r="W235" i="12" s="1"/>
  <c r="Y235" i="12" s="1"/>
  <c r="T235" i="12"/>
  <c r="R235" i="12"/>
  <c r="C235" i="12"/>
  <c r="V234" i="12"/>
  <c r="W234" i="12" s="1"/>
  <c r="Y234" i="12" s="1"/>
  <c r="T234" i="12"/>
  <c r="R234" i="12"/>
  <c r="C234" i="12"/>
  <c r="V233" i="12"/>
  <c r="T233" i="12"/>
  <c r="W233" i="12" s="1"/>
  <c r="Y233" i="12" s="1"/>
  <c r="R233" i="12"/>
  <c r="C233" i="12"/>
  <c r="T232" i="12"/>
  <c r="R232" i="12"/>
  <c r="C232" i="12"/>
  <c r="V231" i="12"/>
  <c r="W231" i="12" s="1"/>
  <c r="Y231" i="12" s="1"/>
  <c r="T231" i="12"/>
  <c r="R231" i="12"/>
  <c r="C231" i="12"/>
  <c r="W230" i="12"/>
  <c r="Y230" i="12" s="1"/>
  <c r="V230" i="12"/>
  <c r="T230" i="12"/>
  <c r="R230" i="12"/>
  <c r="C230" i="12"/>
  <c r="T229" i="12"/>
  <c r="R229" i="12"/>
  <c r="C229" i="12"/>
  <c r="T228" i="12"/>
  <c r="R228" i="12"/>
  <c r="C228" i="12"/>
  <c r="V227" i="12"/>
  <c r="W227" i="12" s="1"/>
  <c r="Y227" i="12" s="1"/>
  <c r="T227" i="12"/>
  <c r="R227" i="12"/>
  <c r="C227" i="12"/>
  <c r="W226" i="12"/>
  <c r="Y226" i="12" s="1"/>
  <c r="V226" i="12"/>
  <c r="T226" i="12"/>
  <c r="R226" i="12"/>
  <c r="C226" i="12"/>
  <c r="W225" i="12"/>
  <c r="Y225" i="12" s="1"/>
  <c r="V225" i="12"/>
  <c r="T225" i="12"/>
  <c r="R225" i="12"/>
  <c r="C225" i="12"/>
  <c r="T224" i="12"/>
  <c r="R224" i="12"/>
  <c r="C224" i="12"/>
  <c r="Y223" i="12"/>
  <c r="V223" i="12"/>
  <c r="W223" i="12" s="1"/>
  <c r="T223" i="12"/>
  <c r="R223" i="12"/>
  <c r="C223" i="12"/>
  <c r="V222" i="12"/>
  <c r="W222" i="12" s="1"/>
  <c r="Y222" i="12" s="1"/>
  <c r="T222" i="12"/>
  <c r="R222" i="12"/>
  <c r="C222" i="12"/>
  <c r="W221" i="12"/>
  <c r="Y221" i="12" s="1"/>
  <c r="V221" i="12"/>
  <c r="T221" i="12"/>
  <c r="R221" i="12"/>
  <c r="C221" i="12"/>
  <c r="T220" i="12"/>
  <c r="R220" i="12"/>
  <c r="C220" i="12"/>
  <c r="Y219" i="12"/>
  <c r="V219" i="12"/>
  <c r="W219" i="12" s="1"/>
  <c r="T219" i="12"/>
  <c r="R219" i="12"/>
  <c r="C219" i="12"/>
  <c r="Y218" i="12"/>
  <c r="W218" i="12"/>
  <c r="V218" i="12"/>
  <c r="T218" i="12"/>
  <c r="R218" i="12"/>
  <c r="C218" i="12"/>
  <c r="T217" i="12"/>
  <c r="V217" i="12" s="1"/>
  <c r="R217" i="12"/>
  <c r="C217" i="12"/>
  <c r="T216" i="12"/>
  <c r="R216" i="12"/>
  <c r="C216" i="12"/>
  <c r="V215" i="12"/>
  <c r="W215" i="12" s="1"/>
  <c r="Y215" i="12" s="1"/>
  <c r="T215" i="12"/>
  <c r="R215" i="12"/>
  <c r="C215" i="12"/>
  <c r="Y214" i="12"/>
  <c r="W214" i="12"/>
  <c r="V214" i="12"/>
  <c r="T214" i="12"/>
  <c r="R214" i="12"/>
  <c r="C214" i="12"/>
  <c r="T213" i="12"/>
  <c r="R213" i="12"/>
  <c r="C213" i="12"/>
  <c r="T212" i="12"/>
  <c r="R212" i="12"/>
  <c r="C212" i="12"/>
  <c r="Y211" i="12"/>
  <c r="V211" i="12"/>
  <c r="W211" i="12" s="1"/>
  <c r="T211" i="12"/>
  <c r="R211" i="12"/>
  <c r="C211" i="12"/>
  <c r="W210" i="12"/>
  <c r="Y210" i="12" s="1"/>
  <c r="V210" i="12"/>
  <c r="T210" i="12"/>
  <c r="R210" i="12"/>
  <c r="C210" i="12"/>
  <c r="T209" i="12"/>
  <c r="R209" i="12"/>
  <c r="C209" i="12"/>
  <c r="T208" i="12"/>
  <c r="R208" i="12"/>
  <c r="C208" i="12"/>
  <c r="Y207" i="12"/>
  <c r="V207" i="12"/>
  <c r="W207" i="12" s="1"/>
  <c r="T207" i="12"/>
  <c r="R207" i="12"/>
  <c r="C207" i="12"/>
  <c r="V206" i="12"/>
  <c r="W206" i="12" s="1"/>
  <c r="Y206" i="12" s="1"/>
  <c r="T206" i="12"/>
  <c r="R206" i="12"/>
  <c r="C206" i="12"/>
  <c r="V205" i="12"/>
  <c r="W205" i="12" s="1"/>
  <c r="Y205" i="12" s="1"/>
  <c r="T205" i="12"/>
  <c r="R205" i="12"/>
  <c r="C205" i="12"/>
  <c r="T204" i="12"/>
  <c r="R204" i="12"/>
  <c r="C204" i="12"/>
  <c r="V203" i="12"/>
  <c r="W203" i="12" s="1"/>
  <c r="Y203" i="12" s="1"/>
  <c r="T203" i="12"/>
  <c r="R203" i="12"/>
  <c r="C203" i="12"/>
  <c r="V202" i="12"/>
  <c r="W202" i="12" s="1"/>
  <c r="Y202" i="12" s="1"/>
  <c r="T202" i="12"/>
  <c r="R202" i="12"/>
  <c r="C202" i="12"/>
  <c r="V201" i="12"/>
  <c r="T201" i="12"/>
  <c r="W201" i="12" s="1"/>
  <c r="Y201" i="12" s="1"/>
  <c r="R201" i="12"/>
  <c r="C201" i="12"/>
  <c r="T200" i="12"/>
  <c r="R200" i="12"/>
  <c r="C200" i="12"/>
  <c r="V199" i="12"/>
  <c r="W199" i="12" s="1"/>
  <c r="Y199" i="12" s="1"/>
  <c r="T199" i="12"/>
  <c r="R199" i="12"/>
  <c r="C199" i="12"/>
  <c r="Y198" i="12"/>
  <c r="W198" i="12"/>
  <c r="V198" i="12"/>
  <c r="T198" i="12"/>
  <c r="R198" i="12"/>
  <c r="C198" i="12"/>
  <c r="T197" i="12"/>
  <c r="R197" i="12"/>
  <c r="C197" i="12"/>
  <c r="T196" i="12"/>
  <c r="R196" i="12"/>
  <c r="C196" i="12"/>
  <c r="V195" i="12"/>
  <c r="W195" i="12" s="1"/>
  <c r="Y195" i="12" s="1"/>
  <c r="T195" i="12"/>
  <c r="R195" i="12"/>
  <c r="C195" i="12"/>
  <c r="W194" i="12"/>
  <c r="Y194" i="12" s="1"/>
  <c r="V194" i="12"/>
  <c r="T194" i="12"/>
  <c r="R194" i="12"/>
  <c r="C194" i="12"/>
  <c r="W193" i="12"/>
  <c r="Y193" i="12" s="1"/>
  <c r="V193" i="12"/>
  <c r="T193" i="12"/>
  <c r="R193" i="12"/>
  <c r="C193" i="12"/>
  <c r="T192" i="12"/>
  <c r="R192" i="12"/>
  <c r="C192" i="12"/>
  <c r="Y191" i="12"/>
  <c r="V191" i="12"/>
  <c r="W191" i="12" s="1"/>
  <c r="T191" i="12"/>
  <c r="R191" i="12"/>
  <c r="C191" i="12"/>
  <c r="V190" i="12"/>
  <c r="W190" i="12" s="1"/>
  <c r="Y190" i="12" s="1"/>
  <c r="T190" i="12"/>
  <c r="R190" i="12"/>
  <c r="C190" i="12"/>
  <c r="W189" i="12"/>
  <c r="Y189" i="12" s="1"/>
  <c r="V189" i="12"/>
  <c r="T189" i="12"/>
  <c r="R189" i="12"/>
  <c r="C189" i="12"/>
  <c r="T188" i="12"/>
  <c r="R188" i="12"/>
  <c r="C188" i="12"/>
  <c r="Y187" i="12"/>
  <c r="V187" i="12"/>
  <c r="W187" i="12" s="1"/>
  <c r="T187" i="12"/>
  <c r="R187" i="12"/>
  <c r="C187" i="12"/>
  <c r="Y186" i="12"/>
  <c r="W186" i="12"/>
  <c r="V186" i="12"/>
  <c r="T186" i="12"/>
  <c r="R186" i="12"/>
  <c r="C186" i="12"/>
  <c r="T185" i="12"/>
  <c r="R185" i="12"/>
  <c r="C185" i="12"/>
  <c r="T184" i="12"/>
  <c r="R184" i="12"/>
  <c r="C184" i="12"/>
  <c r="V183" i="12"/>
  <c r="W183" i="12" s="1"/>
  <c r="Y183" i="12" s="1"/>
  <c r="T183" i="12"/>
  <c r="R183" i="12"/>
  <c r="C183" i="12"/>
  <c r="Y182" i="12"/>
  <c r="W182" i="12"/>
  <c r="V182" i="12"/>
  <c r="T182" i="12"/>
  <c r="R182" i="12"/>
  <c r="C182" i="12"/>
  <c r="T181" i="12"/>
  <c r="R181" i="12"/>
  <c r="C181" i="12"/>
  <c r="T180" i="12"/>
  <c r="R180" i="12"/>
  <c r="C180" i="12"/>
  <c r="Y179" i="12"/>
  <c r="V179" i="12"/>
  <c r="W179" i="12" s="1"/>
  <c r="T179" i="12"/>
  <c r="R179" i="12"/>
  <c r="C179" i="12"/>
  <c r="W178" i="12"/>
  <c r="Y178" i="12" s="1"/>
  <c r="V178" i="12"/>
  <c r="T178" i="12"/>
  <c r="R178" i="12"/>
  <c r="C178" i="12"/>
  <c r="T177" i="12"/>
  <c r="R177" i="12"/>
  <c r="C177" i="12"/>
  <c r="T176" i="12"/>
  <c r="R176" i="12"/>
  <c r="C176" i="12"/>
  <c r="Y175" i="12"/>
  <c r="V175" i="12"/>
  <c r="W175" i="12" s="1"/>
  <c r="T175" i="12"/>
  <c r="R175" i="12"/>
  <c r="C175" i="12"/>
  <c r="V174" i="12"/>
  <c r="W174" i="12" s="1"/>
  <c r="Y174" i="12" s="1"/>
  <c r="T174" i="12"/>
  <c r="R174" i="12"/>
  <c r="C174" i="12"/>
  <c r="V173" i="12"/>
  <c r="W173" i="12" s="1"/>
  <c r="Y173" i="12" s="1"/>
  <c r="T173" i="12"/>
  <c r="R173" i="12"/>
  <c r="C173" i="12"/>
  <c r="T172" i="12"/>
  <c r="R172" i="12"/>
  <c r="C172" i="12"/>
  <c r="V171" i="12"/>
  <c r="W171" i="12" s="1"/>
  <c r="Y171" i="12" s="1"/>
  <c r="T171" i="12"/>
  <c r="R171" i="12"/>
  <c r="C171" i="12"/>
  <c r="V170" i="12"/>
  <c r="W170" i="12" s="1"/>
  <c r="Y170" i="12" s="1"/>
  <c r="T170" i="12"/>
  <c r="R170" i="12"/>
  <c r="C170" i="12"/>
  <c r="V169" i="12"/>
  <c r="T169" i="12"/>
  <c r="W169" i="12" s="1"/>
  <c r="Y169" i="12" s="1"/>
  <c r="R169" i="12"/>
  <c r="C169" i="12"/>
  <c r="T168" i="12"/>
  <c r="R168" i="12"/>
  <c r="C168" i="12"/>
  <c r="V167" i="12"/>
  <c r="W167" i="12" s="1"/>
  <c r="Y167" i="12" s="1"/>
  <c r="T167" i="12"/>
  <c r="R167" i="12"/>
  <c r="C167" i="12"/>
  <c r="Y166" i="12"/>
  <c r="W166" i="12"/>
  <c r="V166" i="12"/>
  <c r="T166" i="12"/>
  <c r="R166" i="12"/>
  <c r="C166" i="12"/>
  <c r="T165" i="12"/>
  <c r="R165" i="12"/>
  <c r="C165" i="12"/>
  <c r="T164" i="12"/>
  <c r="R164" i="12"/>
  <c r="C164" i="12"/>
  <c r="V163" i="12"/>
  <c r="W163" i="12" s="1"/>
  <c r="Y163" i="12" s="1"/>
  <c r="T163" i="12"/>
  <c r="R163" i="12"/>
  <c r="C163" i="12"/>
  <c r="W162" i="12"/>
  <c r="Y162" i="12" s="1"/>
  <c r="V162" i="12"/>
  <c r="T162" i="12"/>
  <c r="R162" i="12"/>
  <c r="C162" i="12"/>
  <c r="W161" i="12"/>
  <c r="Y161" i="12" s="1"/>
  <c r="V161" i="12"/>
  <c r="T161" i="12"/>
  <c r="R161" i="12"/>
  <c r="C161" i="12"/>
  <c r="T160" i="12"/>
  <c r="R160" i="12"/>
  <c r="C160" i="12"/>
  <c r="Y159" i="12"/>
  <c r="V159" i="12"/>
  <c r="W159" i="12" s="1"/>
  <c r="T159" i="12"/>
  <c r="R159" i="12"/>
  <c r="C159" i="12"/>
  <c r="V158" i="12"/>
  <c r="W158" i="12" s="1"/>
  <c r="Y158" i="12" s="1"/>
  <c r="T158" i="12"/>
  <c r="R158" i="12"/>
  <c r="C158" i="12"/>
  <c r="W157" i="12"/>
  <c r="Y157" i="12" s="1"/>
  <c r="V157" i="12"/>
  <c r="T157" i="12"/>
  <c r="R157" i="12"/>
  <c r="C157" i="12"/>
  <c r="T156" i="12"/>
  <c r="R156" i="12"/>
  <c r="C156" i="12"/>
  <c r="Y155" i="12"/>
  <c r="V155" i="12"/>
  <c r="W155" i="12" s="1"/>
  <c r="T155" i="12"/>
  <c r="R155" i="12"/>
  <c r="C155" i="12"/>
  <c r="Y154" i="12"/>
  <c r="W154" i="12"/>
  <c r="V154" i="12"/>
  <c r="T154" i="12"/>
  <c r="R154" i="12"/>
  <c r="C154" i="12"/>
  <c r="V153" i="12"/>
  <c r="T153" i="12"/>
  <c r="R153" i="12"/>
  <c r="C153" i="12"/>
  <c r="T152" i="12"/>
  <c r="R152" i="12"/>
  <c r="C152" i="12"/>
  <c r="V151" i="12"/>
  <c r="W151" i="12" s="1"/>
  <c r="Y151" i="12" s="1"/>
  <c r="T151" i="12"/>
  <c r="R151" i="12"/>
  <c r="C151" i="12"/>
  <c r="Y150" i="12"/>
  <c r="W150" i="12"/>
  <c r="V150" i="12"/>
  <c r="T150" i="12"/>
  <c r="R150" i="12"/>
  <c r="C150" i="12"/>
  <c r="T149" i="12"/>
  <c r="R149" i="12"/>
  <c r="C149" i="12"/>
  <c r="T148" i="12"/>
  <c r="R148" i="12"/>
  <c r="C148" i="12"/>
  <c r="Y147" i="12"/>
  <c r="V147" i="12"/>
  <c r="W147" i="12" s="1"/>
  <c r="T147" i="12"/>
  <c r="R147" i="12"/>
  <c r="C147" i="12"/>
  <c r="V146" i="12"/>
  <c r="W146" i="12" s="1"/>
  <c r="Y146" i="12" s="1"/>
  <c r="T146" i="12"/>
  <c r="R146" i="12"/>
  <c r="C146" i="12"/>
  <c r="T145" i="12"/>
  <c r="R145" i="12"/>
  <c r="C145" i="12"/>
  <c r="T144" i="12"/>
  <c r="R144" i="12"/>
  <c r="C144" i="12"/>
  <c r="Y143" i="12"/>
  <c r="V143" i="12"/>
  <c r="W143" i="12" s="1"/>
  <c r="T143" i="12"/>
  <c r="R143" i="12"/>
  <c r="C143" i="12"/>
  <c r="V142" i="12"/>
  <c r="W142" i="12" s="1"/>
  <c r="Y142" i="12" s="1"/>
  <c r="T142" i="12"/>
  <c r="R142" i="12"/>
  <c r="C142" i="12"/>
  <c r="W141" i="12"/>
  <c r="Y141" i="12" s="1"/>
  <c r="V141" i="12"/>
  <c r="T141" i="12"/>
  <c r="R141" i="12"/>
  <c r="C141" i="12"/>
  <c r="T140" i="12"/>
  <c r="R140" i="12"/>
  <c r="C140" i="12"/>
  <c r="Y139" i="12"/>
  <c r="V139" i="12"/>
  <c r="W139" i="12" s="1"/>
  <c r="T139" i="12"/>
  <c r="R139" i="12"/>
  <c r="C139" i="12"/>
  <c r="V138" i="12"/>
  <c r="W138" i="12" s="1"/>
  <c r="Y138" i="12" s="1"/>
  <c r="T138" i="12"/>
  <c r="R138" i="12"/>
  <c r="C138" i="12"/>
  <c r="V137" i="12"/>
  <c r="T137" i="12"/>
  <c r="W137" i="12" s="1"/>
  <c r="Y137" i="12" s="1"/>
  <c r="R137" i="12"/>
  <c r="C137" i="12"/>
  <c r="T136" i="12"/>
  <c r="R136" i="12"/>
  <c r="C136" i="12"/>
  <c r="V135" i="12"/>
  <c r="W135" i="12" s="1"/>
  <c r="Y135" i="12" s="1"/>
  <c r="T135" i="12"/>
  <c r="R135" i="12"/>
  <c r="C135" i="12"/>
  <c r="W134" i="12"/>
  <c r="Y134" i="12" s="1"/>
  <c r="V134" i="12"/>
  <c r="T134" i="12"/>
  <c r="R134" i="12"/>
  <c r="C134" i="12"/>
  <c r="V133" i="12"/>
  <c r="T133" i="12"/>
  <c r="R133" i="12"/>
  <c r="C133" i="12"/>
  <c r="V132" i="12"/>
  <c r="T132" i="12"/>
  <c r="R132" i="12"/>
  <c r="C132" i="12"/>
  <c r="Y131" i="12"/>
  <c r="V131" i="12"/>
  <c r="W131" i="12" s="1"/>
  <c r="T131" i="12"/>
  <c r="R131" i="12"/>
  <c r="C131" i="12"/>
  <c r="V130" i="12"/>
  <c r="W130" i="12" s="1"/>
  <c r="Y130" i="12" s="1"/>
  <c r="T130" i="12"/>
  <c r="R130" i="12"/>
  <c r="C130" i="12"/>
  <c r="W129" i="12"/>
  <c r="Y129" i="12" s="1"/>
  <c r="V129" i="12"/>
  <c r="T129" i="12"/>
  <c r="R129" i="12"/>
  <c r="C129" i="12"/>
  <c r="V128" i="12"/>
  <c r="T128" i="12"/>
  <c r="R128" i="12"/>
  <c r="C128" i="12"/>
  <c r="Y127" i="12"/>
  <c r="V127" i="12"/>
  <c r="W127" i="12" s="1"/>
  <c r="T127" i="12"/>
  <c r="R127" i="12"/>
  <c r="C127" i="12"/>
  <c r="V126" i="12"/>
  <c r="W126" i="12" s="1"/>
  <c r="Y126" i="12" s="1"/>
  <c r="T126" i="12"/>
  <c r="R126" i="12"/>
  <c r="C126" i="12"/>
  <c r="W125" i="12"/>
  <c r="Y125" i="12" s="1"/>
  <c r="V125" i="12"/>
  <c r="T125" i="12"/>
  <c r="R125" i="12"/>
  <c r="C125" i="12"/>
  <c r="T124" i="12"/>
  <c r="V124" i="12" s="1"/>
  <c r="R124" i="12"/>
  <c r="C124" i="12"/>
  <c r="Y123" i="12"/>
  <c r="V123" i="12"/>
  <c r="W123" i="12" s="1"/>
  <c r="T123" i="12"/>
  <c r="R123" i="12"/>
  <c r="C123" i="12"/>
  <c r="V122" i="12"/>
  <c r="W122" i="12" s="1"/>
  <c r="Y122" i="12" s="1"/>
  <c r="T122" i="12"/>
  <c r="R122" i="12"/>
  <c r="C122" i="12"/>
  <c r="T121" i="12"/>
  <c r="R121" i="12"/>
  <c r="C121" i="12"/>
  <c r="T120" i="12"/>
  <c r="R120" i="12"/>
  <c r="C120" i="12"/>
  <c r="V119" i="12"/>
  <c r="W119" i="12" s="1"/>
  <c r="Y119" i="12" s="1"/>
  <c r="T119" i="12"/>
  <c r="R119" i="12"/>
  <c r="C119" i="12"/>
  <c r="Y118" i="12"/>
  <c r="W118" i="12"/>
  <c r="V118" i="12"/>
  <c r="T118" i="12"/>
  <c r="R118" i="12"/>
  <c r="C118" i="12"/>
  <c r="V117" i="12"/>
  <c r="W117" i="12" s="1"/>
  <c r="Y117" i="12" s="1"/>
  <c r="T117" i="12"/>
  <c r="R117" i="12"/>
  <c r="C117" i="12"/>
  <c r="T116" i="12"/>
  <c r="R116" i="12"/>
  <c r="C116" i="12"/>
  <c r="Y115" i="12"/>
  <c r="V115" i="12"/>
  <c r="W115" i="12" s="1"/>
  <c r="T115" i="12"/>
  <c r="R115" i="12"/>
  <c r="C115" i="12"/>
  <c r="Y114" i="12"/>
  <c r="W114" i="12"/>
  <c r="V114" i="12"/>
  <c r="T114" i="12"/>
  <c r="R114" i="12"/>
  <c r="C114" i="12"/>
  <c r="V113" i="12"/>
  <c r="W113" i="12" s="1"/>
  <c r="Y113" i="12" s="1"/>
  <c r="T113" i="12"/>
  <c r="R113" i="12"/>
  <c r="C113" i="12"/>
  <c r="V112" i="12"/>
  <c r="T112" i="12"/>
  <c r="R112" i="12"/>
  <c r="C112" i="12"/>
  <c r="Y111" i="12"/>
  <c r="V111" i="12"/>
  <c r="W111" i="12" s="1"/>
  <c r="T111" i="12"/>
  <c r="R111" i="12"/>
  <c r="C111" i="12"/>
  <c r="V110" i="12"/>
  <c r="W110" i="12" s="1"/>
  <c r="Y110" i="12" s="1"/>
  <c r="T110" i="12"/>
  <c r="R110" i="12"/>
  <c r="C110" i="12"/>
  <c r="T109" i="12"/>
  <c r="R109" i="12"/>
  <c r="C109" i="12"/>
  <c r="V108" i="12"/>
  <c r="T108" i="12"/>
  <c r="R108" i="12"/>
  <c r="C108" i="12"/>
  <c r="V107" i="12"/>
  <c r="W107" i="12" s="1"/>
  <c r="Y107" i="12" s="1"/>
  <c r="T107" i="12"/>
  <c r="R107" i="12"/>
  <c r="C107" i="12"/>
  <c r="W106" i="12"/>
  <c r="Y106" i="12" s="1"/>
  <c r="V106" i="12"/>
  <c r="T106" i="12"/>
  <c r="R106" i="12"/>
  <c r="C106" i="12"/>
  <c r="T105" i="12"/>
  <c r="R105" i="12"/>
  <c r="C105" i="12"/>
  <c r="T104" i="12"/>
  <c r="R104" i="12"/>
  <c r="C104" i="12"/>
  <c r="V103" i="12"/>
  <c r="W103" i="12" s="1"/>
  <c r="Y103" i="12" s="1"/>
  <c r="T103" i="12"/>
  <c r="R103" i="12"/>
  <c r="C103" i="12"/>
  <c r="Y102" i="12"/>
  <c r="W102" i="12"/>
  <c r="V102" i="12"/>
  <c r="T102" i="12"/>
  <c r="R102" i="12"/>
  <c r="C102" i="12"/>
  <c r="T101" i="12"/>
  <c r="V101" i="12" s="1"/>
  <c r="R101" i="12"/>
  <c r="C101" i="12"/>
  <c r="V100" i="12"/>
  <c r="T100" i="12"/>
  <c r="R100" i="12"/>
  <c r="C100" i="12"/>
  <c r="V99" i="12"/>
  <c r="W99" i="12" s="1"/>
  <c r="Y99" i="12" s="1"/>
  <c r="T99" i="12"/>
  <c r="R99" i="12"/>
  <c r="C99" i="12"/>
  <c r="V98" i="12"/>
  <c r="W98" i="12" s="1"/>
  <c r="Y98" i="12" s="1"/>
  <c r="T98" i="12"/>
  <c r="R98" i="12"/>
  <c r="C98" i="12"/>
  <c r="W97" i="12"/>
  <c r="Y97" i="12" s="1"/>
  <c r="V97" i="12"/>
  <c r="T97" i="12"/>
  <c r="R97" i="12"/>
  <c r="C97" i="12"/>
  <c r="V96" i="12"/>
  <c r="T96" i="12"/>
  <c r="R96" i="12"/>
  <c r="C96" i="12"/>
  <c r="Y95" i="12"/>
  <c r="V95" i="12"/>
  <c r="W95" i="12" s="1"/>
  <c r="T95" i="12"/>
  <c r="R95" i="12"/>
  <c r="C95" i="12"/>
  <c r="V94" i="12"/>
  <c r="W94" i="12" s="1"/>
  <c r="Y94" i="12" s="1"/>
  <c r="T94" i="12"/>
  <c r="R94" i="12"/>
  <c r="C94" i="12"/>
  <c r="W93" i="12"/>
  <c r="Y93" i="12" s="1"/>
  <c r="V93" i="12"/>
  <c r="T93" i="12"/>
  <c r="R93" i="12"/>
  <c r="C93" i="12"/>
  <c r="T92" i="12"/>
  <c r="V92" i="12" s="1"/>
  <c r="R92" i="12"/>
  <c r="C92" i="12"/>
  <c r="Y91" i="12"/>
  <c r="V91" i="12"/>
  <c r="W91" i="12" s="1"/>
  <c r="T91" i="12"/>
  <c r="R91" i="12"/>
  <c r="C91" i="12"/>
  <c r="W90" i="12"/>
  <c r="Y90" i="12" s="1"/>
  <c r="V90" i="12"/>
  <c r="T90" i="12"/>
  <c r="R90" i="12"/>
  <c r="C90" i="12"/>
  <c r="T89" i="12"/>
  <c r="R89" i="12"/>
  <c r="C89" i="12"/>
  <c r="T88" i="12"/>
  <c r="R88" i="12"/>
  <c r="C88" i="12"/>
  <c r="V87" i="12"/>
  <c r="W87" i="12" s="1"/>
  <c r="Y87" i="12" s="1"/>
  <c r="T87" i="12"/>
  <c r="R87" i="12"/>
  <c r="C87" i="12"/>
  <c r="Y86" i="12"/>
  <c r="W86" i="12"/>
  <c r="V86" i="12"/>
  <c r="T86" i="12"/>
  <c r="R86" i="12"/>
  <c r="C86" i="12"/>
  <c r="V85" i="12"/>
  <c r="W85" i="12" s="1"/>
  <c r="Y85" i="12" s="1"/>
  <c r="T85" i="12"/>
  <c r="R85" i="12"/>
  <c r="C85" i="12"/>
  <c r="V84" i="12"/>
  <c r="T84" i="12"/>
  <c r="R84" i="12"/>
  <c r="C84" i="12"/>
  <c r="Y83" i="12"/>
  <c r="W83" i="12"/>
  <c r="V83" i="12"/>
  <c r="T83" i="12"/>
  <c r="R83" i="12"/>
  <c r="C83" i="12"/>
  <c r="V82" i="12"/>
  <c r="W82" i="12" s="1"/>
  <c r="Y82" i="12" s="1"/>
  <c r="T82" i="12"/>
  <c r="R82" i="12"/>
  <c r="C82" i="12"/>
  <c r="W81" i="12"/>
  <c r="Y81" i="12" s="1"/>
  <c r="V81" i="12"/>
  <c r="T81" i="12"/>
  <c r="R81" i="12"/>
  <c r="C81" i="12"/>
  <c r="T80" i="12"/>
  <c r="V80" i="12" s="1"/>
  <c r="R80" i="12"/>
  <c r="C80" i="12"/>
  <c r="Y79" i="12"/>
  <c r="W79" i="12"/>
  <c r="V79" i="12"/>
  <c r="T79" i="12"/>
  <c r="R79" i="12"/>
  <c r="C79" i="12"/>
  <c r="W78" i="12"/>
  <c r="Y78" i="12" s="1"/>
  <c r="V78" i="12"/>
  <c r="T78" i="12"/>
  <c r="R78" i="12"/>
  <c r="C78" i="12"/>
  <c r="T77" i="12"/>
  <c r="R77" i="12"/>
  <c r="C77" i="12"/>
  <c r="V76" i="12"/>
  <c r="T76" i="12"/>
  <c r="R76" i="12"/>
  <c r="C76" i="12"/>
  <c r="Y75" i="12"/>
  <c r="W75" i="12"/>
  <c r="V75" i="12"/>
  <c r="T75" i="12"/>
  <c r="R75" i="12"/>
  <c r="C75" i="12"/>
  <c r="V74" i="12"/>
  <c r="W74" i="12" s="1"/>
  <c r="Y74" i="12" s="1"/>
  <c r="T74" i="12"/>
  <c r="R74" i="12"/>
  <c r="C74" i="12"/>
  <c r="T73" i="12"/>
  <c r="V73" i="12" s="1"/>
  <c r="R73" i="12"/>
  <c r="C73" i="12"/>
  <c r="V72" i="12"/>
  <c r="T72" i="12"/>
  <c r="R72" i="12"/>
  <c r="C72" i="12"/>
  <c r="Y71" i="12"/>
  <c r="W71" i="12"/>
  <c r="V71" i="12"/>
  <c r="T71" i="12"/>
  <c r="R71" i="12"/>
  <c r="C71" i="12"/>
  <c r="V70" i="12"/>
  <c r="W70" i="12" s="1"/>
  <c r="Y70" i="12" s="1"/>
  <c r="T70" i="12"/>
  <c r="R70" i="12"/>
  <c r="C70" i="12"/>
  <c r="V69" i="12"/>
  <c r="W69" i="12" s="1"/>
  <c r="Y69" i="12" s="1"/>
  <c r="T69" i="12"/>
  <c r="R69" i="12"/>
  <c r="C69" i="12"/>
  <c r="V68" i="12"/>
  <c r="T68" i="12"/>
  <c r="R68" i="12"/>
  <c r="C68" i="12"/>
  <c r="Y67" i="12"/>
  <c r="W67" i="12"/>
  <c r="V67" i="12"/>
  <c r="T67" i="12"/>
  <c r="R67" i="12"/>
  <c r="C67" i="12"/>
  <c r="V66" i="12"/>
  <c r="W66" i="12" s="1"/>
  <c r="Y66" i="12" s="1"/>
  <c r="T66" i="12"/>
  <c r="R66" i="12"/>
  <c r="C66" i="12"/>
  <c r="Y65" i="12"/>
  <c r="W65" i="12"/>
  <c r="V65" i="12"/>
  <c r="T65" i="12"/>
  <c r="R65" i="12"/>
  <c r="C65" i="12"/>
  <c r="T64" i="12"/>
  <c r="V64" i="12" s="1"/>
  <c r="R64" i="12"/>
  <c r="C64" i="12"/>
  <c r="Y63" i="12"/>
  <c r="W63" i="12"/>
  <c r="V63" i="12"/>
  <c r="T63" i="12"/>
  <c r="R63" i="12"/>
  <c r="C63" i="12"/>
  <c r="Y62" i="12"/>
  <c r="W62" i="12"/>
  <c r="V62" i="12"/>
  <c r="T62" i="12"/>
  <c r="R62" i="12"/>
  <c r="C62" i="12"/>
  <c r="T61" i="12"/>
  <c r="R61" i="12"/>
  <c r="C61" i="12"/>
  <c r="V60" i="12"/>
  <c r="T60" i="12"/>
  <c r="R60" i="12"/>
  <c r="C60" i="12"/>
  <c r="Y59" i="12"/>
  <c r="W59" i="12"/>
  <c r="V59" i="12"/>
  <c r="T59" i="12"/>
  <c r="R59" i="12"/>
  <c r="C59" i="12"/>
  <c r="V58" i="12"/>
  <c r="W58" i="12" s="1"/>
  <c r="Y58" i="12" s="1"/>
  <c r="T58" i="12"/>
  <c r="R58" i="12"/>
  <c r="C58" i="12"/>
  <c r="T57" i="12"/>
  <c r="V57" i="12" s="1"/>
  <c r="R57" i="12"/>
  <c r="C57" i="12"/>
  <c r="V56" i="12"/>
  <c r="T56" i="12"/>
  <c r="R56" i="12"/>
  <c r="C56" i="12"/>
  <c r="T55" i="12"/>
  <c r="V55" i="12" s="1"/>
  <c r="W55" i="12" s="1"/>
  <c r="Y55" i="12" s="1"/>
  <c r="R55" i="12"/>
  <c r="C55" i="12"/>
  <c r="V54" i="12"/>
  <c r="W54" i="12" s="1"/>
  <c r="Y54" i="12" s="1"/>
  <c r="T54" i="12"/>
  <c r="R54" i="12"/>
  <c r="C54" i="12"/>
  <c r="W53" i="12"/>
  <c r="Y53" i="12" s="1"/>
  <c r="V53" i="12"/>
  <c r="T53" i="12"/>
  <c r="R53" i="12"/>
  <c r="C53" i="12"/>
  <c r="T52" i="12"/>
  <c r="V52" i="12" s="1"/>
  <c r="R52" i="12"/>
  <c r="C52" i="12"/>
  <c r="Y51" i="12"/>
  <c r="T51" i="12"/>
  <c r="V51" i="12" s="1"/>
  <c r="W51" i="12" s="1"/>
  <c r="R51" i="12"/>
  <c r="C51" i="12"/>
  <c r="V50" i="12"/>
  <c r="W50" i="12" s="1"/>
  <c r="Y50" i="12" s="1"/>
  <c r="T50" i="12"/>
  <c r="R50" i="12"/>
  <c r="C50" i="12"/>
  <c r="T49" i="12"/>
  <c r="R49" i="12"/>
  <c r="C49" i="12"/>
  <c r="V48" i="12"/>
  <c r="T48" i="12"/>
  <c r="R48" i="12"/>
  <c r="C48" i="12"/>
  <c r="T47" i="12"/>
  <c r="V47" i="12" s="1"/>
  <c r="W47" i="12" s="1"/>
  <c r="Y47" i="12" s="1"/>
  <c r="R47" i="12"/>
  <c r="C47" i="12"/>
  <c r="V46" i="12"/>
  <c r="W46" i="12" s="1"/>
  <c r="Y46" i="12" s="1"/>
  <c r="T46" i="12"/>
  <c r="R46" i="12"/>
  <c r="C46" i="12"/>
  <c r="W45" i="12"/>
  <c r="Y45" i="12" s="1"/>
  <c r="V45" i="12"/>
  <c r="T45" i="12"/>
  <c r="R45" i="12"/>
  <c r="C45" i="12"/>
  <c r="T44" i="12"/>
  <c r="V44" i="12" s="1"/>
  <c r="R44" i="12"/>
  <c r="C44" i="12"/>
  <c r="Y43" i="12"/>
  <c r="T43" i="12"/>
  <c r="V43" i="12" s="1"/>
  <c r="W43" i="12" s="1"/>
  <c r="R43" i="12"/>
  <c r="C43" i="12"/>
  <c r="V42" i="12"/>
  <c r="W42" i="12" s="1"/>
  <c r="Y42" i="12" s="1"/>
  <c r="T42" i="12"/>
  <c r="R42" i="12"/>
  <c r="C42" i="12"/>
  <c r="T41" i="12"/>
  <c r="V41" i="12" s="1"/>
  <c r="R41" i="12"/>
  <c r="C41" i="12"/>
  <c r="V40" i="12"/>
  <c r="T40" i="12"/>
  <c r="R40" i="12"/>
  <c r="C40" i="12"/>
  <c r="T39" i="12"/>
  <c r="V39" i="12" s="1"/>
  <c r="W39" i="12" s="1"/>
  <c r="Y39" i="12" s="1"/>
  <c r="R39" i="12"/>
  <c r="C39" i="12"/>
  <c r="V38" i="12"/>
  <c r="W38" i="12" s="1"/>
  <c r="Y38" i="12" s="1"/>
  <c r="T38" i="12"/>
  <c r="R38" i="12"/>
  <c r="C38" i="12"/>
  <c r="W37" i="12"/>
  <c r="Y37" i="12" s="1"/>
  <c r="V37" i="12"/>
  <c r="T37" i="12"/>
  <c r="R37" i="12"/>
  <c r="C37" i="12"/>
  <c r="T36" i="12"/>
  <c r="R36" i="12"/>
  <c r="C36" i="12"/>
  <c r="Y35" i="12"/>
  <c r="T35" i="12"/>
  <c r="V35" i="12" s="1"/>
  <c r="W35" i="12" s="1"/>
  <c r="R35" i="12"/>
  <c r="C35" i="12"/>
  <c r="V34" i="12"/>
  <c r="W34" i="12" s="1"/>
  <c r="Y34" i="12" s="1"/>
  <c r="T34" i="12"/>
  <c r="R34" i="12"/>
  <c r="C34" i="12"/>
  <c r="T33" i="12"/>
  <c r="R33" i="12"/>
  <c r="C33" i="12"/>
  <c r="V32" i="12"/>
  <c r="T32" i="12"/>
  <c r="R32" i="12"/>
  <c r="C32" i="12"/>
  <c r="T31" i="12"/>
  <c r="V31" i="12" s="1"/>
  <c r="W31" i="12" s="1"/>
  <c r="Y31" i="12" s="1"/>
  <c r="R31" i="12"/>
  <c r="C31" i="12"/>
  <c r="V30" i="12"/>
  <c r="W30" i="12" s="1"/>
  <c r="Y30" i="12" s="1"/>
  <c r="T30" i="12"/>
  <c r="R30" i="12"/>
  <c r="C30" i="12"/>
  <c r="Y29" i="12"/>
  <c r="W29" i="12"/>
  <c r="V29" i="12"/>
  <c r="T29" i="12"/>
  <c r="R29" i="12"/>
  <c r="C29" i="12"/>
  <c r="T28" i="12"/>
  <c r="V28" i="12" s="1"/>
  <c r="R28" i="12"/>
  <c r="C28" i="12"/>
  <c r="Y27" i="12"/>
  <c r="T27" i="12"/>
  <c r="V27" i="12" s="1"/>
  <c r="W27" i="12" s="1"/>
  <c r="R27" i="12"/>
  <c r="C27" i="12"/>
  <c r="V26" i="12"/>
  <c r="W26" i="12" s="1"/>
  <c r="Y26" i="12" s="1"/>
  <c r="T26" i="12"/>
  <c r="R26" i="12"/>
  <c r="C26" i="12"/>
  <c r="T25" i="12"/>
  <c r="R25" i="12"/>
  <c r="C25" i="12"/>
  <c r="V24" i="12"/>
  <c r="T24" i="12"/>
  <c r="R24" i="12"/>
  <c r="C24" i="12"/>
  <c r="T23" i="12"/>
  <c r="V23" i="12" s="1"/>
  <c r="W23" i="12" s="1"/>
  <c r="Y23" i="12" s="1"/>
  <c r="R23" i="12"/>
  <c r="C23" i="12"/>
  <c r="V22" i="12"/>
  <c r="W22" i="12" s="1"/>
  <c r="Y22" i="12" s="1"/>
  <c r="T22" i="12"/>
  <c r="R22" i="12"/>
  <c r="C22" i="12"/>
  <c r="W21" i="12"/>
  <c r="Y21" i="12" s="1"/>
  <c r="V21" i="12"/>
  <c r="T21" i="12"/>
  <c r="R21" i="12"/>
  <c r="C21" i="12"/>
  <c r="T20" i="12"/>
  <c r="R20" i="12"/>
  <c r="C20" i="12"/>
  <c r="Y19" i="12"/>
  <c r="T19" i="12"/>
  <c r="V19" i="12" s="1"/>
  <c r="W19" i="12" s="1"/>
  <c r="R19" i="12"/>
  <c r="C19" i="12"/>
  <c r="V18" i="12"/>
  <c r="W18" i="12" s="1"/>
  <c r="Y18" i="12" s="1"/>
  <c r="T18" i="12"/>
  <c r="R18" i="12"/>
  <c r="C18" i="12"/>
  <c r="T17" i="12"/>
  <c r="V17" i="12" s="1"/>
  <c r="R17" i="12"/>
  <c r="C17" i="12"/>
  <c r="V16" i="12"/>
  <c r="T16" i="12"/>
  <c r="R16" i="12"/>
  <c r="C16" i="12"/>
  <c r="T15" i="12"/>
  <c r="V15" i="12" s="1"/>
  <c r="W15" i="12" s="1"/>
  <c r="Y15" i="12" s="1"/>
  <c r="R15" i="12"/>
  <c r="C15" i="12"/>
  <c r="V14" i="12"/>
  <c r="W14" i="12" s="1"/>
  <c r="Y14" i="12" s="1"/>
  <c r="T14" i="12"/>
  <c r="R14" i="12"/>
  <c r="C14" i="12"/>
  <c r="Y13" i="12"/>
  <c r="W13" i="12"/>
  <c r="V13" i="12"/>
  <c r="T13" i="12"/>
  <c r="R13" i="12"/>
  <c r="C13" i="12"/>
  <c r="T12" i="12"/>
  <c r="V12" i="12" s="1"/>
  <c r="R12" i="12"/>
  <c r="C12" i="12"/>
  <c r="Y11" i="12"/>
  <c r="T11" i="12"/>
  <c r="V11" i="12" s="1"/>
  <c r="W11" i="12" s="1"/>
  <c r="R11" i="12"/>
  <c r="C11" i="12"/>
  <c r="V10" i="12"/>
  <c r="W10" i="12" s="1"/>
  <c r="Y10" i="12" s="1"/>
  <c r="T10" i="12"/>
  <c r="R10" i="12"/>
  <c r="C10" i="12"/>
  <c r="T9" i="12"/>
  <c r="R9" i="12"/>
  <c r="C9" i="12"/>
  <c r="V8" i="12"/>
  <c r="T8" i="12"/>
  <c r="R8" i="12"/>
  <c r="C8" i="12"/>
  <c r="T7" i="12"/>
  <c r="V7" i="12" s="1"/>
  <c r="W7" i="12" s="1"/>
  <c r="Y7" i="12" s="1"/>
  <c r="R7" i="12"/>
  <c r="C7" i="12"/>
  <c r="V6" i="12"/>
  <c r="W6" i="12" s="1"/>
  <c r="Y6" i="12" s="1"/>
  <c r="T6" i="12"/>
  <c r="R6" i="12"/>
  <c r="C6" i="12"/>
  <c r="O3" i="12"/>
  <c r="J3" i="12"/>
  <c r="B3" i="12"/>
  <c r="E8" i="1" l="1"/>
  <c r="E14" i="1" s="1"/>
  <c r="E31" i="1" s="1"/>
  <c r="V232" i="12"/>
  <c r="W232" i="12" s="1"/>
  <c r="Y232" i="12" s="1"/>
  <c r="V252" i="12"/>
  <c r="W252" i="12" s="1"/>
  <c r="Y252" i="12" s="1"/>
  <c r="W692" i="12"/>
  <c r="Y692" i="12" s="1"/>
  <c r="V692" i="12"/>
  <c r="V702" i="12"/>
  <c r="W702" i="12" s="1"/>
  <c r="Y702" i="12" s="1"/>
  <c r="V414" i="12"/>
  <c r="W414" i="12"/>
  <c r="Y414" i="12" s="1"/>
  <c r="V61" i="12"/>
  <c r="W61" i="12" s="1"/>
  <c r="Y61" i="12" s="1"/>
  <c r="V136" i="12"/>
  <c r="W136" i="12"/>
  <c r="Y136" i="12" s="1"/>
  <c r="V188" i="12"/>
  <c r="W188" i="12" s="1"/>
  <c r="Y188" i="12" s="1"/>
  <c r="V89" i="12"/>
  <c r="W89" i="12"/>
  <c r="Y89" i="12" s="1"/>
  <c r="V116" i="12"/>
  <c r="W116" i="12" s="1"/>
  <c r="Y116" i="12" s="1"/>
  <c r="W68" i="12"/>
  <c r="Y68" i="12" s="1"/>
  <c r="V77" i="12"/>
  <c r="W77" i="12" s="1"/>
  <c r="Y77" i="12" s="1"/>
  <c r="W133" i="12"/>
  <c r="Y133" i="12" s="1"/>
  <c r="V185" i="12"/>
  <c r="W185" i="12" s="1"/>
  <c r="Y185" i="12" s="1"/>
  <c r="V200" i="12"/>
  <c r="W200" i="12" s="1"/>
  <c r="Y200" i="12" s="1"/>
  <c r="V229" i="12"/>
  <c r="W229" i="12" s="1"/>
  <c r="Y229" i="12" s="1"/>
  <c r="V284" i="12"/>
  <c r="W284" i="12"/>
  <c r="Y284" i="12" s="1"/>
  <c r="W617" i="12"/>
  <c r="Y617" i="12" s="1"/>
  <c r="W101" i="12"/>
  <c r="Y101" i="12" s="1"/>
  <c r="W213" i="12"/>
  <c r="Y213" i="12" s="1"/>
  <c r="W217" i="12"/>
  <c r="Y217" i="12" s="1"/>
  <c r="V476" i="12"/>
  <c r="W476" i="12" s="1"/>
  <c r="Y476" i="12" s="1"/>
  <c r="V165" i="12"/>
  <c r="W165" i="12"/>
  <c r="Y165" i="12" s="1"/>
  <c r="W332" i="12"/>
  <c r="Y332" i="12" s="1"/>
  <c r="V156" i="12"/>
  <c r="W156" i="12" s="1"/>
  <c r="Y156" i="12" s="1"/>
  <c r="V249" i="12"/>
  <c r="W249" i="12" s="1"/>
  <c r="Y249" i="12" s="1"/>
  <c r="V318" i="12"/>
  <c r="W318" i="12" s="1"/>
  <c r="Y318" i="12" s="1"/>
  <c r="V670" i="12"/>
  <c r="W670" i="12" s="1"/>
  <c r="Y670" i="12" s="1"/>
  <c r="V369" i="12"/>
  <c r="W369" i="12"/>
  <c r="Y369" i="12" s="1"/>
  <c r="W33" i="12"/>
  <c r="Y33" i="12" s="1"/>
  <c r="W84" i="12"/>
  <c r="Y84" i="12" s="1"/>
  <c r="W104" i="12"/>
  <c r="Y104" i="12" s="1"/>
  <c r="V104" i="12"/>
  <c r="W153" i="12"/>
  <c r="Y153" i="12" s="1"/>
  <c r="W277" i="12"/>
  <c r="Y277" i="12" s="1"/>
  <c r="V281" i="12"/>
  <c r="W281" i="12"/>
  <c r="Y281" i="12" s="1"/>
  <c r="W309" i="12"/>
  <c r="Y309" i="12" s="1"/>
  <c r="W379" i="12"/>
  <c r="Y379" i="12" s="1"/>
  <c r="V379" i="12"/>
  <c r="V829" i="12"/>
  <c r="W829" i="12" s="1"/>
  <c r="Y829" i="12" s="1"/>
  <c r="V121" i="12"/>
  <c r="W121" i="12"/>
  <c r="Y121" i="12" s="1"/>
  <c r="V168" i="12"/>
  <c r="W168" i="12" s="1"/>
  <c r="Y168" i="12" s="1"/>
  <c r="V197" i="12"/>
  <c r="W197" i="12"/>
  <c r="Y197" i="12" s="1"/>
  <c r="V220" i="12"/>
  <c r="W220" i="12" s="1"/>
  <c r="Y220" i="12" s="1"/>
  <c r="W273" i="12"/>
  <c r="Y273" i="12" s="1"/>
  <c r="W305" i="12"/>
  <c r="Y305" i="12" s="1"/>
  <c r="W482" i="12"/>
  <c r="Y482" i="12" s="1"/>
  <c r="V482" i="12"/>
  <c r="V109" i="12"/>
  <c r="W109" i="12" s="1"/>
  <c r="Y109" i="12" s="1"/>
  <c r="W112" i="12"/>
  <c r="Y112" i="12" s="1"/>
  <c r="V145" i="12"/>
  <c r="W145" i="12" s="1"/>
  <c r="Y145" i="12" s="1"/>
  <c r="V160" i="12"/>
  <c r="W160" i="12" s="1"/>
  <c r="Y160" i="12" s="1"/>
  <c r="V177" i="12"/>
  <c r="W177" i="12" s="1"/>
  <c r="Y177" i="12" s="1"/>
  <c r="V192" i="12"/>
  <c r="W192" i="12" s="1"/>
  <c r="Y192" i="12" s="1"/>
  <c r="V209" i="12"/>
  <c r="W209" i="12" s="1"/>
  <c r="Y209" i="12" s="1"/>
  <c r="V224" i="12"/>
  <c r="W224" i="12"/>
  <c r="Y224" i="12" s="1"/>
  <c r="V241" i="12"/>
  <c r="W241" i="12" s="1"/>
  <c r="Y241" i="12" s="1"/>
  <c r="V256" i="12"/>
  <c r="W256" i="12"/>
  <c r="Y256" i="12" s="1"/>
  <c r="W261" i="12"/>
  <c r="Y261" i="12" s="1"/>
  <c r="V273" i="12"/>
  <c r="V288" i="12"/>
  <c r="W288" i="12" s="1"/>
  <c r="Y288" i="12" s="1"/>
  <c r="W293" i="12"/>
  <c r="Y293" i="12" s="1"/>
  <c r="V305" i="12"/>
  <c r="V315" i="12"/>
  <c r="W315" i="12"/>
  <c r="Y315" i="12" s="1"/>
  <c r="W328" i="12"/>
  <c r="Y328" i="12" s="1"/>
  <c r="W335" i="12"/>
  <c r="Y335" i="12" s="1"/>
  <c r="V337" i="12"/>
  <c r="W337" i="12" s="1"/>
  <c r="Y337" i="12" s="1"/>
  <c r="W352" i="12"/>
  <c r="Y352" i="12" s="1"/>
  <c r="W392" i="12"/>
  <c r="Y392" i="12" s="1"/>
  <c r="W430" i="12"/>
  <c r="Y430" i="12" s="1"/>
  <c r="W446" i="12"/>
  <c r="Y446" i="12" s="1"/>
  <c r="V504" i="12"/>
  <c r="W504" i="12" s="1"/>
  <c r="Y504" i="12" s="1"/>
  <c r="V544" i="12"/>
  <c r="W544" i="12" s="1"/>
  <c r="Y544" i="12" s="1"/>
  <c r="V577" i="12"/>
  <c r="W577" i="12" s="1"/>
  <c r="Y577" i="12" s="1"/>
  <c r="W651" i="12"/>
  <c r="Y651" i="12" s="1"/>
  <c r="W657" i="12"/>
  <c r="Y657" i="12" s="1"/>
  <c r="V657" i="12"/>
  <c r="V1017" i="12"/>
  <c r="W1017" i="12"/>
  <c r="Y1017" i="12" s="1"/>
  <c r="W36" i="12"/>
  <c r="Y36" i="12" s="1"/>
  <c r="W92" i="12"/>
  <c r="Y92" i="12" s="1"/>
  <c r="V148" i="12"/>
  <c r="W148" i="12" s="1"/>
  <c r="Y148" i="12" s="1"/>
  <c r="W673" i="12"/>
  <c r="Y673" i="12" s="1"/>
  <c r="V679" i="12"/>
  <c r="W679" i="12"/>
  <c r="Y679" i="12" s="1"/>
  <c r="V812" i="12"/>
  <c r="W812" i="12"/>
  <c r="Y812" i="12" s="1"/>
  <c r="W1029" i="12"/>
  <c r="Y1029" i="12" s="1"/>
  <c r="V1029" i="12"/>
  <c r="V1039" i="12"/>
  <c r="W1039" i="12" s="1"/>
  <c r="Y1039" i="12" s="1"/>
  <c r="V33" i="12"/>
  <c r="V49" i="12"/>
  <c r="W49" i="12" s="1"/>
  <c r="Y49" i="12" s="1"/>
  <c r="W17" i="12"/>
  <c r="Y17" i="12" s="1"/>
  <c r="W41" i="12"/>
  <c r="Y41" i="12" s="1"/>
  <c r="W57" i="12"/>
  <c r="Y57" i="12" s="1"/>
  <c r="W60" i="12"/>
  <c r="Y60" i="12" s="1"/>
  <c r="W73" i="12"/>
  <c r="Y73" i="12" s="1"/>
  <c r="W76" i="12"/>
  <c r="Y76" i="12" s="1"/>
  <c r="W100" i="12"/>
  <c r="Y100" i="12" s="1"/>
  <c r="W132" i="12"/>
  <c r="Y132" i="12" s="1"/>
  <c r="V140" i="12"/>
  <c r="W140" i="12" s="1"/>
  <c r="Y140" i="12" s="1"/>
  <c r="V172" i="12"/>
  <c r="W172" i="12" s="1"/>
  <c r="Y172" i="12" s="1"/>
  <c r="V204" i="12"/>
  <c r="W204" i="12" s="1"/>
  <c r="Y204" i="12" s="1"/>
  <c r="V236" i="12"/>
  <c r="W236" i="12" s="1"/>
  <c r="Y236" i="12" s="1"/>
  <c r="V268" i="12"/>
  <c r="W268" i="12"/>
  <c r="Y268" i="12" s="1"/>
  <c r="W300" i="12"/>
  <c r="Y300" i="12" s="1"/>
  <c r="V300" i="12"/>
  <c r="W312" i="12"/>
  <c r="Y312" i="12" s="1"/>
  <c r="V321" i="12"/>
  <c r="W321" i="12" s="1"/>
  <c r="Y321" i="12" s="1"/>
  <c r="V394" i="12"/>
  <c r="W394" i="12" s="1"/>
  <c r="Y394" i="12" s="1"/>
  <c r="W427" i="12"/>
  <c r="Y427" i="12" s="1"/>
  <c r="V461" i="12"/>
  <c r="W461" i="12" s="1"/>
  <c r="Y461" i="12" s="1"/>
  <c r="V496" i="12"/>
  <c r="W496" i="12" s="1"/>
  <c r="Y496" i="12" s="1"/>
  <c r="V525" i="12"/>
  <c r="W525" i="12"/>
  <c r="Y525" i="12" s="1"/>
  <c r="V792" i="12"/>
  <c r="W792" i="12" s="1"/>
  <c r="Y792" i="12" s="1"/>
  <c r="W264" i="12"/>
  <c r="Y264" i="12" s="1"/>
  <c r="V264" i="12"/>
  <c r="V418" i="12"/>
  <c r="W418" i="12"/>
  <c r="Y418" i="12" s="1"/>
  <c r="V568" i="12"/>
  <c r="W568" i="12"/>
  <c r="Y568" i="12" s="1"/>
  <c r="W662" i="12"/>
  <c r="Y662" i="12" s="1"/>
  <c r="W907" i="12"/>
  <c r="Y907" i="12" s="1"/>
  <c r="V907" i="12"/>
  <c r="V984" i="12"/>
  <c r="W984" i="12" s="1"/>
  <c r="Y984" i="12" s="1"/>
  <c r="V992" i="12"/>
  <c r="W992" i="12"/>
  <c r="Y992" i="12" s="1"/>
  <c r="V9" i="12"/>
  <c r="W9" i="12" s="1"/>
  <c r="Y9" i="12" s="1"/>
  <c r="V20" i="12"/>
  <c r="W20" i="12" s="1"/>
  <c r="Y20" i="12" s="1"/>
  <c r="V25" i="12"/>
  <c r="W25" i="12" s="1"/>
  <c r="Y25" i="12" s="1"/>
  <c r="V36" i="12"/>
  <c r="V152" i="12"/>
  <c r="W152" i="12"/>
  <c r="Y152" i="12" s="1"/>
  <c r="V184" i="12"/>
  <c r="W184" i="12" s="1"/>
  <c r="Y184" i="12" s="1"/>
  <c r="W216" i="12"/>
  <c r="Y216" i="12" s="1"/>
  <c r="V216" i="12"/>
  <c r="V248" i="12"/>
  <c r="W248" i="12" s="1"/>
  <c r="Y248" i="12" s="1"/>
  <c r="V280" i="12"/>
  <c r="W280" i="12"/>
  <c r="Y280" i="12" s="1"/>
  <c r="V362" i="12"/>
  <c r="W362" i="12" s="1"/>
  <c r="Y362" i="12" s="1"/>
  <c r="V376" i="12"/>
  <c r="W376" i="12" s="1"/>
  <c r="Y376" i="12" s="1"/>
  <c r="V443" i="12"/>
  <c r="W443" i="12" s="1"/>
  <c r="Y443" i="12" s="1"/>
  <c r="W456" i="12"/>
  <c r="Y456" i="12" s="1"/>
  <c r="V533" i="12"/>
  <c r="W533" i="12"/>
  <c r="Y533" i="12" s="1"/>
  <c r="V541" i="12"/>
  <c r="W541" i="12" s="1"/>
  <c r="Y541" i="12" s="1"/>
  <c r="V547" i="12"/>
  <c r="W547" i="12"/>
  <c r="Y547" i="12" s="1"/>
  <c r="V553" i="12"/>
  <c r="W553" i="12" s="1"/>
  <c r="Y553" i="12" s="1"/>
  <c r="V580" i="12"/>
  <c r="W580" i="12"/>
  <c r="Y580" i="12" s="1"/>
  <c r="W635" i="12"/>
  <c r="Y635" i="12" s="1"/>
  <c r="V737" i="12"/>
  <c r="W737" i="12" s="1"/>
  <c r="Y737" i="12" s="1"/>
  <c r="V752" i="12"/>
  <c r="W752" i="12" s="1"/>
  <c r="Y752" i="12" s="1"/>
  <c r="V761" i="12"/>
  <c r="W761" i="12" s="1"/>
  <c r="Y761" i="12" s="1"/>
  <c r="W763" i="12"/>
  <c r="Y763" i="12" s="1"/>
  <c r="W765" i="12"/>
  <c r="Y765" i="12" s="1"/>
  <c r="V771" i="12"/>
  <c r="W771" i="12" s="1"/>
  <c r="Y771" i="12" s="1"/>
  <c r="V777" i="12"/>
  <c r="W777" i="12" s="1"/>
  <c r="Y777" i="12" s="1"/>
  <c r="V296" i="12"/>
  <c r="W296" i="12" s="1"/>
  <c r="Y296" i="12" s="1"/>
  <c r="V453" i="12"/>
  <c r="W453" i="12" s="1"/>
  <c r="Y453" i="12" s="1"/>
  <c r="W28" i="12"/>
  <c r="Y28" i="12" s="1"/>
  <c r="W44" i="12"/>
  <c r="Y44" i="12" s="1"/>
  <c r="W52" i="12"/>
  <c r="Y52" i="12" s="1"/>
  <c r="W64" i="12"/>
  <c r="Y64" i="12" s="1"/>
  <c r="W80" i="12"/>
  <c r="Y80" i="12" s="1"/>
  <c r="V180" i="12"/>
  <c r="W180" i="12"/>
  <c r="Y180" i="12" s="1"/>
  <c r="V244" i="12"/>
  <c r="W244" i="12" s="1"/>
  <c r="Y244" i="12" s="1"/>
  <c r="V276" i="12"/>
  <c r="W276" i="12" s="1"/>
  <c r="Y276" i="12" s="1"/>
  <c r="W344" i="12"/>
  <c r="Y344" i="12" s="1"/>
  <c r="V411" i="12"/>
  <c r="W411" i="12" s="1"/>
  <c r="Y411" i="12" s="1"/>
  <c r="V566" i="12"/>
  <c r="W566" i="12" s="1"/>
  <c r="Y566" i="12" s="1"/>
  <c r="W8" i="12"/>
  <c r="Y8" i="12" s="1"/>
  <c r="W16" i="12"/>
  <c r="Y16" i="12" s="1"/>
  <c r="W24" i="12"/>
  <c r="Y24" i="12" s="1"/>
  <c r="W32" i="12"/>
  <c r="Y32" i="12" s="1"/>
  <c r="W40" i="12"/>
  <c r="Y40" i="12" s="1"/>
  <c r="W48" i="12"/>
  <c r="Y48" i="12" s="1"/>
  <c r="W56" i="12"/>
  <c r="Y56" i="12" s="1"/>
  <c r="W72" i="12"/>
  <c r="Y72" i="12" s="1"/>
  <c r="V88" i="12"/>
  <c r="W88" i="12" s="1"/>
  <c r="Y88" i="12" s="1"/>
  <c r="V105" i="12"/>
  <c r="W105" i="12" s="1"/>
  <c r="Y105" i="12" s="1"/>
  <c r="W108" i="12"/>
  <c r="Y108" i="12" s="1"/>
  <c r="V120" i="12"/>
  <c r="W120" i="12" s="1"/>
  <c r="Y120" i="12" s="1"/>
  <c r="V149" i="12"/>
  <c r="W149" i="12" s="1"/>
  <c r="Y149" i="12" s="1"/>
  <c r="V164" i="12"/>
  <c r="W164" i="12"/>
  <c r="Y164" i="12" s="1"/>
  <c r="V181" i="12"/>
  <c r="W181" i="12" s="1"/>
  <c r="Y181" i="12" s="1"/>
  <c r="V196" i="12"/>
  <c r="W196" i="12" s="1"/>
  <c r="Y196" i="12" s="1"/>
  <c r="V213" i="12"/>
  <c r="V228" i="12"/>
  <c r="W228" i="12"/>
  <c r="Y228" i="12" s="1"/>
  <c r="V245" i="12"/>
  <c r="W245" i="12" s="1"/>
  <c r="Y245" i="12" s="1"/>
  <c r="V260" i="12"/>
  <c r="W260" i="12" s="1"/>
  <c r="Y260" i="12" s="1"/>
  <c r="V277" i="12"/>
  <c r="V292" i="12"/>
  <c r="W292" i="12" s="1"/>
  <c r="Y292" i="12" s="1"/>
  <c r="V309" i="12"/>
  <c r="V332" i="12"/>
  <c r="W345" i="12"/>
  <c r="Y345" i="12" s="1"/>
  <c r="W357" i="12"/>
  <c r="Y357" i="12" s="1"/>
  <c r="W372" i="12"/>
  <c r="Y372" i="12" s="1"/>
  <c r="W402" i="12"/>
  <c r="Y402" i="12" s="1"/>
  <c r="W421" i="12"/>
  <c r="Y421" i="12" s="1"/>
  <c r="W439" i="12"/>
  <c r="Y439" i="12" s="1"/>
  <c r="V456" i="12"/>
  <c r="W706" i="12"/>
  <c r="Y706" i="12" s="1"/>
  <c r="V763" i="12"/>
  <c r="V833" i="12"/>
  <c r="W833" i="12"/>
  <c r="Y833" i="12" s="1"/>
  <c r="W12" i="12"/>
  <c r="Y12" i="12" s="1"/>
  <c r="W124" i="12"/>
  <c r="Y124" i="12" s="1"/>
  <c r="V212" i="12"/>
  <c r="W212" i="12" s="1"/>
  <c r="Y212" i="12" s="1"/>
  <c r="V308" i="12"/>
  <c r="W308" i="12" s="1"/>
  <c r="Y308" i="12" s="1"/>
  <c r="V331" i="12"/>
  <c r="W331" i="12"/>
  <c r="Y331" i="12" s="1"/>
  <c r="V366" i="12"/>
  <c r="W366" i="12" s="1"/>
  <c r="Y366" i="12" s="1"/>
  <c r="V442" i="12"/>
  <c r="W442" i="12" s="1"/>
  <c r="Y442" i="12" s="1"/>
  <c r="V472" i="12"/>
  <c r="W472" i="12" s="1"/>
  <c r="Y472" i="12" s="1"/>
  <c r="V585" i="12"/>
  <c r="W585" i="12" s="1"/>
  <c r="Y585" i="12" s="1"/>
  <c r="W96" i="12"/>
  <c r="Y96" i="12" s="1"/>
  <c r="W128" i="12"/>
  <c r="Y128" i="12" s="1"/>
  <c r="V144" i="12"/>
  <c r="W144" i="12" s="1"/>
  <c r="Y144" i="12" s="1"/>
  <c r="V176" i="12"/>
  <c r="W176" i="12"/>
  <c r="Y176" i="12" s="1"/>
  <c r="V208" i="12"/>
  <c r="W208" i="12"/>
  <c r="Y208" i="12" s="1"/>
  <c r="V240" i="12"/>
  <c r="W240" i="12" s="1"/>
  <c r="Y240" i="12" s="1"/>
  <c r="W272" i="12"/>
  <c r="Y272" i="12" s="1"/>
  <c r="V272" i="12"/>
  <c r="V304" i="12"/>
  <c r="W304" i="12" s="1"/>
  <c r="Y304" i="12" s="1"/>
  <c r="V334" i="12"/>
  <c r="W334" i="12"/>
  <c r="Y334" i="12" s="1"/>
  <c r="W359" i="12"/>
  <c r="Y359" i="12" s="1"/>
  <c r="V389" i="12"/>
  <c r="W389" i="12" s="1"/>
  <c r="Y389" i="12" s="1"/>
  <c r="W478" i="12"/>
  <c r="Y478" i="12" s="1"/>
  <c r="V563" i="12"/>
  <c r="W563" i="12"/>
  <c r="Y563" i="12" s="1"/>
  <c r="V619" i="12"/>
  <c r="W619" i="12" s="1"/>
  <c r="Y619" i="12" s="1"/>
  <c r="V625" i="12"/>
  <c r="W625" i="12" s="1"/>
  <c r="Y625" i="12" s="1"/>
  <c r="V493" i="12"/>
  <c r="W493" i="12"/>
  <c r="Y493" i="12" s="1"/>
  <c r="V512" i="12"/>
  <c r="W512" i="12" s="1"/>
  <c r="Y512" i="12" s="1"/>
  <c r="V582" i="12"/>
  <c r="W582" i="12" s="1"/>
  <c r="Y582" i="12" s="1"/>
  <c r="V785" i="12"/>
  <c r="W785" i="12"/>
  <c r="Y785" i="12" s="1"/>
  <c r="V843" i="12"/>
  <c r="W843" i="12" s="1"/>
  <c r="Y843" i="12" s="1"/>
  <c r="W861" i="12"/>
  <c r="Y861" i="12" s="1"/>
  <c r="V871" i="12"/>
  <c r="W871" i="12" s="1"/>
  <c r="Y871" i="12" s="1"/>
  <c r="W879" i="12"/>
  <c r="Y879" i="12" s="1"/>
  <c r="V879" i="12"/>
  <c r="V1007" i="12"/>
  <c r="W1007" i="12" s="1"/>
  <c r="Y1007" i="12" s="1"/>
  <c r="W408" i="12"/>
  <c r="Y408" i="12" s="1"/>
  <c r="V324" i="12"/>
  <c r="W324" i="12" s="1"/>
  <c r="Y324" i="12" s="1"/>
  <c r="V345" i="12"/>
  <c r="V353" i="12"/>
  <c r="W353" i="12" s="1"/>
  <c r="Y353" i="12" s="1"/>
  <c r="V363" i="12"/>
  <c r="W363" i="12" s="1"/>
  <c r="Y363" i="12" s="1"/>
  <c r="V391" i="12"/>
  <c r="W391" i="12" s="1"/>
  <c r="Y391" i="12" s="1"/>
  <c r="V408" i="12"/>
  <c r="W420" i="12"/>
  <c r="Y420" i="12" s="1"/>
  <c r="W424" i="12"/>
  <c r="Y424" i="12" s="1"/>
  <c r="V434" i="12"/>
  <c r="W434" i="12" s="1"/>
  <c r="Y434" i="12" s="1"/>
  <c r="W473" i="12"/>
  <c r="Y473" i="12" s="1"/>
  <c r="W488" i="12"/>
  <c r="Y488" i="12" s="1"/>
  <c r="V501" i="12"/>
  <c r="W501" i="12" s="1"/>
  <c r="Y501" i="12" s="1"/>
  <c r="V520" i="12"/>
  <c r="W520" i="12" s="1"/>
  <c r="Y520" i="12" s="1"/>
  <c r="W530" i="12"/>
  <c r="Y530" i="12" s="1"/>
  <c r="V576" i="12"/>
  <c r="W576" i="12" s="1"/>
  <c r="Y576" i="12" s="1"/>
  <c r="V596" i="12"/>
  <c r="W596" i="12" s="1"/>
  <c r="Y596" i="12" s="1"/>
  <c r="W606" i="12"/>
  <c r="Y606" i="12" s="1"/>
  <c r="V628" i="12"/>
  <c r="W628" i="12"/>
  <c r="Y628" i="12" s="1"/>
  <c r="V632" i="12"/>
  <c r="W632" i="12" s="1"/>
  <c r="Y632" i="12" s="1"/>
  <c r="W640" i="12"/>
  <c r="Y640" i="12" s="1"/>
  <c r="V640" i="12"/>
  <c r="W644" i="12"/>
  <c r="Y644" i="12" s="1"/>
  <c r="W648" i="12"/>
  <c r="Y648" i="12" s="1"/>
  <c r="W682" i="12"/>
  <c r="Y682" i="12" s="1"/>
  <c r="W690" i="12"/>
  <c r="Y690" i="12" s="1"/>
  <c r="V801" i="12"/>
  <c r="W801" i="12" s="1"/>
  <c r="Y801" i="12" s="1"/>
  <c r="W805" i="12"/>
  <c r="Y805" i="12" s="1"/>
  <c r="V853" i="12"/>
  <c r="W853" i="12" s="1"/>
  <c r="Y853" i="12" s="1"/>
  <c r="V861" i="12"/>
  <c r="V1032" i="12"/>
  <c r="W1032" i="12"/>
  <c r="Y1032" i="12" s="1"/>
  <c r="W348" i="12"/>
  <c r="Y348" i="12" s="1"/>
  <c r="V469" i="12"/>
  <c r="W469" i="12" s="1"/>
  <c r="Y469" i="12" s="1"/>
  <c r="V378" i="12"/>
  <c r="W378" i="12" s="1"/>
  <c r="Y378" i="12" s="1"/>
  <c r="V410" i="12"/>
  <c r="W410" i="12" s="1"/>
  <c r="Y410" i="12" s="1"/>
  <c r="W440" i="12"/>
  <c r="Y440" i="12" s="1"/>
  <c r="V464" i="12"/>
  <c r="W464" i="12" s="1"/>
  <c r="Y464" i="12" s="1"/>
  <c r="V509" i="12"/>
  <c r="W509" i="12" s="1"/>
  <c r="Y509" i="12" s="1"/>
  <c r="W528" i="12"/>
  <c r="Y528" i="12" s="1"/>
  <c r="V528" i="12"/>
  <c r="V548" i="12"/>
  <c r="W548" i="12"/>
  <c r="Y548" i="12" s="1"/>
  <c r="W561" i="12"/>
  <c r="Y561" i="12" s="1"/>
  <c r="W590" i="12"/>
  <c r="Y590" i="12" s="1"/>
  <c r="W608" i="12"/>
  <c r="Y608" i="12" s="1"/>
  <c r="V608" i="12"/>
  <c r="V684" i="12"/>
  <c r="W684" i="12" s="1"/>
  <c r="Y684" i="12" s="1"/>
  <c r="V901" i="12"/>
  <c r="W901" i="12" s="1"/>
  <c r="Y901" i="12" s="1"/>
  <c r="W977" i="12"/>
  <c r="Y977" i="12" s="1"/>
  <c r="V977" i="12"/>
  <c r="V997" i="12"/>
  <c r="W997" i="12" s="1"/>
  <c r="Y997" i="12" s="1"/>
  <c r="W340" i="12"/>
  <c r="Y340" i="12" s="1"/>
  <c r="W356" i="12"/>
  <c r="Y356" i="12" s="1"/>
  <c r="W373" i="12"/>
  <c r="Y373" i="12" s="1"/>
  <c r="W375" i="12"/>
  <c r="Y375" i="12" s="1"/>
  <c r="W388" i="12"/>
  <c r="Y388" i="12" s="1"/>
  <c r="W426" i="12"/>
  <c r="Y426" i="12" s="1"/>
  <c r="V426" i="12"/>
  <c r="V440" i="12"/>
  <c r="V466" i="12"/>
  <c r="W466" i="12" s="1"/>
  <c r="Y466" i="12" s="1"/>
  <c r="W470" i="12"/>
  <c r="Y470" i="12" s="1"/>
  <c r="W490" i="12"/>
  <c r="Y490" i="12" s="1"/>
  <c r="V517" i="12"/>
  <c r="W517" i="12" s="1"/>
  <c r="Y517" i="12" s="1"/>
  <c r="V536" i="12"/>
  <c r="W536" i="12" s="1"/>
  <c r="Y536" i="12" s="1"/>
  <c r="V561" i="12"/>
  <c r="V590" i="12"/>
  <c r="V624" i="12"/>
  <c r="W624" i="12" s="1"/>
  <c r="Y624" i="12" s="1"/>
  <c r="W678" i="12"/>
  <c r="Y678" i="12" s="1"/>
  <c r="W708" i="12"/>
  <c r="Y708" i="12" s="1"/>
  <c r="V708" i="12"/>
  <c r="V712" i="12"/>
  <c r="W712" i="12" s="1"/>
  <c r="Y712" i="12" s="1"/>
  <c r="W716" i="12"/>
  <c r="Y716" i="12" s="1"/>
  <c r="V719" i="12"/>
  <c r="W719" i="12" s="1"/>
  <c r="Y719" i="12" s="1"/>
  <c r="V721" i="12"/>
  <c r="W721" i="12" s="1"/>
  <c r="Y721" i="12" s="1"/>
  <c r="V741" i="12"/>
  <c r="W741" i="12"/>
  <c r="Y741" i="12" s="1"/>
  <c r="V967" i="12"/>
  <c r="W967" i="12" s="1"/>
  <c r="Y967" i="12" s="1"/>
  <c r="V975" i="12"/>
  <c r="W975" i="12" s="1"/>
  <c r="Y975" i="12" s="1"/>
  <c r="W452" i="12"/>
  <c r="Y452" i="12" s="1"/>
  <c r="W484" i="12"/>
  <c r="Y484" i="12" s="1"/>
  <c r="W558" i="12"/>
  <c r="Y558" i="12" s="1"/>
  <c r="W592" i="12"/>
  <c r="Y592" i="12" s="1"/>
  <c r="V592" i="12"/>
  <c r="W641" i="12"/>
  <c r="Y641" i="12" s="1"/>
  <c r="W713" i="12"/>
  <c r="Y713" i="12" s="1"/>
  <c r="W797" i="12"/>
  <c r="Y797" i="12" s="1"/>
  <c r="V797" i="12"/>
  <c r="W844" i="12"/>
  <c r="Y844" i="12" s="1"/>
  <c r="V844" i="12"/>
  <c r="V935" i="12"/>
  <c r="W935" i="12" s="1"/>
  <c r="Y935" i="12" s="1"/>
  <c r="V1011" i="12"/>
  <c r="W1011" i="12" s="1"/>
  <c r="Y1011" i="12" s="1"/>
  <c r="W1015" i="12"/>
  <c r="Y1015" i="12" s="1"/>
  <c r="V1015" i="12"/>
  <c r="W460" i="12"/>
  <c r="Y460" i="12" s="1"/>
  <c r="W492" i="12"/>
  <c r="Y492" i="12" s="1"/>
  <c r="W560" i="12"/>
  <c r="Y560" i="12" s="1"/>
  <c r="W609" i="12"/>
  <c r="Y609" i="12" s="1"/>
  <c r="W614" i="12"/>
  <c r="Y614" i="12" s="1"/>
  <c r="W654" i="12"/>
  <c r="Y654" i="12" s="1"/>
  <c r="W681" i="12"/>
  <c r="Y681" i="12" s="1"/>
  <c r="V681" i="12"/>
  <c r="V687" i="12"/>
  <c r="W687" i="12" s="1"/>
  <c r="Y687" i="12" s="1"/>
  <c r="W697" i="12"/>
  <c r="Y697" i="12" s="1"/>
  <c r="V715" i="12"/>
  <c r="W715" i="12" s="1"/>
  <c r="Y715" i="12" s="1"/>
  <c r="W755" i="12"/>
  <c r="Y755" i="12" s="1"/>
  <c r="V755" i="12"/>
  <c r="W365" i="12"/>
  <c r="Y365" i="12" s="1"/>
  <c r="W516" i="12"/>
  <c r="Y516" i="12" s="1"/>
  <c r="W524" i="12"/>
  <c r="Y524" i="12" s="1"/>
  <c r="W532" i="12"/>
  <c r="Y532" i="12" s="1"/>
  <c r="W550" i="12"/>
  <c r="Y550" i="12" s="1"/>
  <c r="V550" i="12"/>
  <c r="W574" i="12"/>
  <c r="Y574" i="12" s="1"/>
  <c r="W672" i="12"/>
  <c r="Y672" i="12" s="1"/>
  <c r="V672" i="12"/>
  <c r="V703" i="12"/>
  <c r="W703" i="12" s="1"/>
  <c r="Y703" i="12" s="1"/>
  <c r="V728" i="12"/>
  <c r="W728" i="12"/>
  <c r="Y728" i="12" s="1"/>
  <c r="V772" i="12"/>
  <c r="W772" i="12" s="1"/>
  <c r="Y772" i="12" s="1"/>
  <c r="W824" i="12"/>
  <c r="Y824" i="12" s="1"/>
  <c r="V824" i="12"/>
  <c r="W867" i="12"/>
  <c r="Y867" i="12" s="1"/>
  <c r="V867" i="12"/>
  <c r="V936" i="12"/>
  <c r="W936" i="12" s="1"/>
  <c r="Y936" i="12" s="1"/>
  <c r="W965" i="12"/>
  <c r="Y965" i="12" s="1"/>
  <c r="W1028" i="12"/>
  <c r="Y1028" i="12" s="1"/>
  <c r="W468" i="12"/>
  <c r="Y468" i="12" s="1"/>
  <c r="W477" i="12"/>
  <c r="Y477" i="12" s="1"/>
  <c r="V480" i="12"/>
  <c r="W480" i="12" s="1"/>
  <c r="Y480" i="12" s="1"/>
  <c r="W497" i="12"/>
  <c r="Y497" i="12" s="1"/>
  <c r="V500" i="12"/>
  <c r="W500" i="12" s="1"/>
  <c r="Y500" i="12" s="1"/>
  <c r="W505" i="12"/>
  <c r="Y505" i="12" s="1"/>
  <c r="V508" i="12"/>
  <c r="W508" i="12" s="1"/>
  <c r="Y508" i="12" s="1"/>
  <c r="W513" i="12"/>
  <c r="Y513" i="12" s="1"/>
  <c r="V516" i="12"/>
  <c r="W521" i="12"/>
  <c r="Y521" i="12" s="1"/>
  <c r="V524" i="12"/>
  <c r="W529" i="12"/>
  <c r="Y529" i="12" s="1"/>
  <c r="V532" i="12"/>
  <c r="W537" i="12"/>
  <c r="Y537" i="12" s="1"/>
  <c r="V540" i="12"/>
  <c r="W540" i="12" s="1"/>
  <c r="Y540" i="12" s="1"/>
  <c r="V545" i="12"/>
  <c r="W545" i="12" s="1"/>
  <c r="Y545" i="12" s="1"/>
  <c r="W569" i="12"/>
  <c r="Y569" i="12" s="1"/>
  <c r="V569" i="12"/>
  <c r="V574" i="12"/>
  <c r="V579" i="12"/>
  <c r="W579" i="12"/>
  <c r="Y579" i="12" s="1"/>
  <c r="V593" i="12"/>
  <c r="W593" i="12" s="1"/>
  <c r="Y593" i="12" s="1"/>
  <c r="W622" i="12"/>
  <c r="Y622" i="12" s="1"/>
  <c r="V638" i="12"/>
  <c r="W638" i="12" s="1"/>
  <c r="Y638" i="12" s="1"/>
  <c r="W656" i="12"/>
  <c r="Y656" i="12" s="1"/>
  <c r="V656" i="12"/>
  <c r="W744" i="12"/>
  <c r="Y744" i="12" s="1"/>
  <c r="V747" i="12"/>
  <c r="W747" i="12" s="1"/>
  <c r="Y747" i="12" s="1"/>
  <c r="W815" i="12"/>
  <c r="Y815" i="12" s="1"/>
  <c r="W869" i="12"/>
  <c r="Y869" i="12" s="1"/>
  <c r="V869" i="12"/>
  <c r="V919" i="12"/>
  <c r="W919" i="12" s="1"/>
  <c r="Y919" i="12" s="1"/>
  <c r="V961" i="12"/>
  <c r="W961" i="12" s="1"/>
  <c r="Y961" i="12" s="1"/>
  <c r="V979" i="12"/>
  <c r="W979" i="12" s="1"/>
  <c r="Y979" i="12" s="1"/>
  <c r="W983" i="12"/>
  <c r="Y983" i="12" s="1"/>
  <c r="V983" i="12"/>
  <c r="V725" i="12"/>
  <c r="W725" i="12" s="1"/>
  <c r="Y725" i="12" s="1"/>
  <c r="W757" i="12"/>
  <c r="Y757" i="12" s="1"/>
  <c r="V775" i="12"/>
  <c r="W775" i="12" s="1"/>
  <c r="Y775" i="12" s="1"/>
  <c r="V780" i="12"/>
  <c r="W780" i="12" s="1"/>
  <c r="Y780" i="12" s="1"/>
  <c r="W856" i="12"/>
  <c r="Y856" i="12" s="1"/>
  <c r="V856" i="12"/>
  <c r="W897" i="12"/>
  <c r="Y897" i="12" s="1"/>
  <c r="V939" i="12"/>
  <c r="W939" i="12" s="1"/>
  <c r="Y939" i="12" s="1"/>
  <c r="V943" i="12"/>
  <c r="W943" i="12" s="1"/>
  <c r="Y943" i="12" s="1"/>
  <c r="W1003" i="12"/>
  <c r="Y1003" i="12" s="1"/>
  <c r="V1003" i="12"/>
  <c r="V1009" i="12"/>
  <c r="W1009" i="12" s="1"/>
  <c r="Y1009" i="12" s="1"/>
  <c r="V1043" i="12"/>
  <c r="W1043" i="12" s="1"/>
  <c r="Y1043" i="12" s="1"/>
  <c r="W705" i="12"/>
  <c r="Y705" i="12" s="1"/>
  <c r="V727" i="12"/>
  <c r="W727" i="12" s="1"/>
  <c r="Y727" i="12" s="1"/>
  <c r="W731" i="12"/>
  <c r="Y731" i="12" s="1"/>
  <c r="V731" i="12"/>
  <c r="W736" i="12"/>
  <c r="Y736" i="12" s="1"/>
  <c r="V736" i="12"/>
  <c r="W796" i="12"/>
  <c r="Y796" i="12" s="1"/>
  <c r="W819" i="12"/>
  <c r="Y819" i="12" s="1"/>
  <c r="W847" i="12"/>
  <c r="Y847" i="12" s="1"/>
  <c r="V847" i="12"/>
  <c r="V892" i="12"/>
  <c r="W892" i="12" s="1"/>
  <c r="Y892" i="12" s="1"/>
  <c r="V945" i="12"/>
  <c r="W945" i="12" s="1"/>
  <c r="Y945" i="12" s="1"/>
  <c r="W595" i="12"/>
  <c r="Y595" i="12" s="1"/>
  <c r="V598" i="12"/>
  <c r="W598" i="12" s="1"/>
  <c r="Y598" i="12" s="1"/>
  <c r="V601" i="12"/>
  <c r="W601" i="12" s="1"/>
  <c r="Y601" i="12" s="1"/>
  <c r="W611" i="12"/>
  <c r="Y611" i="12" s="1"/>
  <c r="V614" i="12"/>
  <c r="V617" i="12"/>
  <c r="W627" i="12"/>
  <c r="Y627" i="12" s="1"/>
  <c r="V630" i="12"/>
  <c r="W630" i="12" s="1"/>
  <c r="Y630" i="12" s="1"/>
  <c r="V633" i="12"/>
  <c r="W633" i="12" s="1"/>
  <c r="Y633" i="12" s="1"/>
  <c r="W643" i="12"/>
  <c r="Y643" i="12" s="1"/>
  <c r="V646" i="12"/>
  <c r="W646" i="12" s="1"/>
  <c r="Y646" i="12" s="1"/>
  <c r="V649" i="12"/>
  <c r="W649" i="12" s="1"/>
  <c r="Y649" i="12" s="1"/>
  <c r="W659" i="12"/>
  <c r="Y659" i="12" s="1"/>
  <c r="V662" i="12"/>
  <c r="V665" i="12"/>
  <c r="W665" i="12" s="1"/>
  <c r="Y665" i="12" s="1"/>
  <c r="W675" i="12"/>
  <c r="Y675" i="12" s="1"/>
  <c r="V678" i="12"/>
  <c r="V686" i="12"/>
  <c r="W686" i="12" s="1"/>
  <c r="Y686" i="12" s="1"/>
  <c r="W691" i="12"/>
  <c r="Y691" i="12" s="1"/>
  <c r="V705" i="12"/>
  <c r="V707" i="12"/>
  <c r="W707" i="12" s="1"/>
  <c r="Y707" i="12" s="1"/>
  <c r="W733" i="12"/>
  <c r="Y733" i="12" s="1"/>
  <c r="W740" i="12"/>
  <c r="Y740" i="12" s="1"/>
  <c r="V743" i="12"/>
  <c r="W743" i="12" s="1"/>
  <c r="Y743" i="12" s="1"/>
  <c r="V764" i="12"/>
  <c r="W764" i="12" s="1"/>
  <c r="Y764" i="12" s="1"/>
  <c r="V769" i="12"/>
  <c r="W769" i="12" s="1"/>
  <c r="Y769" i="12" s="1"/>
  <c r="W779" i="12"/>
  <c r="Y779" i="12" s="1"/>
  <c r="V796" i="12"/>
  <c r="V800" i="12"/>
  <c r="W800" i="12" s="1"/>
  <c r="Y800" i="12" s="1"/>
  <c r="V819" i="12"/>
  <c r="W836" i="12"/>
  <c r="Y836" i="12" s="1"/>
  <c r="W872" i="12"/>
  <c r="Y872" i="12" s="1"/>
  <c r="W881" i="12"/>
  <c r="Y881" i="12" s="1"/>
  <c r="V881" i="12"/>
  <c r="W913" i="12"/>
  <c r="Y913" i="12" s="1"/>
  <c r="V913" i="12"/>
  <c r="W915" i="12"/>
  <c r="Y915" i="12" s="1"/>
  <c r="W928" i="12"/>
  <c r="Y928" i="12" s="1"/>
  <c r="V931" i="12"/>
  <c r="W931" i="12" s="1"/>
  <c r="Y931" i="12" s="1"/>
  <c r="V1000" i="12"/>
  <c r="W1000" i="12" s="1"/>
  <c r="Y1000" i="12" s="1"/>
  <c r="W700" i="12"/>
  <c r="Y700" i="12" s="1"/>
  <c r="W751" i="12"/>
  <c r="Y751" i="12" s="1"/>
  <c r="W791" i="12"/>
  <c r="Y791" i="12" s="1"/>
  <c r="W793" i="12"/>
  <c r="Y793" i="12" s="1"/>
  <c r="W883" i="12"/>
  <c r="Y883" i="12" s="1"/>
  <c r="V883" i="12"/>
  <c r="W903" i="12"/>
  <c r="Y903" i="12" s="1"/>
  <c r="W968" i="12"/>
  <c r="Y968" i="12" s="1"/>
  <c r="V971" i="12"/>
  <c r="W971" i="12" s="1"/>
  <c r="Y971" i="12" s="1"/>
  <c r="W1004" i="12"/>
  <c r="Y1004" i="12" s="1"/>
  <c r="V1020" i="12"/>
  <c r="W1020" i="12" s="1"/>
  <c r="Y1020" i="12" s="1"/>
  <c r="V1031" i="12"/>
  <c r="W1031" i="12" s="1"/>
  <c r="Y1031" i="12" s="1"/>
  <c r="W759" i="12"/>
  <c r="Y759" i="12" s="1"/>
  <c r="W787" i="12"/>
  <c r="Y787" i="12" s="1"/>
  <c r="V803" i="12"/>
  <c r="W803" i="12" s="1"/>
  <c r="Y803" i="12" s="1"/>
  <c r="W811" i="12"/>
  <c r="Y811" i="12" s="1"/>
  <c r="V817" i="12"/>
  <c r="W817" i="12" s="1"/>
  <c r="Y817" i="12" s="1"/>
  <c r="W839" i="12"/>
  <c r="Y839" i="12" s="1"/>
  <c r="V849" i="12"/>
  <c r="W849" i="12" s="1"/>
  <c r="Y849" i="12" s="1"/>
  <c r="W851" i="12"/>
  <c r="Y851" i="12" s="1"/>
  <c r="V911" i="12"/>
  <c r="W911" i="12" s="1"/>
  <c r="Y911" i="12" s="1"/>
  <c r="V920" i="12"/>
  <c r="W920" i="12" s="1"/>
  <c r="Y920" i="12" s="1"/>
  <c r="W933" i="12"/>
  <c r="Y933" i="12" s="1"/>
  <c r="V995" i="12"/>
  <c r="W995" i="12" s="1"/>
  <c r="Y995" i="12" s="1"/>
  <c r="W711" i="12"/>
  <c r="Y711" i="12" s="1"/>
  <c r="V739" i="12"/>
  <c r="W739" i="12" s="1"/>
  <c r="Y739" i="12" s="1"/>
  <c r="W783" i="12"/>
  <c r="Y783" i="12" s="1"/>
  <c r="W789" i="12"/>
  <c r="Y789" i="12" s="1"/>
  <c r="W804" i="12"/>
  <c r="Y804" i="12" s="1"/>
  <c r="W828" i="12"/>
  <c r="Y828" i="12" s="1"/>
  <c r="W887" i="12"/>
  <c r="Y887" i="12" s="1"/>
  <c r="W917" i="12"/>
  <c r="Y917" i="12" s="1"/>
  <c r="V947" i="12"/>
  <c r="W947" i="12" s="1"/>
  <c r="Y947" i="12" s="1"/>
  <c r="W956" i="12"/>
  <c r="Y956" i="12" s="1"/>
  <c r="W999" i="12"/>
  <c r="Y999" i="12" s="1"/>
  <c r="W1044" i="12"/>
  <c r="Y1044" i="12" s="1"/>
  <c r="V1044" i="12"/>
  <c r="W695" i="12"/>
  <c r="Y695" i="12" s="1"/>
  <c r="W723" i="12"/>
  <c r="Y723" i="12" s="1"/>
  <c r="W732" i="12"/>
  <c r="Y732" i="12" s="1"/>
  <c r="W823" i="12"/>
  <c r="Y823" i="12" s="1"/>
  <c r="V832" i="12"/>
  <c r="W832" i="12" s="1"/>
  <c r="Y832" i="12" s="1"/>
  <c r="W855" i="12"/>
  <c r="Y855" i="12" s="1"/>
  <c r="V855" i="12"/>
  <c r="W875" i="12"/>
  <c r="Y875" i="12" s="1"/>
  <c r="V875" i="12"/>
  <c r="W951" i="12"/>
  <c r="Y951" i="12" s="1"/>
  <c r="W981" i="12"/>
  <c r="Y981" i="12" s="1"/>
  <c r="W1035" i="12"/>
  <c r="Y1035" i="12" s="1"/>
  <c r="W735" i="12"/>
  <c r="Y735" i="12" s="1"/>
  <c r="W767" i="12"/>
  <c r="Y767" i="12" s="1"/>
  <c r="W807" i="12"/>
  <c r="Y807" i="12" s="1"/>
  <c r="W821" i="12"/>
  <c r="Y821" i="12" s="1"/>
  <c r="V835" i="12"/>
  <c r="W835" i="12" s="1"/>
  <c r="Y835" i="12" s="1"/>
  <c r="W860" i="12"/>
  <c r="Y860" i="12" s="1"/>
  <c r="V888" i="12"/>
  <c r="W888" i="12" s="1"/>
  <c r="Y888" i="12" s="1"/>
  <c r="W924" i="12"/>
  <c r="Y924" i="12" s="1"/>
  <c r="V952" i="12"/>
  <c r="W952" i="12" s="1"/>
  <c r="Y952" i="12" s="1"/>
  <c r="W988" i="12"/>
  <c r="Y988" i="12" s="1"/>
  <c r="V1016" i="12"/>
  <c r="W1016" i="12" s="1"/>
  <c r="Y1016" i="12" s="1"/>
  <c r="W885" i="12"/>
  <c r="Y885" i="12" s="1"/>
  <c r="W899" i="12"/>
  <c r="Y899" i="12" s="1"/>
  <c r="V899" i="12"/>
  <c r="W949" i="12"/>
  <c r="Y949" i="12" s="1"/>
  <c r="W963" i="12"/>
  <c r="Y963" i="12" s="1"/>
  <c r="V963" i="12"/>
  <c r="W1013" i="12"/>
  <c r="Y1013" i="12" s="1"/>
  <c r="V1027" i="12"/>
  <c r="W1027" i="12" s="1"/>
  <c r="Y1027" i="12" s="1"/>
  <c r="W1041" i="12"/>
  <c r="Y1041" i="12" s="1"/>
  <c r="W799" i="12"/>
  <c r="Y799" i="12" s="1"/>
  <c r="W927" i="12"/>
  <c r="Y927" i="12" s="1"/>
  <c r="W959" i="12"/>
  <c r="Y959" i="12" s="1"/>
  <c r="W991" i="12"/>
  <c r="Y991" i="12" s="1"/>
  <c r="W795" i="12"/>
  <c r="Y795" i="12" s="1"/>
  <c r="V799" i="12"/>
  <c r="W827" i="12"/>
  <c r="Y827" i="12" s="1"/>
  <c r="V831" i="12"/>
  <c r="W831" i="12" s="1"/>
  <c r="Y831" i="12" s="1"/>
  <c r="W859" i="12"/>
  <c r="Y859" i="12" s="1"/>
  <c r="V863" i="12"/>
  <c r="W863" i="12" s="1"/>
  <c r="Y863" i="12" s="1"/>
  <c r="W891" i="12"/>
  <c r="Y891" i="12" s="1"/>
  <c r="V895" i="12"/>
  <c r="W895" i="12" s="1"/>
  <c r="Y895" i="12" s="1"/>
  <c r="W923" i="12"/>
  <c r="Y923" i="12" s="1"/>
  <c r="V927" i="12"/>
  <c r="W955" i="12"/>
  <c r="Y955" i="12" s="1"/>
  <c r="V959" i="12"/>
  <c r="W987" i="12"/>
  <c r="Y987" i="12" s="1"/>
  <c r="V991" i="12"/>
  <c r="W1019" i="12"/>
  <c r="Y1019" i="12" s="1"/>
  <c r="V1023" i="12"/>
  <c r="W1023" i="12" s="1"/>
  <c r="Y1023" i="12" s="1"/>
  <c r="F8" i="1" l="1"/>
  <c r="F14" i="1" s="1"/>
  <c r="F31" i="1" s="1"/>
  <c r="D21" i="11"/>
  <c r="C21" i="11"/>
  <c r="B21" i="11"/>
  <c r="D20" i="11"/>
  <c r="C20" i="11"/>
  <c r="B20" i="11"/>
  <c r="D19" i="11"/>
  <c r="C19" i="11"/>
  <c r="B19" i="11"/>
  <c r="D18" i="11"/>
  <c r="C18" i="11"/>
  <c r="B18" i="11"/>
  <c r="D17" i="11"/>
  <c r="C17" i="11"/>
  <c r="B17" i="11"/>
  <c r="D16" i="11"/>
  <c r="C16" i="11"/>
  <c r="B16" i="11"/>
  <c r="B12" i="11"/>
  <c r="B11" i="11"/>
  <c r="B7" i="11"/>
  <c r="B5" i="11"/>
  <c r="B4" i="11"/>
  <c r="B3" i="11"/>
  <c r="O38" i="10"/>
  <c r="M38" i="10"/>
  <c r="K38" i="10"/>
  <c r="J38" i="10"/>
  <c r="G38" i="10"/>
  <c r="E38" i="10"/>
  <c r="O37" i="10"/>
  <c r="M37" i="10"/>
  <c r="K37" i="10"/>
  <c r="J37" i="10"/>
  <c r="G37" i="10"/>
  <c r="E37" i="10"/>
  <c r="O36" i="10"/>
  <c r="M36" i="10"/>
  <c r="K36" i="10"/>
  <c r="J36" i="10"/>
  <c r="G36" i="10"/>
  <c r="E36" i="10"/>
  <c r="O35" i="10"/>
  <c r="M35" i="10"/>
  <c r="K35" i="10"/>
  <c r="J35" i="10"/>
  <c r="G35" i="10"/>
  <c r="E35" i="10"/>
  <c r="O34" i="10"/>
  <c r="M34" i="10"/>
  <c r="K34" i="10"/>
  <c r="J34" i="10"/>
  <c r="G34" i="10"/>
  <c r="E34" i="10"/>
  <c r="O33" i="10"/>
  <c r="M33" i="10"/>
  <c r="K33" i="10"/>
  <c r="J33" i="10"/>
  <c r="G33" i="10"/>
  <c r="E33" i="10"/>
  <c r="O32" i="10"/>
  <c r="M32" i="10"/>
  <c r="K32" i="10"/>
  <c r="J32" i="10"/>
  <c r="G32" i="10"/>
  <c r="E32" i="10"/>
  <c r="O31" i="10"/>
  <c r="M31" i="10"/>
  <c r="K31" i="10"/>
  <c r="J31" i="10"/>
  <c r="G31" i="10"/>
  <c r="E31" i="10"/>
  <c r="O30" i="10"/>
  <c r="M30" i="10"/>
  <c r="K30" i="10"/>
  <c r="J30" i="10"/>
  <c r="G30" i="10"/>
  <c r="E30" i="10"/>
  <c r="O29" i="10"/>
  <c r="M29" i="10"/>
  <c r="K29" i="10"/>
  <c r="J29" i="10"/>
  <c r="G29" i="10"/>
  <c r="E29" i="10"/>
  <c r="O28" i="10"/>
  <c r="M28" i="10"/>
  <c r="K28" i="10"/>
  <c r="J28" i="10"/>
  <c r="G28" i="10"/>
  <c r="E28" i="10"/>
  <c r="O27" i="10"/>
  <c r="M27" i="10"/>
  <c r="K27" i="10"/>
  <c r="J27" i="10"/>
  <c r="G27" i="10"/>
  <c r="E27" i="10"/>
  <c r="O26" i="10"/>
  <c r="M26" i="10"/>
  <c r="K26" i="10"/>
  <c r="J26" i="10"/>
  <c r="G26" i="10"/>
  <c r="E26" i="10"/>
  <c r="O25" i="10"/>
  <c r="M25" i="10"/>
  <c r="K25" i="10"/>
  <c r="J25" i="10"/>
  <c r="G25" i="10"/>
  <c r="E25" i="10"/>
  <c r="O24" i="10"/>
  <c r="M24" i="10"/>
  <c r="K24" i="10"/>
  <c r="J24" i="10"/>
  <c r="G24" i="10"/>
  <c r="E24" i="10"/>
  <c r="O23" i="10"/>
  <c r="M23" i="10"/>
  <c r="K23" i="10"/>
  <c r="J23" i="10"/>
  <c r="G23" i="10"/>
  <c r="E23" i="10"/>
  <c r="O22" i="10"/>
  <c r="M22" i="10"/>
  <c r="K22" i="10"/>
  <c r="J22" i="10"/>
  <c r="G22" i="10"/>
  <c r="E22" i="10"/>
  <c r="O21" i="10"/>
  <c r="M21" i="10"/>
  <c r="K21" i="10"/>
  <c r="J21" i="10"/>
  <c r="G21" i="10"/>
  <c r="E21" i="10"/>
  <c r="O20" i="10"/>
  <c r="M20" i="10"/>
  <c r="K20" i="10"/>
  <c r="J20" i="10"/>
  <c r="G20" i="10"/>
  <c r="E20" i="10"/>
  <c r="O19" i="10"/>
  <c r="M19" i="10"/>
  <c r="K19" i="10"/>
  <c r="J19" i="10"/>
  <c r="G19" i="10"/>
  <c r="E19" i="10"/>
  <c r="O18" i="10"/>
  <c r="M18" i="10"/>
  <c r="K18" i="10"/>
  <c r="J18" i="10"/>
  <c r="G18" i="10"/>
  <c r="E18" i="10"/>
  <c r="O17" i="10"/>
  <c r="M17" i="10"/>
  <c r="K17" i="10"/>
  <c r="J17" i="10"/>
  <c r="G17" i="10"/>
  <c r="E17" i="10"/>
  <c r="O16" i="10"/>
  <c r="M16" i="10"/>
  <c r="K16" i="10"/>
  <c r="J16" i="10"/>
  <c r="G16" i="10"/>
  <c r="E16" i="10"/>
  <c r="O15" i="10"/>
  <c r="M15" i="10"/>
  <c r="K15" i="10"/>
  <c r="J15" i="10"/>
  <c r="G15" i="10"/>
  <c r="E15" i="10"/>
  <c r="O14" i="10"/>
  <c r="M14" i="10"/>
  <c r="K14" i="10"/>
  <c r="J14" i="10"/>
  <c r="G14" i="10"/>
  <c r="E14" i="10"/>
  <c r="O13" i="10"/>
  <c r="M13" i="10"/>
  <c r="K13" i="10"/>
  <c r="J13" i="10"/>
  <c r="G13" i="10"/>
  <c r="E13" i="10"/>
  <c r="O12" i="10"/>
  <c r="M12" i="10"/>
  <c r="K12" i="10"/>
  <c r="J12" i="10"/>
  <c r="G12" i="10"/>
  <c r="E12" i="10"/>
  <c r="O11" i="10"/>
  <c r="M11" i="10"/>
  <c r="K11" i="10"/>
  <c r="J11" i="10"/>
  <c r="G11" i="10"/>
  <c r="E11" i="10"/>
  <c r="O10" i="10"/>
  <c r="M10" i="10"/>
  <c r="K10" i="10"/>
  <c r="J10" i="10"/>
  <c r="G10" i="10"/>
  <c r="E10" i="10"/>
  <c r="O9" i="10"/>
  <c r="M9" i="10"/>
  <c r="K9" i="10"/>
  <c r="J9" i="10"/>
  <c r="G9" i="10"/>
  <c r="E9" i="10"/>
  <c r="O8" i="10"/>
  <c r="M8" i="10"/>
  <c r="K8" i="10"/>
  <c r="J8" i="10"/>
  <c r="G8" i="10"/>
  <c r="E8" i="10"/>
  <c r="O7" i="10"/>
  <c r="M7" i="10"/>
  <c r="K7" i="10"/>
  <c r="J7" i="10"/>
  <c r="G7" i="10"/>
  <c r="E7" i="10"/>
  <c r="O6" i="10"/>
  <c r="M6" i="10"/>
  <c r="K6" i="10"/>
  <c r="J6" i="10"/>
  <c r="G6" i="10"/>
  <c r="E6" i="10"/>
  <c r="O5" i="10"/>
  <c r="M5" i="10"/>
  <c r="K5" i="10"/>
  <c r="J5" i="10"/>
  <c r="G5" i="10"/>
  <c r="E5" i="10"/>
  <c r="O4" i="10"/>
  <c r="M4" i="10"/>
  <c r="K4" i="10"/>
  <c r="J4" i="10"/>
  <c r="G4" i="10"/>
  <c r="E4" i="10"/>
  <c r="B6" i="11" l="1"/>
  <c r="T1044" i="8" l="1"/>
  <c r="R1044" i="8"/>
  <c r="C1044" i="8"/>
  <c r="T1043" i="8"/>
  <c r="R1043" i="8"/>
  <c r="C1043" i="8"/>
  <c r="T1042" i="8"/>
  <c r="V1042" i="8" s="1"/>
  <c r="W1042" i="8" s="1"/>
  <c r="Y1042" i="8" s="1"/>
  <c r="R1042" i="8"/>
  <c r="C1042" i="8"/>
  <c r="V1041" i="8"/>
  <c r="W1041" i="8" s="1"/>
  <c r="Y1041" i="8" s="1"/>
  <c r="T1041" i="8"/>
  <c r="R1041" i="8"/>
  <c r="C1041" i="8"/>
  <c r="T1040" i="8"/>
  <c r="V1040" i="8" s="1"/>
  <c r="R1040" i="8"/>
  <c r="C1040" i="8"/>
  <c r="T1039" i="8"/>
  <c r="R1039" i="8"/>
  <c r="C1039" i="8"/>
  <c r="T1038" i="8"/>
  <c r="V1038" i="8" s="1"/>
  <c r="W1038" i="8" s="1"/>
  <c r="Y1038" i="8" s="1"/>
  <c r="R1038" i="8"/>
  <c r="C1038" i="8"/>
  <c r="W1037" i="8"/>
  <c r="Y1037" i="8" s="1"/>
  <c r="V1037" i="8"/>
  <c r="T1037" i="8"/>
  <c r="R1037" i="8"/>
  <c r="C1037" i="8"/>
  <c r="T1036" i="8"/>
  <c r="R1036" i="8"/>
  <c r="C1036" i="8"/>
  <c r="T1035" i="8"/>
  <c r="R1035" i="8"/>
  <c r="C1035" i="8"/>
  <c r="T1034" i="8"/>
  <c r="V1034" i="8" s="1"/>
  <c r="W1034" i="8" s="1"/>
  <c r="Y1034" i="8" s="1"/>
  <c r="R1034" i="8"/>
  <c r="C1034" i="8"/>
  <c r="V1033" i="8"/>
  <c r="W1033" i="8" s="1"/>
  <c r="Y1033" i="8" s="1"/>
  <c r="T1033" i="8"/>
  <c r="R1033" i="8"/>
  <c r="C1033" i="8"/>
  <c r="T1032" i="8"/>
  <c r="V1032" i="8" s="1"/>
  <c r="R1032" i="8"/>
  <c r="C1032" i="8"/>
  <c r="T1031" i="8"/>
  <c r="R1031" i="8"/>
  <c r="C1031" i="8"/>
  <c r="T1030" i="8"/>
  <c r="V1030" i="8" s="1"/>
  <c r="W1030" i="8" s="1"/>
  <c r="Y1030" i="8" s="1"/>
  <c r="R1030" i="8"/>
  <c r="C1030" i="8"/>
  <c r="V1029" i="8"/>
  <c r="W1029" i="8" s="1"/>
  <c r="Y1029" i="8" s="1"/>
  <c r="T1029" i="8"/>
  <c r="R1029" i="8"/>
  <c r="C1029" i="8"/>
  <c r="T1028" i="8"/>
  <c r="R1028" i="8"/>
  <c r="C1028" i="8"/>
  <c r="T1027" i="8"/>
  <c r="R1027" i="8"/>
  <c r="C1027" i="8"/>
  <c r="T1026" i="8"/>
  <c r="V1026" i="8" s="1"/>
  <c r="W1026" i="8" s="1"/>
  <c r="Y1026" i="8" s="1"/>
  <c r="R1026" i="8"/>
  <c r="C1026" i="8"/>
  <c r="V1025" i="8"/>
  <c r="W1025" i="8" s="1"/>
  <c r="Y1025" i="8" s="1"/>
  <c r="T1025" i="8"/>
  <c r="R1025" i="8"/>
  <c r="C1025" i="8"/>
  <c r="T1024" i="8"/>
  <c r="V1024" i="8" s="1"/>
  <c r="R1024" i="8"/>
  <c r="C1024" i="8"/>
  <c r="V1023" i="8"/>
  <c r="T1023" i="8"/>
  <c r="R1023" i="8"/>
  <c r="C1023" i="8"/>
  <c r="T1022" i="8"/>
  <c r="V1022" i="8" s="1"/>
  <c r="W1022" i="8" s="1"/>
  <c r="Y1022" i="8" s="1"/>
  <c r="R1022" i="8"/>
  <c r="C1022" i="8"/>
  <c r="V1021" i="8"/>
  <c r="W1021" i="8" s="1"/>
  <c r="Y1021" i="8" s="1"/>
  <c r="T1021" i="8"/>
  <c r="R1021" i="8"/>
  <c r="C1021" i="8"/>
  <c r="T1020" i="8"/>
  <c r="R1020" i="8"/>
  <c r="C1020" i="8"/>
  <c r="T1019" i="8"/>
  <c r="R1019" i="8"/>
  <c r="C1019" i="8"/>
  <c r="T1018" i="8"/>
  <c r="V1018" i="8" s="1"/>
  <c r="W1018" i="8" s="1"/>
  <c r="Y1018" i="8" s="1"/>
  <c r="R1018" i="8"/>
  <c r="C1018" i="8"/>
  <c r="V1017" i="8"/>
  <c r="W1017" i="8" s="1"/>
  <c r="Y1017" i="8" s="1"/>
  <c r="T1017" i="8"/>
  <c r="R1017" i="8"/>
  <c r="C1017" i="8"/>
  <c r="T1016" i="8"/>
  <c r="V1016" i="8" s="1"/>
  <c r="R1016" i="8"/>
  <c r="C1016" i="8"/>
  <c r="T1015" i="8"/>
  <c r="R1015" i="8"/>
  <c r="C1015" i="8"/>
  <c r="Y1014" i="8"/>
  <c r="T1014" i="8"/>
  <c r="V1014" i="8" s="1"/>
  <c r="W1014" i="8" s="1"/>
  <c r="R1014" i="8"/>
  <c r="C1014" i="8"/>
  <c r="V1013" i="8"/>
  <c r="W1013" i="8" s="1"/>
  <c r="Y1013" i="8" s="1"/>
  <c r="T1013" i="8"/>
  <c r="R1013" i="8"/>
  <c r="C1013" i="8"/>
  <c r="T1012" i="8"/>
  <c r="R1012" i="8"/>
  <c r="C1012" i="8"/>
  <c r="T1011" i="8"/>
  <c r="R1011" i="8"/>
  <c r="C1011" i="8"/>
  <c r="W1010" i="8"/>
  <c r="Y1010" i="8" s="1"/>
  <c r="T1010" i="8"/>
  <c r="V1010" i="8" s="1"/>
  <c r="R1010" i="8"/>
  <c r="C1010" i="8"/>
  <c r="V1009" i="8"/>
  <c r="W1009" i="8" s="1"/>
  <c r="Y1009" i="8" s="1"/>
  <c r="T1009" i="8"/>
  <c r="R1009" i="8"/>
  <c r="C1009" i="8"/>
  <c r="W1008" i="8"/>
  <c r="Y1008" i="8" s="1"/>
  <c r="T1008" i="8"/>
  <c r="V1008" i="8" s="1"/>
  <c r="R1008" i="8"/>
  <c r="C1008" i="8"/>
  <c r="W1007" i="8"/>
  <c r="Y1007" i="8" s="1"/>
  <c r="T1007" i="8"/>
  <c r="V1007" i="8" s="1"/>
  <c r="R1007" i="8"/>
  <c r="C1007" i="8"/>
  <c r="W1006" i="8"/>
  <c r="Y1006" i="8" s="1"/>
  <c r="T1006" i="8"/>
  <c r="V1006" i="8" s="1"/>
  <c r="R1006" i="8"/>
  <c r="C1006" i="8"/>
  <c r="W1005" i="8"/>
  <c r="Y1005" i="8" s="1"/>
  <c r="T1005" i="8"/>
  <c r="V1005" i="8" s="1"/>
  <c r="R1005" i="8"/>
  <c r="C1005" i="8"/>
  <c r="Y1004" i="8"/>
  <c r="W1004" i="8"/>
  <c r="T1004" i="8"/>
  <c r="V1004" i="8" s="1"/>
  <c r="R1004" i="8"/>
  <c r="C1004" i="8"/>
  <c r="T1003" i="8"/>
  <c r="R1003" i="8"/>
  <c r="C1003" i="8"/>
  <c r="W1002" i="8"/>
  <c r="Y1002" i="8" s="1"/>
  <c r="T1002" i="8"/>
  <c r="V1002" i="8" s="1"/>
  <c r="R1002" i="8"/>
  <c r="C1002" i="8"/>
  <c r="T1001" i="8"/>
  <c r="V1001" i="8" s="1"/>
  <c r="W1001" i="8" s="1"/>
  <c r="Y1001" i="8" s="1"/>
  <c r="R1001" i="8"/>
  <c r="C1001" i="8"/>
  <c r="W1000" i="8"/>
  <c r="Y1000" i="8" s="1"/>
  <c r="T1000" i="8"/>
  <c r="V1000" i="8" s="1"/>
  <c r="R1000" i="8"/>
  <c r="C1000" i="8"/>
  <c r="T999" i="8"/>
  <c r="V999" i="8" s="1"/>
  <c r="R999" i="8"/>
  <c r="C999" i="8"/>
  <c r="T998" i="8"/>
  <c r="V998" i="8" s="1"/>
  <c r="R998" i="8"/>
  <c r="C998" i="8"/>
  <c r="W997" i="8"/>
  <c r="Y997" i="8" s="1"/>
  <c r="T997" i="8"/>
  <c r="V997" i="8" s="1"/>
  <c r="R997" i="8"/>
  <c r="C997" i="8"/>
  <c r="W996" i="8"/>
  <c r="Y996" i="8" s="1"/>
  <c r="T996" i="8"/>
  <c r="V996" i="8" s="1"/>
  <c r="R996" i="8"/>
  <c r="C996" i="8"/>
  <c r="T995" i="8"/>
  <c r="R995" i="8"/>
  <c r="C995" i="8"/>
  <c r="W994" i="8"/>
  <c r="Y994" i="8" s="1"/>
  <c r="T994" i="8"/>
  <c r="V994" i="8" s="1"/>
  <c r="R994" i="8"/>
  <c r="C994" i="8"/>
  <c r="W993" i="8"/>
  <c r="Y993" i="8" s="1"/>
  <c r="V993" i="8"/>
  <c r="T993" i="8"/>
  <c r="R993" i="8"/>
  <c r="C993" i="8"/>
  <c r="W992" i="8"/>
  <c r="Y992" i="8" s="1"/>
  <c r="T992" i="8"/>
  <c r="V992" i="8" s="1"/>
  <c r="R992" i="8"/>
  <c r="C992" i="8"/>
  <c r="W991" i="8"/>
  <c r="Y991" i="8" s="1"/>
  <c r="T991" i="8"/>
  <c r="V991" i="8" s="1"/>
  <c r="R991" i="8"/>
  <c r="C991" i="8"/>
  <c r="T990" i="8"/>
  <c r="R990" i="8"/>
  <c r="C990" i="8"/>
  <c r="W989" i="8"/>
  <c r="Y989" i="8" s="1"/>
  <c r="T989" i="8"/>
  <c r="V989" i="8" s="1"/>
  <c r="R989" i="8"/>
  <c r="C989" i="8"/>
  <c r="W988" i="8"/>
  <c r="Y988" i="8" s="1"/>
  <c r="T988" i="8"/>
  <c r="V988" i="8" s="1"/>
  <c r="R988" i="8"/>
  <c r="C988" i="8"/>
  <c r="T987" i="8"/>
  <c r="R987" i="8"/>
  <c r="C987" i="8"/>
  <c r="W986" i="8"/>
  <c r="Y986" i="8" s="1"/>
  <c r="T986" i="8"/>
  <c r="V986" i="8" s="1"/>
  <c r="R986" i="8"/>
  <c r="C986" i="8"/>
  <c r="V985" i="8"/>
  <c r="W985" i="8" s="1"/>
  <c r="Y985" i="8" s="1"/>
  <c r="T985" i="8"/>
  <c r="R985" i="8"/>
  <c r="C985" i="8"/>
  <c r="W984" i="8"/>
  <c r="Y984" i="8" s="1"/>
  <c r="T984" i="8"/>
  <c r="V984" i="8" s="1"/>
  <c r="R984" i="8"/>
  <c r="C984" i="8"/>
  <c r="W983" i="8"/>
  <c r="Y983" i="8" s="1"/>
  <c r="T983" i="8"/>
  <c r="V983" i="8" s="1"/>
  <c r="R983" i="8"/>
  <c r="C983" i="8"/>
  <c r="T982" i="8"/>
  <c r="R982" i="8"/>
  <c r="C982" i="8"/>
  <c r="W981" i="8"/>
  <c r="Y981" i="8" s="1"/>
  <c r="T981" i="8"/>
  <c r="V981" i="8" s="1"/>
  <c r="R981" i="8"/>
  <c r="C981" i="8"/>
  <c r="W980" i="8"/>
  <c r="Y980" i="8" s="1"/>
  <c r="T980" i="8"/>
  <c r="V980" i="8" s="1"/>
  <c r="R980" i="8"/>
  <c r="C980" i="8"/>
  <c r="T979" i="8"/>
  <c r="R979" i="8"/>
  <c r="C979" i="8"/>
  <c r="W978" i="8"/>
  <c r="Y978" i="8" s="1"/>
  <c r="T978" i="8"/>
  <c r="V978" i="8" s="1"/>
  <c r="R978" i="8"/>
  <c r="C978" i="8"/>
  <c r="W977" i="8"/>
  <c r="Y977" i="8" s="1"/>
  <c r="T977" i="8"/>
  <c r="V977" i="8" s="1"/>
  <c r="R977" i="8"/>
  <c r="C977" i="8"/>
  <c r="W976" i="8"/>
  <c r="Y976" i="8" s="1"/>
  <c r="T976" i="8"/>
  <c r="V976" i="8" s="1"/>
  <c r="R976" i="8"/>
  <c r="C976" i="8"/>
  <c r="T975" i="8"/>
  <c r="V975" i="8" s="1"/>
  <c r="R975" i="8"/>
  <c r="C975" i="8"/>
  <c r="W974" i="8"/>
  <c r="Y974" i="8" s="1"/>
  <c r="T974" i="8"/>
  <c r="V974" i="8" s="1"/>
  <c r="R974" i="8"/>
  <c r="C974" i="8"/>
  <c r="T973" i="8"/>
  <c r="V973" i="8" s="1"/>
  <c r="W973" i="8" s="1"/>
  <c r="Y973" i="8" s="1"/>
  <c r="R973" i="8"/>
  <c r="C973" i="8"/>
  <c r="W972" i="8"/>
  <c r="Y972" i="8" s="1"/>
  <c r="T972" i="8"/>
  <c r="V972" i="8" s="1"/>
  <c r="R972" i="8"/>
  <c r="C972" i="8"/>
  <c r="T971" i="8"/>
  <c r="R971" i="8"/>
  <c r="C971" i="8"/>
  <c r="W970" i="8"/>
  <c r="Y970" i="8" s="1"/>
  <c r="T970" i="8"/>
  <c r="V970" i="8" s="1"/>
  <c r="R970" i="8"/>
  <c r="C970" i="8"/>
  <c r="T969" i="8"/>
  <c r="R969" i="8"/>
  <c r="C969" i="8"/>
  <c r="W968" i="8"/>
  <c r="Y968" i="8" s="1"/>
  <c r="T968" i="8"/>
  <c r="V968" i="8" s="1"/>
  <c r="R968" i="8"/>
  <c r="C968" i="8"/>
  <c r="T967" i="8"/>
  <c r="V967" i="8" s="1"/>
  <c r="R967" i="8"/>
  <c r="C967" i="8"/>
  <c r="W966" i="8"/>
  <c r="Y966" i="8" s="1"/>
  <c r="T966" i="8"/>
  <c r="V966" i="8" s="1"/>
  <c r="R966" i="8"/>
  <c r="C966" i="8"/>
  <c r="T965" i="8"/>
  <c r="V965" i="8" s="1"/>
  <c r="R965" i="8"/>
  <c r="C965" i="8"/>
  <c r="W964" i="8"/>
  <c r="Y964" i="8" s="1"/>
  <c r="T964" i="8"/>
  <c r="V964" i="8" s="1"/>
  <c r="R964" i="8"/>
  <c r="C964" i="8"/>
  <c r="T963" i="8"/>
  <c r="R963" i="8"/>
  <c r="C963" i="8"/>
  <c r="W962" i="8"/>
  <c r="Y962" i="8" s="1"/>
  <c r="T962" i="8"/>
  <c r="V962" i="8" s="1"/>
  <c r="R962" i="8"/>
  <c r="C962" i="8"/>
  <c r="V961" i="8"/>
  <c r="T961" i="8"/>
  <c r="R961" i="8"/>
  <c r="C961" i="8"/>
  <c r="W960" i="8"/>
  <c r="Y960" i="8" s="1"/>
  <c r="T960" i="8"/>
  <c r="V960" i="8" s="1"/>
  <c r="R960" i="8"/>
  <c r="C960" i="8"/>
  <c r="W959" i="8"/>
  <c r="Y959" i="8" s="1"/>
  <c r="T959" i="8"/>
  <c r="V959" i="8" s="1"/>
  <c r="R959" i="8"/>
  <c r="C959" i="8"/>
  <c r="W958" i="8"/>
  <c r="Y958" i="8" s="1"/>
  <c r="T958" i="8"/>
  <c r="V958" i="8" s="1"/>
  <c r="R958" i="8"/>
  <c r="C958" i="8"/>
  <c r="W957" i="8"/>
  <c r="Y957" i="8" s="1"/>
  <c r="T957" i="8"/>
  <c r="V957" i="8" s="1"/>
  <c r="R957" i="8"/>
  <c r="C957" i="8"/>
  <c r="Y956" i="8"/>
  <c r="W956" i="8"/>
  <c r="T956" i="8"/>
  <c r="V956" i="8" s="1"/>
  <c r="R956" i="8"/>
  <c r="C956" i="8"/>
  <c r="T955" i="8"/>
  <c r="R955" i="8"/>
  <c r="C955" i="8"/>
  <c r="W954" i="8"/>
  <c r="Y954" i="8" s="1"/>
  <c r="T954" i="8"/>
  <c r="V954" i="8" s="1"/>
  <c r="R954" i="8"/>
  <c r="C954" i="8"/>
  <c r="V953" i="8"/>
  <c r="T953" i="8"/>
  <c r="W953" i="8" s="1"/>
  <c r="Y953" i="8" s="1"/>
  <c r="R953" i="8"/>
  <c r="C953" i="8"/>
  <c r="W952" i="8"/>
  <c r="Y952" i="8" s="1"/>
  <c r="T952" i="8"/>
  <c r="V952" i="8" s="1"/>
  <c r="R952" i="8"/>
  <c r="C952" i="8"/>
  <c r="W951" i="8"/>
  <c r="Y951" i="8" s="1"/>
  <c r="T951" i="8"/>
  <c r="V951" i="8" s="1"/>
  <c r="R951" i="8"/>
  <c r="C951" i="8"/>
  <c r="T950" i="8"/>
  <c r="V950" i="8" s="1"/>
  <c r="R950" i="8"/>
  <c r="C950" i="8"/>
  <c r="T949" i="8"/>
  <c r="R949" i="8"/>
  <c r="C949" i="8"/>
  <c r="W948" i="8"/>
  <c r="Y948" i="8" s="1"/>
  <c r="T948" i="8"/>
  <c r="V948" i="8" s="1"/>
  <c r="R948" i="8"/>
  <c r="C948" i="8"/>
  <c r="T947" i="8"/>
  <c r="R947" i="8"/>
  <c r="C947" i="8"/>
  <c r="W946" i="8"/>
  <c r="Y946" i="8" s="1"/>
  <c r="T946" i="8"/>
  <c r="V946" i="8" s="1"/>
  <c r="R946" i="8"/>
  <c r="C946" i="8"/>
  <c r="V945" i="8"/>
  <c r="W945" i="8" s="1"/>
  <c r="Y945" i="8" s="1"/>
  <c r="T945" i="8"/>
  <c r="R945" i="8"/>
  <c r="C945" i="8"/>
  <c r="W944" i="8"/>
  <c r="Y944" i="8" s="1"/>
  <c r="T944" i="8"/>
  <c r="V944" i="8" s="1"/>
  <c r="R944" i="8"/>
  <c r="C944" i="8"/>
  <c r="W943" i="8"/>
  <c r="Y943" i="8" s="1"/>
  <c r="T943" i="8"/>
  <c r="V943" i="8" s="1"/>
  <c r="R943" i="8"/>
  <c r="C943" i="8"/>
  <c r="W942" i="8"/>
  <c r="Y942" i="8" s="1"/>
  <c r="T942" i="8"/>
  <c r="V942" i="8" s="1"/>
  <c r="R942" i="8"/>
  <c r="C942" i="8"/>
  <c r="W941" i="8"/>
  <c r="Y941" i="8" s="1"/>
  <c r="T941" i="8"/>
  <c r="V941" i="8" s="1"/>
  <c r="R941" i="8"/>
  <c r="C941" i="8"/>
  <c r="Y940" i="8"/>
  <c r="W940" i="8"/>
  <c r="T940" i="8"/>
  <c r="V940" i="8" s="1"/>
  <c r="R940" i="8"/>
  <c r="C940" i="8"/>
  <c r="W939" i="8"/>
  <c r="Y939" i="8" s="1"/>
  <c r="T939" i="8"/>
  <c r="V939" i="8" s="1"/>
  <c r="R939" i="8"/>
  <c r="C939" i="8"/>
  <c r="W938" i="8"/>
  <c r="Y938" i="8" s="1"/>
  <c r="T938" i="8"/>
  <c r="V938" i="8" s="1"/>
  <c r="R938" i="8"/>
  <c r="C938" i="8"/>
  <c r="T937" i="8"/>
  <c r="R937" i="8"/>
  <c r="C937" i="8"/>
  <c r="W936" i="8"/>
  <c r="Y936" i="8" s="1"/>
  <c r="T936" i="8"/>
  <c r="V936" i="8" s="1"/>
  <c r="R936" i="8"/>
  <c r="C936" i="8"/>
  <c r="T935" i="8"/>
  <c r="V935" i="8" s="1"/>
  <c r="R935" i="8"/>
  <c r="C935" i="8"/>
  <c r="T934" i="8"/>
  <c r="R934" i="8"/>
  <c r="C934" i="8"/>
  <c r="T933" i="8"/>
  <c r="V933" i="8" s="1"/>
  <c r="R933" i="8"/>
  <c r="C933" i="8"/>
  <c r="W932" i="8"/>
  <c r="Y932" i="8" s="1"/>
  <c r="T932" i="8"/>
  <c r="V932" i="8" s="1"/>
  <c r="R932" i="8"/>
  <c r="C932" i="8"/>
  <c r="T931" i="8"/>
  <c r="R931" i="8"/>
  <c r="C931" i="8"/>
  <c r="W930" i="8"/>
  <c r="Y930" i="8" s="1"/>
  <c r="T930" i="8"/>
  <c r="V930" i="8" s="1"/>
  <c r="R930" i="8"/>
  <c r="C930" i="8"/>
  <c r="V929" i="8"/>
  <c r="T929" i="8"/>
  <c r="R929" i="8"/>
  <c r="C929" i="8"/>
  <c r="W928" i="8"/>
  <c r="Y928" i="8" s="1"/>
  <c r="T928" i="8"/>
  <c r="V928" i="8" s="1"/>
  <c r="R928" i="8"/>
  <c r="C928" i="8"/>
  <c r="W927" i="8"/>
  <c r="Y927" i="8" s="1"/>
  <c r="T927" i="8"/>
  <c r="V927" i="8" s="1"/>
  <c r="R927" i="8"/>
  <c r="C927" i="8"/>
  <c r="W926" i="8"/>
  <c r="Y926" i="8" s="1"/>
  <c r="T926" i="8"/>
  <c r="V926" i="8" s="1"/>
  <c r="R926" i="8"/>
  <c r="C926" i="8"/>
  <c r="W925" i="8"/>
  <c r="Y925" i="8" s="1"/>
  <c r="T925" i="8"/>
  <c r="V925" i="8" s="1"/>
  <c r="R925" i="8"/>
  <c r="C925" i="8"/>
  <c r="Y924" i="8"/>
  <c r="W924" i="8"/>
  <c r="T924" i="8"/>
  <c r="V924" i="8" s="1"/>
  <c r="R924" i="8"/>
  <c r="C924" i="8"/>
  <c r="T923" i="8"/>
  <c r="R923" i="8"/>
  <c r="C923" i="8"/>
  <c r="W922" i="8"/>
  <c r="Y922" i="8" s="1"/>
  <c r="T922" i="8"/>
  <c r="V922" i="8" s="1"/>
  <c r="R922" i="8"/>
  <c r="C922" i="8"/>
  <c r="W921" i="8"/>
  <c r="Y921" i="8" s="1"/>
  <c r="V921" i="8"/>
  <c r="T921" i="8"/>
  <c r="R921" i="8"/>
  <c r="C921" i="8"/>
  <c r="T920" i="8"/>
  <c r="R920" i="8"/>
  <c r="C920" i="8"/>
  <c r="W919" i="8"/>
  <c r="Y919" i="8" s="1"/>
  <c r="T919" i="8"/>
  <c r="V919" i="8" s="1"/>
  <c r="R919" i="8"/>
  <c r="C919" i="8"/>
  <c r="W918" i="8"/>
  <c r="Y918" i="8" s="1"/>
  <c r="T918" i="8"/>
  <c r="V918" i="8" s="1"/>
  <c r="R918" i="8"/>
  <c r="C918" i="8"/>
  <c r="T917" i="8"/>
  <c r="R917" i="8"/>
  <c r="C917" i="8"/>
  <c r="V916" i="8"/>
  <c r="W916" i="8" s="1"/>
  <c r="Y916" i="8" s="1"/>
  <c r="T916" i="8"/>
  <c r="R916" i="8"/>
  <c r="C916" i="8"/>
  <c r="T915" i="8"/>
  <c r="R915" i="8"/>
  <c r="C915" i="8"/>
  <c r="T914" i="8"/>
  <c r="R914" i="8"/>
  <c r="C914" i="8"/>
  <c r="V913" i="8"/>
  <c r="W913" i="8" s="1"/>
  <c r="Y913" i="8" s="1"/>
  <c r="T913" i="8"/>
  <c r="R913" i="8"/>
  <c r="C913" i="8"/>
  <c r="Y912" i="8"/>
  <c r="V912" i="8"/>
  <c r="W912" i="8" s="1"/>
  <c r="T912" i="8"/>
  <c r="R912" i="8"/>
  <c r="C912" i="8"/>
  <c r="V911" i="8"/>
  <c r="T911" i="8"/>
  <c r="R911" i="8"/>
  <c r="C911" i="8"/>
  <c r="W910" i="8"/>
  <c r="Y910" i="8" s="1"/>
  <c r="T910" i="8"/>
  <c r="V910" i="8" s="1"/>
  <c r="R910" i="8"/>
  <c r="C910" i="8"/>
  <c r="Y909" i="8"/>
  <c r="V909" i="8"/>
  <c r="W909" i="8" s="1"/>
  <c r="T909" i="8"/>
  <c r="R909" i="8"/>
  <c r="C909" i="8"/>
  <c r="W908" i="8"/>
  <c r="Y908" i="8" s="1"/>
  <c r="V908" i="8"/>
  <c r="T908" i="8"/>
  <c r="R908" i="8"/>
  <c r="C908" i="8"/>
  <c r="W907" i="8"/>
  <c r="Y907" i="8" s="1"/>
  <c r="T907" i="8"/>
  <c r="V907" i="8" s="1"/>
  <c r="R907" i="8"/>
  <c r="C907" i="8"/>
  <c r="W906" i="8"/>
  <c r="Y906" i="8" s="1"/>
  <c r="T906" i="8"/>
  <c r="V906" i="8" s="1"/>
  <c r="R906" i="8"/>
  <c r="C906" i="8"/>
  <c r="V905" i="8"/>
  <c r="W905" i="8" s="1"/>
  <c r="Y905" i="8" s="1"/>
  <c r="T905" i="8"/>
  <c r="R905" i="8"/>
  <c r="C905" i="8"/>
  <c r="V904" i="8"/>
  <c r="T904" i="8"/>
  <c r="R904" i="8"/>
  <c r="C904" i="8"/>
  <c r="W903" i="8"/>
  <c r="Y903" i="8" s="1"/>
  <c r="T903" i="8"/>
  <c r="V903" i="8" s="1"/>
  <c r="R903" i="8"/>
  <c r="C903" i="8"/>
  <c r="Y902" i="8"/>
  <c r="W902" i="8"/>
  <c r="T902" i="8"/>
  <c r="V902" i="8" s="1"/>
  <c r="R902" i="8"/>
  <c r="C902" i="8"/>
  <c r="V901" i="8"/>
  <c r="T901" i="8"/>
  <c r="R901" i="8"/>
  <c r="C901" i="8"/>
  <c r="V900" i="8"/>
  <c r="W900" i="8" s="1"/>
  <c r="Y900" i="8" s="1"/>
  <c r="T900" i="8"/>
  <c r="R900" i="8"/>
  <c r="C900" i="8"/>
  <c r="W899" i="8"/>
  <c r="Y899" i="8" s="1"/>
  <c r="T899" i="8"/>
  <c r="V899" i="8" s="1"/>
  <c r="R899" i="8"/>
  <c r="C899" i="8"/>
  <c r="T898" i="8"/>
  <c r="R898" i="8"/>
  <c r="C898" i="8"/>
  <c r="V897" i="8"/>
  <c r="W897" i="8" s="1"/>
  <c r="Y897" i="8" s="1"/>
  <c r="T897" i="8"/>
  <c r="R897" i="8"/>
  <c r="C897" i="8"/>
  <c r="Y896" i="8"/>
  <c r="V896" i="8"/>
  <c r="W896" i="8" s="1"/>
  <c r="T896" i="8"/>
  <c r="R896" i="8"/>
  <c r="C896" i="8"/>
  <c r="T895" i="8"/>
  <c r="R895" i="8"/>
  <c r="C895" i="8"/>
  <c r="W894" i="8"/>
  <c r="Y894" i="8" s="1"/>
  <c r="T894" i="8"/>
  <c r="V894" i="8" s="1"/>
  <c r="R894" i="8"/>
  <c r="C894" i="8"/>
  <c r="V893" i="8"/>
  <c r="W893" i="8" s="1"/>
  <c r="Y893" i="8" s="1"/>
  <c r="T893" i="8"/>
  <c r="R893" i="8"/>
  <c r="C893" i="8"/>
  <c r="Y892" i="8"/>
  <c r="W892" i="8"/>
  <c r="V892" i="8"/>
  <c r="T892" i="8"/>
  <c r="R892" i="8"/>
  <c r="C892" i="8"/>
  <c r="T891" i="8"/>
  <c r="R891" i="8"/>
  <c r="C891" i="8"/>
  <c r="W890" i="8"/>
  <c r="Y890" i="8" s="1"/>
  <c r="T890" i="8"/>
  <c r="V890" i="8" s="1"/>
  <c r="R890" i="8"/>
  <c r="C890" i="8"/>
  <c r="V889" i="8"/>
  <c r="W889" i="8" s="1"/>
  <c r="Y889" i="8" s="1"/>
  <c r="T889" i="8"/>
  <c r="R889" i="8"/>
  <c r="C889" i="8"/>
  <c r="V888" i="8"/>
  <c r="T888" i="8"/>
  <c r="R888" i="8"/>
  <c r="C888" i="8"/>
  <c r="W887" i="8"/>
  <c r="Y887" i="8" s="1"/>
  <c r="T887" i="8"/>
  <c r="V887" i="8" s="1"/>
  <c r="R887" i="8"/>
  <c r="C887" i="8"/>
  <c r="Y886" i="8"/>
  <c r="W886" i="8"/>
  <c r="T886" i="8"/>
  <c r="V886" i="8" s="1"/>
  <c r="R886" i="8"/>
  <c r="C886" i="8"/>
  <c r="T885" i="8"/>
  <c r="R885" i="8"/>
  <c r="C885" i="8"/>
  <c r="Y884" i="8"/>
  <c r="V884" i="8"/>
  <c r="W884" i="8" s="1"/>
  <c r="T884" i="8"/>
  <c r="R884" i="8"/>
  <c r="C884" i="8"/>
  <c r="T883" i="8"/>
  <c r="R883" i="8"/>
  <c r="C883" i="8"/>
  <c r="W882" i="8"/>
  <c r="Y882" i="8" s="1"/>
  <c r="T882" i="8"/>
  <c r="V882" i="8" s="1"/>
  <c r="R882" i="8"/>
  <c r="C882" i="8"/>
  <c r="V881" i="8"/>
  <c r="W881" i="8" s="1"/>
  <c r="Y881" i="8" s="1"/>
  <c r="T881" i="8"/>
  <c r="R881" i="8"/>
  <c r="C881" i="8"/>
  <c r="Y880" i="8"/>
  <c r="V880" i="8"/>
  <c r="W880" i="8" s="1"/>
  <c r="T880" i="8"/>
  <c r="R880" i="8"/>
  <c r="C880" i="8"/>
  <c r="W879" i="8"/>
  <c r="Y879" i="8" s="1"/>
  <c r="V879" i="8"/>
  <c r="T879" i="8"/>
  <c r="R879" i="8"/>
  <c r="C879" i="8"/>
  <c r="T878" i="8"/>
  <c r="R878" i="8"/>
  <c r="C878" i="8"/>
  <c r="Y877" i="8"/>
  <c r="V877" i="8"/>
  <c r="W877" i="8" s="1"/>
  <c r="T877" i="8"/>
  <c r="R877" i="8"/>
  <c r="C877" i="8"/>
  <c r="V876" i="8"/>
  <c r="W876" i="8" s="1"/>
  <c r="Y876" i="8" s="1"/>
  <c r="T876" i="8"/>
  <c r="R876" i="8"/>
  <c r="C876" i="8"/>
  <c r="V875" i="8"/>
  <c r="W875" i="8" s="1"/>
  <c r="Y875" i="8" s="1"/>
  <c r="T875" i="8"/>
  <c r="R875" i="8"/>
  <c r="C875" i="8"/>
  <c r="V874" i="8"/>
  <c r="T874" i="8"/>
  <c r="R874" i="8"/>
  <c r="C874" i="8"/>
  <c r="V873" i="8"/>
  <c r="W873" i="8" s="1"/>
  <c r="Y873" i="8" s="1"/>
  <c r="T873" i="8"/>
  <c r="R873" i="8"/>
  <c r="C873" i="8"/>
  <c r="V872" i="8"/>
  <c r="W872" i="8" s="1"/>
  <c r="Y872" i="8" s="1"/>
  <c r="T872" i="8"/>
  <c r="R872" i="8"/>
  <c r="C872" i="8"/>
  <c r="Y871" i="8"/>
  <c r="W871" i="8"/>
  <c r="V871" i="8"/>
  <c r="T871" i="8"/>
  <c r="R871" i="8"/>
  <c r="C871" i="8"/>
  <c r="T870" i="8"/>
  <c r="R870" i="8"/>
  <c r="C870" i="8"/>
  <c r="V869" i="8"/>
  <c r="W869" i="8" s="1"/>
  <c r="Y869" i="8" s="1"/>
  <c r="T869" i="8"/>
  <c r="R869" i="8"/>
  <c r="C869" i="8"/>
  <c r="V868" i="8"/>
  <c r="W868" i="8" s="1"/>
  <c r="Y868" i="8" s="1"/>
  <c r="T868" i="8"/>
  <c r="R868" i="8"/>
  <c r="C868" i="8"/>
  <c r="W867" i="8"/>
  <c r="Y867" i="8" s="1"/>
  <c r="V867" i="8"/>
  <c r="T867" i="8"/>
  <c r="R867" i="8"/>
  <c r="C867" i="8"/>
  <c r="T866" i="8"/>
  <c r="R866" i="8"/>
  <c r="C866" i="8"/>
  <c r="Y865" i="8"/>
  <c r="V865" i="8"/>
  <c r="W865" i="8" s="1"/>
  <c r="T865" i="8"/>
  <c r="R865" i="8"/>
  <c r="C865" i="8"/>
  <c r="V864" i="8"/>
  <c r="T864" i="8"/>
  <c r="R864" i="8"/>
  <c r="C864" i="8"/>
  <c r="V863" i="8"/>
  <c r="W863" i="8" s="1"/>
  <c r="Y863" i="8" s="1"/>
  <c r="T863" i="8"/>
  <c r="R863" i="8"/>
  <c r="C863" i="8"/>
  <c r="V862" i="8"/>
  <c r="T862" i="8"/>
  <c r="R862" i="8"/>
  <c r="C862" i="8"/>
  <c r="Y861" i="8"/>
  <c r="V861" i="8"/>
  <c r="W861" i="8" s="1"/>
  <c r="T861" i="8"/>
  <c r="R861" i="8"/>
  <c r="C861" i="8"/>
  <c r="V860" i="8"/>
  <c r="T860" i="8"/>
  <c r="W860" i="8" s="1"/>
  <c r="Y860" i="8" s="1"/>
  <c r="R860" i="8"/>
  <c r="C860" i="8"/>
  <c r="Y859" i="8"/>
  <c r="W859" i="8"/>
  <c r="V859" i="8"/>
  <c r="T859" i="8"/>
  <c r="R859" i="8"/>
  <c r="C859" i="8"/>
  <c r="V858" i="8"/>
  <c r="T858" i="8"/>
  <c r="R858" i="8"/>
  <c r="C858" i="8"/>
  <c r="Y857" i="8"/>
  <c r="V857" i="8"/>
  <c r="W857" i="8" s="1"/>
  <c r="T857" i="8"/>
  <c r="R857" i="8"/>
  <c r="C857" i="8"/>
  <c r="V856" i="8"/>
  <c r="T856" i="8"/>
  <c r="R856" i="8"/>
  <c r="C856" i="8"/>
  <c r="V855" i="8"/>
  <c r="W855" i="8" s="1"/>
  <c r="Y855" i="8" s="1"/>
  <c r="T855" i="8"/>
  <c r="R855" i="8"/>
  <c r="C855" i="8"/>
  <c r="T854" i="8"/>
  <c r="R854" i="8"/>
  <c r="C854" i="8"/>
  <c r="V853" i="8"/>
  <c r="W853" i="8" s="1"/>
  <c r="Y853" i="8" s="1"/>
  <c r="T853" i="8"/>
  <c r="R853" i="8"/>
  <c r="C853" i="8"/>
  <c r="V852" i="8"/>
  <c r="T852" i="8"/>
  <c r="R852" i="8"/>
  <c r="C852" i="8"/>
  <c r="Y851" i="8"/>
  <c r="W851" i="8"/>
  <c r="V851" i="8"/>
  <c r="T851" i="8"/>
  <c r="R851" i="8"/>
  <c r="C851" i="8"/>
  <c r="T850" i="8"/>
  <c r="R850" i="8"/>
  <c r="C850" i="8"/>
  <c r="V849" i="8"/>
  <c r="W849" i="8" s="1"/>
  <c r="Y849" i="8" s="1"/>
  <c r="T849" i="8"/>
  <c r="R849" i="8"/>
  <c r="C849" i="8"/>
  <c r="V848" i="8"/>
  <c r="T848" i="8"/>
  <c r="R848" i="8"/>
  <c r="C848" i="8"/>
  <c r="V847" i="8"/>
  <c r="W847" i="8" s="1"/>
  <c r="Y847" i="8" s="1"/>
  <c r="T847" i="8"/>
  <c r="R847" i="8"/>
  <c r="C847" i="8"/>
  <c r="T846" i="8"/>
  <c r="R846" i="8"/>
  <c r="C846" i="8"/>
  <c r="Y845" i="8"/>
  <c r="V845" i="8"/>
  <c r="W845" i="8" s="1"/>
  <c r="T845" i="8"/>
  <c r="R845" i="8"/>
  <c r="C845" i="8"/>
  <c r="V844" i="8"/>
  <c r="T844" i="8"/>
  <c r="R844" i="8"/>
  <c r="C844" i="8"/>
  <c r="V843" i="8"/>
  <c r="W843" i="8" s="1"/>
  <c r="Y843" i="8" s="1"/>
  <c r="T843" i="8"/>
  <c r="R843" i="8"/>
  <c r="C843" i="8"/>
  <c r="V842" i="8"/>
  <c r="T842" i="8"/>
  <c r="R842" i="8"/>
  <c r="C842" i="8"/>
  <c r="Y841" i="8"/>
  <c r="V841" i="8"/>
  <c r="W841" i="8" s="1"/>
  <c r="T841" i="8"/>
  <c r="R841" i="8"/>
  <c r="C841" i="8"/>
  <c r="V840" i="8"/>
  <c r="T840" i="8"/>
  <c r="W840" i="8" s="1"/>
  <c r="Y840" i="8" s="1"/>
  <c r="R840" i="8"/>
  <c r="C840" i="8"/>
  <c r="W839" i="8"/>
  <c r="Y839" i="8" s="1"/>
  <c r="V839" i="8"/>
  <c r="T839" i="8"/>
  <c r="R839" i="8"/>
  <c r="C839" i="8"/>
  <c r="V838" i="8"/>
  <c r="T838" i="8"/>
  <c r="R838" i="8"/>
  <c r="C838" i="8"/>
  <c r="V837" i="8"/>
  <c r="W837" i="8" s="1"/>
  <c r="Y837" i="8" s="1"/>
  <c r="T837" i="8"/>
  <c r="R837" i="8"/>
  <c r="C837" i="8"/>
  <c r="V836" i="8"/>
  <c r="T836" i="8"/>
  <c r="R836" i="8"/>
  <c r="C836" i="8"/>
  <c r="V835" i="8"/>
  <c r="W835" i="8" s="1"/>
  <c r="Y835" i="8" s="1"/>
  <c r="T835" i="8"/>
  <c r="R835" i="8"/>
  <c r="C835" i="8"/>
  <c r="T834" i="8"/>
  <c r="R834" i="8"/>
  <c r="C834" i="8"/>
  <c r="V833" i="8"/>
  <c r="W833" i="8" s="1"/>
  <c r="Y833" i="8" s="1"/>
  <c r="T833" i="8"/>
  <c r="R833" i="8"/>
  <c r="C833" i="8"/>
  <c r="V832" i="8"/>
  <c r="T832" i="8"/>
  <c r="W832" i="8" s="1"/>
  <c r="Y832" i="8" s="1"/>
  <c r="R832" i="8"/>
  <c r="C832" i="8"/>
  <c r="V831" i="8"/>
  <c r="W831" i="8" s="1"/>
  <c r="Y831" i="8" s="1"/>
  <c r="T831" i="8"/>
  <c r="R831" i="8"/>
  <c r="C831" i="8"/>
  <c r="V830" i="8"/>
  <c r="T830" i="8"/>
  <c r="R830" i="8"/>
  <c r="C830" i="8"/>
  <c r="V829" i="8"/>
  <c r="W829" i="8" s="1"/>
  <c r="Y829" i="8" s="1"/>
  <c r="T829" i="8"/>
  <c r="R829" i="8"/>
  <c r="C829" i="8"/>
  <c r="V828" i="8"/>
  <c r="T828" i="8"/>
  <c r="W828" i="8" s="1"/>
  <c r="Y828" i="8" s="1"/>
  <c r="R828" i="8"/>
  <c r="C828" i="8"/>
  <c r="Y827" i="8"/>
  <c r="W827" i="8"/>
  <c r="V827" i="8"/>
  <c r="T827" i="8"/>
  <c r="R827" i="8"/>
  <c r="C827" i="8"/>
  <c r="T826" i="8"/>
  <c r="R826" i="8"/>
  <c r="C826" i="8"/>
  <c r="Y825" i="8"/>
  <c r="V825" i="8"/>
  <c r="W825" i="8" s="1"/>
  <c r="T825" i="8"/>
  <c r="R825" i="8"/>
  <c r="C825" i="8"/>
  <c r="Y824" i="8"/>
  <c r="V824" i="8"/>
  <c r="W824" i="8" s="1"/>
  <c r="T824" i="8"/>
  <c r="R824" i="8"/>
  <c r="C824" i="8"/>
  <c r="V823" i="8"/>
  <c r="W823" i="8" s="1"/>
  <c r="Y823" i="8" s="1"/>
  <c r="T823" i="8"/>
  <c r="R823" i="8"/>
  <c r="C823" i="8"/>
  <c r="V822" i="8"/>
  <c r="T822" i="8"/>
  <c r="R822" i="8"/>
  <c r="C822" i="8"/>
  <c r="V821" i="8"/>
  <c r="T821" i="8"/>
  <c r="R821" i="8"/>
  <c r="C821" i="8"/>
  <c r="V820" i="8"/>
  <c r="T820" i="8"/>
  <c r="W820" i="8" s="1"/>
  <c r="Y820" i="8" s="1"/>
  <c r="R820" i="8"/>
  <c r="C820" i="8"/>
  <c r="V819" i="8"/>
  <c r="W819" i="8" s="1"/>
  <c r="Y819" i="8" s="1"/>
  <c r="T819" i="8"/>
  <c r="R819" i="8"/>
  <c r="C819" i="8"/>
  <c r="W818" i="8"/>
  <c r="Y818" i="8" s="1"/>
  <c r="V818" i="8"/>
  <c r="T818" i="8"/>
  <c r="R818" i="8"/>
  <c r="C818" i="8"/>
  <c r="T817" i="8"/>
  <c r="R817" i="8"/>
  <c r="C817" i="8"/>
  <c r="V816" i="8"/>
  <c r="T816" i="8"/>
  <c r="R816" i="8"/>
  <c r="C816" i="8"/>
  <c r="W815" i="8"/>
  <c r="Y815" i="8" s="1"/>
  <c r="V815" i="8"/>
  <c r="T815" i="8"/>
  <c r="R815" i="8"/>
  <c r="C815" i="8"/>
  <c r="T814" i="8"/>
  <c r="V814" i="8" s="1"/>
  <c r="W814" i="8" s="1"/>
  <c r="Y814" i="8" s="1"/>
  <c r="R814" i="8"/>
  <c r="C814" i="8"/>
  <c r="V813" i="8"/>
  <c r="T813" i="8"/>
  <c r="R813" i="8"/>
  <c r="C813" i="8"/>
  <c r="V812" i="8"/>
  <c r="T812" i="8"/>
  <c r="R812" i="8"/>
  <c r="C812" i="8"/>
  <c r="W811" i="8"/>
  <c r="Y811" i="8" s="1"/>
  <c r="V811" i="8"/>
  <c r="T811" i="8"/>
  <c r="R811" i="8"/>
  <c r="C811" i="8"/>
  <c r="W810" i="8"/>
  <c r="Y810" i="8" s="1"/>
  <c r="T810" i="8"/>
  <c r="V810" i="8" s="1"/>
  <c r="R810" i="8"/>
  <c r="C810" i="8"/>
  <c r="T809" i="8"/>
  <c r="R809" i="8"/>
  <c r="C809" i="8"/>
  <c r="Y808" i="8"/>
  <c r="V808" i="8"/>
  <c r="T808" i="8"/>
  <c r="W808" i="8" s="1"/>
  <c r="R808" i="8"/>
  <c r="C808" i="8"/>
  <c r="V807" i="8"/>
  <c r="W807" i="8" s="1"/>
  <c r="Y807" i="8" s="1"/>
  <c r="T807" i="8"/>
  <c r="R807" i="8"/>
  <c r="C807" i="8"/>
  <c r="T806" i="8"/>
  <c r="R806" i="8"/>
  <c r="C806" i="8"/>
  <c r="V805" i="8"/>
  <c r="T805" i="8"/>
  <c r="R805" i="8"/>
  <c r="C805" i="8"/>
  <c r="V804" i="8"/>
  <c r="T804" i="8"/>
  <c r="R804" i="8"/>
  <c r="C804" i="8"/>
  <c r="V803" i="8"/>
  <c r="W803" i="8" s="1"/>
  <c r="Y803" i="8" s="1"/>
  <c r="T803" i="8"/>
  <c r="R803" i="8"/>
  <c r="C803" i="8"/>
  <c r="Y802" i="8"/>
  <c r="W802" i="8"/>
  <c r="V802" i="8"/>
  <c r="T802" i="8"/>
  <c r="R802" i="8"/>
  <c r="C802" i="8"/>
  <c r="T801" i="8"/>
  <c r="R801" i="8"/>
  <c r="C801" i="8"/>
  <c r="V800" i="8"/>
  <c r="T800" i="8"/>
  <c r="R800" i="8"/>
  <c r="C800" i="8"/>
  <c r="W799" i="8"/>
  <c r="Y799" i="8" s="1"/>
  <c r="V799" i="8"/>
  <c r="T799" i="8"/>
  <c r="R799" i="8"/>
  <c r="C799" i="8"/>
  <c r="T798" i="8"/>
  <c r="R798" i="8"/>
  <c r="C798" i="8"/>
  <c r="T797" i="8"/>
  <c r="R797" i="8"/>
  <c r="C797" i="8"/>
  <c r="V796" i="8"/>
  <c r="T796" i="8"/>
  <c r="R796" i="8"/>
  <c r="C796" i="8"/>
  <c r="Y795" i="8"/>
  <c r="V795" i="8"/>
  <c r="W795" i="8" s="1"/>
  <c r="T795" i="8"/>
  <c r="R795" i="8"/>
  <c r="C795" i="8"/>
  <c r="Y794" i="8"/>
  <c r="V794" i="8"/>
  <c r="T794" i="8"/>
  <c r="W794" i="8" s="1"/>
  <c r="R794" i="8"/>
  <c r="C794" i="8"/>
  <c r="T793" i="8"/>
  <c r="R793" i="8"/>
  <c r="C793" i="8"/>
  <c r="V792" i="8"/>
  <c r="T792" i="8"/>
  <c r="R792" i="8"/>
  <c r="C792" i="8"/>
  <c r="V791" i="8"/>
  <c r="W791" i="8" s="1"/>
  <c r="Y791" i="8" s="1"/>
  <c r="T791" i="8"/>
  <c r="R791" i="8"/>
  <c r="C791" i="8"/>
  <c r="T790" i="8"/>
  <c r="R790" i="8"/>
  <c r="C790" i="8"/>
  <c r="V789" i="8"/>
  <c r="T789" i="8"/>
  <c r="R789" i="8"/>
  <c r="C789" i="8"/>
  <c r="V788" i="8"/>
  <c r="T788" i="8"/>
  <c r="R788" i="8"/>
  <c r="C788" i="8"/>
  <c r="V787" i="8"/>
  <c r="W787" i="8" s="1"/>
  <c r="Y787" i="8" s="1"/>
  <c r="T787" i="8"/>
  <c r="R787" i="8"/>
  <c r="C787" i="8"/>
  <c r="Y786" i="8"/>
  <c r="W786" i="8"/>
  <c r="V786" i="8"/>
  <c r="T786" i="8"/>
  <c r="R786" i="8"/>
  <c r="C786" i="8"/>
  <c r="T785" i="8"/>
  <c r="R785" i="8"/>
  <c r="C785" i="8"/>
  <c r="V784" i="8"/>
  <c r="T784" i="8"/>
  <c r="W784" i="8" s="1"/>
  <c r="Y784" i="8" s="1"/>
  <c r="R784" i="8"/>
  <c r="C784" i="8"/>
  <c r="W783" i="8"/>
  <c r="Y783" i="8" s="1"/>
  <c r="V783" i="8"/>
  <c r="T783" i="8"/>
  <c r="R783" i="8"/>
  <c r="C783" i="8"/>
  <c r="T782" i="8"/>
  <c r="R782" i="8"/>
  <c r="C782" i="8"/>
  <c r="V781" i="8"/>
  <c r="T781" i="8"/>
  <c r="R781" i="8"/>
  <c r="C781" i="8"/>
  <c r="V780" i="8"/>
  <c r="T780" i="8"/>
  <c r="R780" i="8"/>
  <c r="C780" i="8"/>
  <c r="V779" i="8"/>
  <c r="W779" i="8" s="1"/>
  <c r="Y779" i="8" s="1"/>
  <c r="T779" i="8"/>
  <c r="R779" i="8"/>
  <c r="C779" i="8"/>
  <c r="T778" i="8"/>
  <c r="V778" i="8" s="1"/>
  <c r="W778" i="8" s="1"/>
  <c r="Y778" i="8" s="1"/>
  <c r="R778" i="8"/>
  <c r="C778" i="8"/>
  <c r="T777" i="8"/>
  <c r="R777" i="8"/>
  <c r="C777" i="8"/>
  <c r="Y776" i="8"/>
  <c r="V776" i="8"/>
  <c r="T776" i="8"/>
  <c r="W776" i="8" s="1"/>
  <c r="R776" i="8"/>
  <c r="C776" i="8"/>
  <c r="Y775" i="8"/>
  <c r="W775" i="8"/>
  <c r="V775" i="8"/>
  <c r="T775" i="8"/>
  <c r="R775" i="8"/>
  <c r="C775" i="8"/>
  <c r="V774" i="8"/>
  <c r="T774" i="8"/>
  <c r="R774" i="8"/>
  <c r="C774" i="8"/>
  <c r="V773" i="8"/>
  <c r="T773" i="8"/>
  <c r="R773" i="8"/>
  <c r="C773" i="8"/>
  <c r="V772" i="8"/>
  <c r="T772" i="8"/>
  <c r="R772" i="8"/>
  <c r="C772" i="8"/>
  <c r="V771" i="8"/>
  <c r="W771" i="8" s="1"/>
  <c r="Y771" i="8" s="1"/>
  <c r="T771" i="8"/>
  <c r="R771" i="8"/>
  <c r="C771" i="8"/>
  <c r="Y770" i="8"/>
  <c r="W770" i="8"/>
  <c r="V770" i="8"/>
  <c r="T770" i="8"/>
  <c r="R770" i="8"/>
  <c r="C770" i="8"/>
  <c r="V769" i="8"/>
  <c r="T769" i="8"/>
  <c r="R769" i="8"/>
  <c r="C769" i="8"/>
  <c r="V768" i="8"/>
  <c r="W768" i="8" s="1"/>
  <c r="Y768" i="8" s="1"/>
  <c r="T768" i="8"/>
  <c r="R768" i="8"/>
  <c r="C768" i="8"/>
  <c r="Y767" i="8"/>
  <c r="W767" i="8"/>
  <c r="V767" i="8"/>
  <c r="T767" i="8"/>
  <c r="R767" i="8"/>
  <c r="C767" i="8"/>
  <c r="V766" i="8"/>
  <c r="W766" i="8" s="1"/>
  <c r="Y766" i="8" s="1"/>
  <c r="T766" i="8"/>
  <c r="R766" i="8"/>
  <c r="C766" i="8"/>
  <c r="T765" i="8"/>
  <c r="R765" i="8"/>
  <c r="C765" i="8"/>
  <c r="Y764" i="8"/>
  <c r="V764" i="8"/>
  <c r="W764" i="8" s="1"/>
  <c r="T764" i="8"/>
  <c r="R764" i="8"/>
  <c r="C764" i="8"/>
  <c r="W763" i="8"/>
  <c r="Y763" i="8" s="1"/>
  <c r="V763" i="8"/>
  <c r="T763" i="8"/>
  <c r="R763" i="8"/>
  <c r="C763" i="8"/>
  <c r="T762" i="8"/>
  <c r="R762" i="8"/>
  <c r="C762" i="8"/>
  <c r="T761" i="8"/>
  <c r="R761" i="8"/>
  <c r="C761" i="8"/>
  <c r="V760" i="8"/>
  <c r="T760" i="8"/>
  <c r="W760" i="8" s="1"/>
  <c r="Y760" i="8" s="1"/>
  <c r="R760" i="8"/>
  <c r="C760" i="8"/>
  <c r="Y759" i="8"/>
  <c r="V759" i="8"/>
  <c r="W759" i="8" s="1"/>
  <c r="T759" i="8"/>
  <c r="R759" i="8"/>
  <c r="C759" i="8"/>
  <c r="V758" i="8"/>
  <c r="T758" i="8"/>
  <c r="R758" i="8"/>
  <c r="C758" i="8"/>
  <c r="V757" i="8"/>
  <c r="T757" i="8"/>
  <c r="R757" i="8"/>
  <c r="C757" i="8"/>
  <c r="V756" i="8"/>
  <c r="T756" i="8"/>
  <c r="R756" i="8"/>
  <c r="C756" i="8"/>
  <c r="V755" i="8"/>
  <c r="W755" i="8" s="1"/>
  <c r="Y755" i="8" s="1"/>
  <c r="T755" i="8"/>
  <c r="R755" i="8"/>
  <c r="C755" i="8"/>
  <c r="Y754" i="8"/>
  <c r="W754" i="8"/>
  <c r="V754" i="8"/>
  <c r="T754" i="8"/>
  <c r="R754" i="8"/>
  <c r="C754" i="8"/>
  <c r="V753" i="8"/>
  <c r="T753" i="8"/>
  <c r="R753" i="8"/>
  <c r="C753" i="8"/>
  <c r="V752" i="8"/>
  <c r="T752" i="8"/>
  <c r="W752" i="8" s="1"/>
  <c r="Y752" i="8" s="1"/>
  <c r="R752" i="8"/>
  <c r="C752" i="8"/>
  <c r="Y751" i="8"/>
  <c r="W751" i="8"/>
  <c r="V751" i="8"/>
  <c r="T751" i="8"/>
  <c r="R751" i="8"/>
  <c r="C751" i="8"/>
  <c r="Y750" i="8"/>
  <c r="W750" i="8"/>
  <c r="V750" i="8"/>
  <c r="T750" i="8"/>
  <c r="R750" i="8"/>
  <c r="C750" i="8"/>
  <c r="T749" i="8"/>
  <c r="R749" i="8"/>
  <c r="C749" i="8"/>
  <c r="V748" i="8"/>
  <c r="T748" i="8"/>
  <c r="R748" i="8"/>
  <c r="C748" i="8"/>
  <c r="V747" i="8"/>
  <c r="W747" i="8" s="1"/>
  <c r="Y747" i="8" s="1"/>
  <c r="T747" i="8"/>
  <c r="R747" i="8"/>
  <c r="C747" i="8"/>
  <c r="V746" i="8"/>
  <c r="T746" i="8"/>
  <c r="R746" i="8"/>
  <c r="C746" i="8"/>
  <c r="T745" i="8"/>
  <c r="R745" i="8"/>
  <c r="C745" i="8"/>
  <c r="V744" i="8"/>
  <c r="T744" i="8"/>
  <c r="W744" i="8" s="1"/>
  <c r="Y744" i="8" s="1"/>
  <c r="R744" i="8"/>
  <c r="C744" i="8"/>
  <c r="W743" i="8"/>
  <c r="Y743" i="8" s="1"/>
  <c r="V743" i="8"/>
  <c r="T743" i="8"/>
  <c r="R743" i="8"/>
  <c r="C743" i="8"/>
  <c r="V742" i="8"/>
  <c r="T742" i="8"/>
  <c r="R742" i="8"/>
  <c r="C742" i="8"/>
  <c r="V741" i="8"/>
  <c r="T741" i="8"/>
  <c r="R741" i="8"/>
  <c r="C741" i="8"/>
  <c r="V740" i="8"/>
  <c r="T740" i="8"/>
  <c r="W740" i="8" s="1"/>
  <c r="Y740" i="8" s="1"/>
  <c r="R740" i="8"/>
  <c r="C740" i="8"/>
  <c r="V739" i="8"/>
  <c r="W739" i="8" s="1"/>
  <c r="Y739" i="8" s="1"/>
  <c r="T739" i="8"/>
  <c r="R739" i="8"/>
  <c r="C739" i="8"/>
  <c r="W738" i="8"/>
  <c r="Y738" i="8" s="1"/>
  <c r="V738" i="8"/>
  <c r="T738" i="8"/>
  <c r="R738" i="8"/>
  <c r="C738" i="8"/>
  <c r="V737" i="8"/>
  <c r="T737" i="8"/>
  <c r="R737" i="8"/>
  <c r="C737" i="8"/>
  <c r="V736" i="8"/>
  <c r="T736" i="8"/>
  <c r="W736" i="8" s="1"/>
  <c r="Y736" i="8" s="1"/>
  <c r="R736" i="8"/>
  <c r="C736" i="8"/>
  <c r="Y735" i="8"/>
  <c r="W735" i="8"/>
  <c r="V735" i="8"/>
  <c r="T735" i="8"/>
  <c r="R735" i="8"/>
  <c r="C735" i="8"/>
  <c r="Y734" i="8"/>
  <c r="W734" i="8"/>
  <c r="V734" i="8"/>
  <c r="T734" i="8"/>
  <c r="R734" i="8"/>
  <c r="C734" i="8"/>
  <c r="V733" i="8"/>
  <c r="T733" i="8"/>
  <c r="R733" i="8"/>
  <c r="C733" i="8"/>
  <c r="V732" i="8"/>
  <c r="T732" i="8"/>
  <c r="R732" i="8"/>
  <c r="C732" i="8"/>
  <c r="Y731" i="8"/>
  <c r="W731" i="8"/>
  <c r="V731" i="8"/>
  <c r="T731" i="8"/>
  <c r="R731" i="8"/>
  <c r="C731" i="8"/>
  <c r="T730" i="8"/>
  <c r="R730" i="8"/>
  <c r="C730" i="8"/>
  <c r="T729" i="8"/>
  <c r="R729" i="8"/>
  <c r="C729" i="8"/>
  <c r="V728" i="8"/>
  <c r="T728" i="8"/>
  <c r="W728" i="8" s="1"/>
  <c r="Y728" i="8" s="1"/>
  <c r="R728" i="8"/>
  <c r="C728" i="8"/>
  <c r="Y727" i="8"/>
  <c r="V727" i="8"/>
  <c r="W727" i="8" s="1"/>
  <c r="T727" i="8"/>
  <c r="R727" i="8"/>
  <c r="C727" i="8"/>
  <c r="V726" i="8"/>
  <c r="T726" i="8"/>
  <c r="R726" i="8"/>
  <c r="C726" i="8"/>
  <c r="V725" i="8"/>
  <c r="T725" i="8"/>
  <c r="R725" i="8"/>
  <c r="C725" i="8"/>
  <c r="V724" i="8"/>
  <c r="T724" i="8"/>
  <c r="R724" i="8"/>
  <c r="C724" i="8"/>
  <c r="V723" i="8"/>
  <c r="W723" i="8" s="1"/>
  <c r="Y723" i="8" s="1"/>
  <c r="T723" i="8"/>
  <c r="R723" i="8"/>
  <c r="C723" i="8"/>
  <c r="Y722" i="8"/>
  <c r="W722" i="8"/>
  <c r="V722" i="8"/>
  <c r="T722" i="8"/>
  <c r="R722" i="8"/>
  <c r="C722" i="8"/>
  <c r="T721" i="8"/>
  <c r="R721" i="8"/>
  <c r="C721" i="8"/>
  <c r="V720" i="8"/>
  <c r="T720" i="8"/>
  <c r="R720" i="8"/>
  <c r="C720" i="8"/>
  <c r="W719" i="8"/>
  <c r="Y719" i="8" s="1"/>
  <c r="V719" i="8"/>
  <c r="T719" i="8"/>
  <c r="R719" i="8"/>
  <c r="C719" i="8"/>
  <c r="T718" i="8"/>
  <c r="V718" i="8" s="1"/>
  <c r="R718" i="8"/>
  <c r="C718" i="8"/>
  <c r="V717" i="8"/>
  <c r="T717" i="8"/>
  <c r="R717" i="8"/>
  <c r="C717" i="8"/>
  <c r="V716" i="8"/>
  <c r="T716" i="8"/>
  <c r="R716" i="8"/>
  <c r="C716" i="8"/>
  <c r="Y715" i="8"/>
  <c r="W715" i="8"/>
  <c r="V715" i="8"/>
  <c r="T715" i="8"/>
  <c r="R715" i="8"/>
  <c r="C715" i="8"/>
  <c r="W714" i="8"/>
  <c r="Y714" i="8" s="1"/>
  <c r="V714" i="8"/>
  <c r="T714" i="8"/>
  <c r="R714" i="8"/>
  <c r="C714" i="8"/>
  <c r="T713" i="8"/>
  <c r="R713" i="8"/>
  <c r="C713" i="8"/>
  <c r="V712" i="8"/>
  <c r="T712" i="8"/>
  <c r="R712" i="8"/>
  <c r="C712" i="8"/>
  <c r="V711" i="8"/>
  <c r="T711" i="8"/>
  <c r="R711" i="8"/>
  <c r="C711" i="8"/>
  <c r="W710" i="8"/>
  <c r="Y710" i="8" s="1"/>
  <c r="T710" i="8"/>
  <c r="V710" i="8" s="1"/>
  <c r="R710" i="8"/>
  <c r="C710" i="8"/>
  <c r="T709" i="8"/>
  <c r="R709" i="8"/>
  <c r="C709" i="8"/>
  <c r="V708" i="8"/>
  <c r="W708" i="8" s="1"/>
  <c r="Y708" i="8" s="1"/>
  <c r="T708" i="8"/>
  <c r="R708" i="8"/>
  <c r="C708" i="8"/>
  <c r="W707" i="8"/>
  <c r="Y707" i="8" s="1"/>
  <c r="T707" i="8"/>
  <c r="V707" i="8" s="1"/>
  <c r="R707" i="8"/>
  <c r="C707" i="8"/>
  <c r="W706" i="8"/>
  <c r="Y706" i="8" s="1"/>
  <c r="V706" i="8"/>
  <c r="T706" i="8"/>
  <c r="R706" i="8"/>
  <c r="C706" i="8"/>
  <c r="T705" i="8"/>
  <c r="V705" i="8" s="1"/>
  <c r="R705" i="8"/>
  <c r="C705" i="8"/>
  <c r="T704" i="8"/>
  <c r="V704" i="8" s="1"/>
  <c r="W704" i="8" s="1"/>
  <c r="Y704" i="8" s="1"/>
  <c r="R704" i="8"/>
  <c r="C704" i="8"/>
  <c r="Y703" i="8"/>
  <c r="W703" i="8"/>
  <c r="T703" i="8"/>
  <c r="V703" i="8" s="1"/>
  <c r="R703" i="8"/>
  <c r="C703" i="8"/>
  <c r="T702" i="8"/>
  <c r="R702" i="8"/>
  <c r="C702" i="8"/>
  <c r="T701" i="8"/>
  <c r="V701" i="8" s="1"/>
  <c r="R701" i="8"/>
  <c r="C701" i="8"/>
  <c r="T700" i="8"/>
  <c r="R700" i="8"/>
  <c r="C700" i="8"/>
  <c r="T699" i="8"/>
  <c r="R699" i="8"/>
  <c r="C699" i="8"/>
  <c r="T698" i="8"/>
  <c r="R698" i="8"/>
  <c r="C698" i="8"/>
  <c r="T697" i="8"/>
  <c r="R697" i="8"/>
  <c r="C697" i="8"/>
  <c r="Y696" i="8"/>
  <c r="W696" i="8"/>
  <c r="V696" i="8"/>
  <c r="T696" i="8"/>
  <c r="R696" i="8"/>
  <c r="C696" i="8"/>
  <c r="T695" i="8"/>
  <c r="R695" i="8"/>
  <c r="C695" i="8"/>
  <c r="V694" i="8"/>
  <c r="T694" i="8"/>
  <c r="R694" i="8"/>
  <c r="C694" i="8"/>
  <c r="T693" i="8"/>
  <c r="V693" i="8" s="1"/>
  <c r="R693" i="8"/>
  <c r="C693" i="8"/>
  <c r="V692" i="8"/>
  <c r="T692" i="8"/>
  <c r="R692" i="8"/>
  <c r="C692" i="8"/>
  <c r="T691" i="8"/>
  <c r="V691" i="8" s="1"/>
  <c r="W691" i="8" s="1"/>
  <c r="Y691" i="8" s="1"/>
  <c r="R691" i="8"/>
  <c r="C691" i="8"/>
  <c r="W690" i="8"/>
  <c r="Y690" i="8" s="1"/>
  <c r="V690" i="8"/>
  <c r="T690" i="8"/>
  <c r="R690" i="8"/>
  <c r="C690" i="8"/>
  <c r="T689" i="8"/>
  <c r="R689" i="8"/>
  <c r="C689" i="8"/>
  <c r="T688" i="8"/>
  <c r="V688" i="8" s="1"/>
  <c r="W688" i="8" s="1"/>
  <c r="Y688" i="8" s="1"/>
  <c r="R688" i="8"/>
  <c r="C688" i="8"/>
  <c r="W687" i="8"/>
  <c r="Y687" i="8" s="1"/>
  <c r="T687" i="8"/>
  <c r="V687" i="8" s="1"/>
  <c r="R687" i="8"/>
  <c r="C687" i="8"/>
  <c r="T686" i="8"/>
  <c r="R686" i="8"/>
  <c r="C686" i="8"/>
  <c r="T685" i="8"/>
  <c r="V685" i="8" s="1"/>
  <c r="R685" i="8"/>
  <c r="C685" i="8"/>
  <c r="W684" i="8"/>
  <c r="Y684" i="8" s="1"/>
  <c r="T684" i="8"/>
  <c r="V684" i="8" s="1"/>
  <c r="R684" i="8"/>
  <c r="C684" i="8"/>
  <c r="V683" i="8"/>
  <c r="T683" i="8"/>
  <c r="W683" i="8" s="1"/>
  <c r="Y683" i="8" s="1"/>
  <c r="R683" i="8"/>
  <c r="C683" i="8"/>
  <c r="V682" i="8"/>
  <c r="T682" i="8"/>
  <c r="R682" i="8"/>
  <c r="C682" i="8"/>
  <c r="T681" i="8"/>
  <c r="R681" i="8"/>
  <c r="C681" i="8"/>
  <c r="Y680" i="8"/>
  <c r="W680" i="8"/>
  <c r="V680" i="8"/>
  <c r="T680" i="8"/>
  <c r="R680" i="8"/>
  <c r="C680" i="8"/>
  <c r="T679" i="8"/>
  <c r="R679" i="8"/>
  <c r="C679" i="8"/>
  <c r="V678" i="8"/>
  <c r="T678" i="8"/>
  <c r="W678" i="8" s="1"/>
  <c r="Y678" i="8" s="1"/>
  <c r="R678" i="8"/>
  <c r="C678" i="8"/>
  <c r="W677" i="8"/>
  <c r="Y677" i="8" s="1"/>
  <c r="T677" i="8"/>
  <c r="V677" i="8" s="1"/>
  <c r="R677" i="8"/>
  <c r="C677" i="8"/>
  <c r="T676" i="8"/>
  <c r="R676" i="8"/>
  <c r="C676" i="8"/>
  <c r="W675" i="8"/>
  <c r="Y675" i="8" s="1"/>
  <c r="T675" i="8"/>
  <c r="V675" i="8" s="1"/>
  <c r="R675" i="8"/>
  <c r="C675" i="8"/>
  <c r="T674" i="8"/>
  <c r="V674" i="8" s="1"/>
  <c r="R674" i="8"/>
  <c r="C674" i="8"/>
  <c r="V673" i="8"/>
  <c r="T673" i="8"/>
  <c r="W673" i="8" s="1"/>
  <c r="Y673" i="8" s="1"/>
  <c r="R673" i="8"/>
  <c r="C673" i="8"/>
  <c r="W672" i="8"/>
  <c r="Y672" i="8" s="1"/>
  <c r="V672" i="8"/>
  <c r="T672" i="8"/>
  <c r="R672" i="8"/>
  <c r="C672" i="8"/>
  <c r="T671" i="8"/>
  <c r="R671" i="8"/>
  <c r="C671" i="8"/>
  <c r="Y670" i="8"/>
  <c r="W670" i="8"/>
  <c r="T670" i="8"/>
  <c r="V670" i="8" s="1"/>
  <c r="R670" i="8"/>
  <c r="C670" i="8"/>
  <c r="W669" i="8"/>
  <c r="Y669" i="8" s="1"/>
  <c r="V669" i="8"/>
  <c r="T669" i="8"/>
  <c r="R669" i="8"/>
  <c r="C669" i="8"/>
  <c r="T668" i="8"/>
  <c r="R668" i="8"/>
  <c r="C668" i="8"/>
  <c r="W667" i="8"/>
  <c r="Y667" i="8" s="1"/>
  <c r="T667" i="8"/>
  <c r="V667" i="8" s="1"/>
  <c r="R667" i="8"/>
  <c r="C667" i="8"/>
  <c r="W666" i="8"/>
  <c r="Y666" i="8" s="1"/>
  <c r="T666" i="8"/>
  <c r="V666" i="8" s="1"/>
  <c r="R666" i="8"/>
  <c r="C666" i="8"/>
  <c r="V665" i="8"/>
  <c r="T665" i="8"/>
  <c r="W665" i="8" s="1"/>
  <c r="Y665" i="8" s="1"/>
  <c r="R665" i="8"/>
  <c r="C665" i="8"/>
  <c r="W664" i="8"/>
  <c r="Y664" i="8" s="1"/>
  <c r="V664" i="8"/>
  <c r="T664" i="8"/>
  <c r="R664" i="8"/>
  <c r="C664" i="8"/>
  <c r="T663" i="8"/>
  <c r="R663" i="8"/>
  <c r="C663" i="8"/>
  <c r="Y662" i="8"/>
  <c r="W662" i="8"/>
  <c r="T662" i="8"/>
  <c r="V662" i="8" s="1"/>
  <c r="R662" i="8"/>
  <c r="C662" i="8"/>
  <c r="V661" i="8"/>
  <c r="W661" i="8" s="1"/>
  <c r="Y661" i="8" s="1"/>
  <c r="T661" i="8"/>
  <c r="R661" i="8"/>
  <c r="C661" i="8"/>
  <c r="T660" i="8"/>
  <c r="R660" i="8"/>
  <c r="C660" i="8"/>
  <c r="W659" i="8"/>
  <c r="Y659" i="8" s="1"/>
  <c r="T659" i="8"/>
  <c r="V659" i="8" s="1"/>
  <c r="R659" i="8"/>
  <c r="C659" i="8"/>
  <c r="T658" i="8"/>
  <c r="R658" i="8"/>
  <c r="C658" i="8"/>
  <c r="V657" i="8"/>
  <c r="T657" i="8"/>
  <c r="W657" i="8" s="1"/>
  <c r="Y657" i="8" s="1"/>
  <c r="R657" i="8"/>
  <c r="C657" i="8"/>
  <c r="W656" i="8"/>
  <c r="Y656" i="8" s="1"/>
  <c r="V656" i="8"/>
  <c r="T656" i="8"/>
  <c r="R656" i="8"/>
  <c r="C656" i="8"/>
  <c r="T655" i="8"/>
  <c r="R655" i="8"/>
  <c r="C655" i="8"/>
  <c r="Y654" i="8"/>
  <c r="W654" i="8"/>
  <c r="T654" i="8"/>
  <c r="V654" i="8" s="1"/>
  <c r="R654" i="8"/>
  <c r="C654" i="8"/>
  <c r="W653" i="8"/>
  <c r="Y653" i="8" s="1"/>
  <c r="V653" i="8"/>
  <c r="T653" i="8"/>
  <c r="R653" i="8"/>
  <c r="C653" i="8"/>
  <c r="T652" i="8"/>
  <c r="R652" i="8"/>
  <c r="C652" i="8"/>
  <c r="W651" i="8"/>
  <c r="Y651" i="8" s="1"/>
  <c r="T651" i="8"/>
  <c r="V651" i="8" s="1"/>
  <c r="R651" i="8"/>
  <c r="C651" i="8"/>
  <c r="W650" i="8"/>
  <c r="Y650" i="8" s="1"/>
  <c r="T650" i="8"/>
  <c r="V650" i="8" s="1"/>
  <c r="R650" i="8"/>
  <c r="C650" i="8"/>
  <c r="V649" i="8"/>
  <c r="T649" i="8"/>
  <c r="W649" i="8" s="1"/>
  <c r="Y649" i="8" s="1"/>
  <c r="R649" i="8"/>
  <c r="C649" i="8"/>
  <c r="W648" i="8"/>
  <c r="Y648" i="8" s="1"/>
  <c r="V648" i="8"/>
  <c r="T648" i="8"/>
  <c r="R648" i="8"/>
  <c r="C648" i="8"/>
  <c r="T647" i="8"/>
  <c r="R647" i="8"/>
  <c r="C647" i="8"/>
  <c r="Y646" i="8"/>
  <c r="W646" i="8"/>
  <c r="T646" i="8"/>
  <c r="V646" i="8" s="1"/>
  <c r="R646" i="8"/>
  <c r="C646" i="8"/>
  <c r="V645" i="8"/>
  <c r="W645" i="8" s="1"/>
  <c r="Y645" i="8" s="1"/>
  <c r="T645" i="8"/>
  <c r="R645" i="8"/>
  <c r="C645" i="8"/>
  <c r="T644" i="8"/>
  <c r="R644" i="8"/>
  <c r="C644" i="8"/>
  <c r="W643" i="8"/>
  <c r="Y643" i="8" s="1"/>
  <c r="T643" i="8"/>
  <c r="V643" i="8" s="1"/>
  <c r="R643" i="8"/>
  <c r="C643" i="8"/>
  <c r="T642" i="8"/>
  <c r="V642" i="8" s="1"/>
  <c r="R642" i="8"/>
  <c r="C642" i="8"/>
  <c r="V641" i="8"/>
  <c r="T641" i="8"/>
  <c r="W641" i="8" s="1"/>
  <c r="Y641" i="8" s="1"/>
  <c r="R641" i="8"/>
  <c r="C641" i="8"/>
  <c r="W640" i="8"/>
  <c r="Y640" i="8" s="1"/>
  <c r="V640" i="8"/>
  <c r="T640" i="8"/>
  <c r="R640" i="8"/>
  <c r="C640" i="8"/>
  <c r="T639" i="8"/>
  <c r="R639" i="8"/>
  <c r="C639" i="8"/>
  <c r="Y638" i="8"/>
  <c r="W638" i="8"/>
  <c r="T638" i="8"/>
  <c r="V638" i="8" s="1"/>
  <c r="R638" i="8"/>
  <c r="C638" i="8"/>
  <c r="W637" i="8"/>
  <c r="Y637" i="8" s="1"/>
  <c r="V637" i="8"/>
  <c r="T637" i="8"/>
  <c r="R637" i="8"/>
  <c r="C637" i="8"/>
  <c r="T636" i="8"/>
  <c r="R636" i="8"/>
  <c r="C636" i="8"/>
  <c r="W635" i="8"/>
  <c r="Y635" i="8" s="1"/>
  <c r="T635" i="8"/>
  <c r="V635" i="8" s="1"/>
  <c r="R635" i="8"/>
  <c r="C635" i="8"/>
  <c r="W634" i="8"/>
  <c r="Y634" i="8" s="1"/>
  <c r="T634" i="8"/>
  <c r="V634" i="8" s="1"/>
  <c r="R634" i="8"/>
  <c r="C634" i="8"/>
  <c r="V633" i="8"/>
  <c r="T633" i="8"/>
  <c r="W633" i="8" s="1"/>
  <c r="Y633" i="8" s="1"/>
  <c r="R633" i="8"/>
  <c r="C633" i="8"/>
  <c r="W632" i="8"/>
  <c r="Y632" i="8" s="1"/>
  <c r="V632" i="8"/>
  <c r="T632" i="8"/>
  <c r="R632" i="8"/>
  <c r="C632" i="8"/>
  <c r="T631" i="8"/>
  <c r="R631" i="8"/>
  <c r="C631" i="8"/>
  <c r="Y630" i="8"/>
  <c r="W630" i="8"/>
  <c r="T630" i="8"/>
  <c r="V630" i="8" s="1"/>
  <c r="R630" i="8"/>
  <c r="C630" i="8"/>
  <c r="V629" i="8"/>
  <c r="W629" i="8" s="1"/>
  <c r="Y629" i="8" s="1"/>
  <c r="T629" i="8"/>
  <c r="R629" i="8"/>
  <c r="C629" i="8"/>
  <c r="T628" i="8"/>
  <c r="R628" i="8"/>
  <c r="C628" i="8"/>
  <c r="W627" i="8"/>
  <c r="Y627" i="8" s="1"/>
  <c r="T627" i="8"/>
  <c r="V627" i="8" s="1"/>
  <c r="R627" i="8"/>
  <c r="C627" i="8"/>
  <c r="T626" i="8"/>
  <c r="R626" i="8"/>
  <c r="C626" i="8"/>
  <c r="V625" i="8"/>
  <c r="T625" i="8"/>
  <c r="W625" i="8" s="1"/>
  <c r="Y625" i="8" s="1"/>
  <c r="R625" i="8"/>
  <c r="C625" i="8"/>
  <c r="W624" i="8"/>
  <c r="Y624" i="8" s="1"/>
  <c r="V624" i="8"/>
  <c r="T624" i="8"/>
  <c r="R624" i="8"/>
  <c r="C624" i="8"/>
  <c r="T623" i="8"/>
  <c r="R623" i="8"/>
  <c r="C623" i="8"/>
  <c r="Y622" i="8"/>
  <c r="W622" i="8"/>
  <c r="T622" i="8"/>
  <c r="V622" i="8" s="1"/>
  <c r="R622" i="8"/>
  <c r="C622" i="8"/>
  <c r="W621" i="8"/>
  <c r="Y621" i="8" s="1"/>
  <c r="V621" i="8"/>
  <c r="T621" i="8"/>
  <c r="R621" i="8"/>
  <c r="C621" i="8"/>
  <c r="T620" i="8"/>
  <c r="R620" i="8"/>
  <c r="C620" i="8"/>
  <c r="W619" i="8"/>
  <c r="Y619" i="8" s="1"/>
  <c r="T619" i="8"/>
  <c r="V619" i="8" s="1"/>
  <c r="R619" i="8"/>
  <c r="C619" i="8"/>
  <c r="W618" i="8"/>
  <c r="Y618" i="8" s="1"/>
  <c r="T618" i="8"/>
  <c r="V618" i="8" s="1"/>
  <c r="R618" i="8"/>
  <c r="C618" i="8"/>
  <c r="V617" i="8"/>
  <c r="T617" i="8"/>
  <c r="W617" i="8" s="1"/>
  <c r="Y617" i="8" s="1"/>
  <c r="R617" i="8"/>
  <c r="C617" i="8"/>
  <c r="W616" i="8"/>
  <c r="Y616" i="8" s="1"/>
  <c r="V616" i="8"/>
  <c r="T616" i="8"/>
  <c r="R616" i="8"/>
  <c r="C616" i="8"/>
  <c r="T615" i="8"/>
  <c r="R615" i="8"/>
  <c r="C615" i="8"/>
  <c r="Y614" i="8"/>
  <c r="W614" i="8"/>
  <c r="T614" i="8"/>
  <c r="V614" i="8" s="1"/>
  <c r="R614" i="8"/>
  <c r="C614" i="8"/>
  <c r="V613" i="8"/>
  <c r="W613" i="8" s="1"/>
  <c r="Y613" i="8" s="1"/>
  <c r="T613" i="8"/>
  <c r="R613" i="8"/>
  <c r="C613" i="8"/>
  <c r="T612" i="8"/>
  <c r="R612" i="8"/>
  <c r="C612" i="8"/>
  <c r="W611" i="8"/>
  <c r="Y611" i="8" s="1"/>
  <c r="T611" i="8"/>
  <c r="V611" i="8" s="1"/>
  <c r="R611" i="8"/>
  <c r="C611" i="8"/>
  <c r="T610" i="8"/>
  <c r="V610" i="8" s="1"/>
  <c r="R610" i="8"/>
  <c r="C610" i="8"/>
  <c r="V609" i="8"/>
  <c r="T609" i="8"/>
  <c r="W609" i="8" s="1"/>
  <c r="Y609" i="8" s="1"/>
  <c r="R609" i="8"/>
  <c r="C609" i="8"/>
  <c r="W608" i="8"/>
  <c r="Y608" i="8" s="1"/>
  <c r="V608" i="8"/>
  <c r="T608" i="8"/>
  <c r="R608" i="8"/>
  <c r="C608" i="8"/>
  <c r="T607" i="8"/>
  <c r="R607" i="8"/>
  <c r="C607" i="8"/>
  <c r="T606" i="8"/>
  <c r="V606" i="8" s="1"/>
  <c r="R606" i="8"/>
  <c r="C606" i="8"/>
  <c r="V605" i="8"/>
  <c r="W605" i="8" s="1"/>
  <c r="Y605" i="8" s="1"/>
  <c r="T605" i="8"/>
  <c r="R605" i="8"/>
  <c r="C605" i="8"/>
  <c r="T604" i="8"/>
  <c r="R604" i="8"/>
  <c r="C604" i="8"/>
  <c r="W603" i="8"/>
  <c r="Y603" i="8" s="1"/>
  <c r="T603" i="8"/>
  <c r="V603" i="8" s="1"/>
  <c r="R603" i="8"/>
  <c r="C603" i="8"/>
  <c r="T602" i="8"/>
  <c r="V602" i="8" s="1"/>
  <c r="R602" i="8"/>
  <c r="C602" i="8"/>
  <c r="V601" i="8"/>
  <c r="T601" i="8"/>
  <c r="W601" i="8" s="1"/>
  <c r="Y601" i="8" s="1"/>
  <c r="R601" i="8"/>
  <c r="C601" i="8"/>
  <c r="W600" i="8"/>
  <c r="Y600" i="8" s="1"/>
  <c r="V600" i="8"/>
  <c r="T600" i="8"/>
  <c r="R600" i="8"/>
  <c r="C600" i="8"/>
  <c r="T599" i="8"/>
  <c r="R599" i="8"/>
  <c r="C599" i="8"/>
  <c r="T598" i="8"/>
  <c r="V598" i="8" s="1"/>
  <c r="R598" i="8"/>
  <c r="C598" i="8"/>
  <c r="V597" i="8"/>
  <c r="W597" i="8" s="1"/>
  <c r="Y597" i="8" s="1"/>
  <c r="T597" i="8"/>
  <c r="R597" i="8"/>
  <c r="C597" i="8"/>
  <c r="T596" i="8"/>
  <c r="R596" i="8"/>
  <c r="C596" i="8"/>
  <c r="W595" i="8"/>
  <c r="Y595" i="8" s="1"/>
  <c r="T595" i="8"/>
  <c r="V595" i="8" s="1"/>
  <c r="R595" i="8"/>
  <c r="C595" i="8"/>
  <c r="T594" i="8"/>
  <c r="V594" i="8" s="1"/>
  <c r="R594" i="8"/>
  <c r="C594" i="8"/>
  <c r="V593" i="8"/>
  <c r="T593" i="8"/>
  <c r="W593" i="8" s="1"/>
  <c r="Y593" i="8" s="1"/>
  <c r="R593" i="8"/>
  <c r="C593" i="8"/>
  <c r="W592" i="8"/>
  <c r="Y592" i="8" s="1"/>
  <c r="V592" i="8"/>
  <c r="T592" i="8"/>
  <c r="R592" i="8"/>
  <c r="C592" i="8"/>
  <c r="T591" i="8"/>
  <c r="R591" i="8"/>
  <c r="C591" i="8"/>
  <c r="T590" i="8"/>
  <c r="V590" i="8" s="1"/>
  <c r="R590" i="8"/>
  <c r="C590" i="8"/>
  <c r="V589" i="8"/>
  <c r="W589" i="8" s="1"/>
  <c r="Y589" i="8" s="1"/>
  <c r="T589" i="8"/>
  <c r="R589" i="8"/>
  <c r="C589" i="8"/>
  <c r="T588" i="8"/>
  <c r="R588" i="8"/>
  <c r="C588" i="8"/>
  <c r="W587" i="8"/>
  <c r="Y587" i="8" s="1"/>
  <c r="T587" i="8"/>
  <c r="V587" i="8" s="1"/>
  <c r="R587" i="8"/>
  <c r="C587" i="8"/>
  <c r="T586" i="8"/>
  <c r="V586" i="8" s="1"/>
  <c r="R586" i="8"/>
  <c r="C586" i="8"/>
  <c r="V585" i="8"/>
  <c r="T585" i="8"/>
  <c r="W585" i="8" s="1"/>
  <c r="Y585" i="8" s="1"/>
  <c r="R585" i="8"/>
  <c r="C585" i="8"/>
  <c r="W584" i="8"/>
  <c r="Y584" i="8" s="1"/>
  <c r="V584" i="8"/>
  <c r="T584" i="8"/>
  <c r="R584" i="8"/>
  <c r="C584" i="8"/>
  <c r="T583" i="8"/>
  <c r="R583" i="8"/>
  <c r="C583" i="8"/>
  <c r="T582" i="8"/>
  <c r="V582" i="8" s="1"/>
  <c r="R582" i="8"/>
  <c r="C582" i="8"/>
  <c r="V581" i="8"/>
  <c r="W581" i="8" s="1"/>
  <c r="Y581" i="8" s="1"/>
  <c r="T581" i="8"/>
  <c r="R581" i="8"/>
  <c r="C581" i="8"/>
  <c r="T580" i="8"/>
  <c r="R580" i="8"/>
  <c r="C580" i="8"/>
  <c r="W579" i="8"/>
  <c r="Y579" i="8" s="1"/>
  <c r="T579" i="8"/>
  <c r="V579" i="8" s="1"/>
  <c r="R579" i="8"/>
  <c r="C579" i="8"/>
  <c r="T578" i="8"/>
  <c r="V578" i="8" s="1"/>
  <c r="R578" i="8"/>
  <c r="C578" i="8"/>
  <c r="V577" i="8"/>
  <c r="T577" i="8"/>
  <c r="W577" i="8" s="1"/>
  <c r="Y577" i="8" s="1"/>
  <c r="R577" i="8"/>
  <c r="C577" i="8"/>
  <c r="V576" i="8"/>
  <c r="W576" i="8" s="1"/>
  <c r="Y576" i="8" s="1"/>
  <c r="T576" i="8"/>
  <c r="R576" i="8"/>
  <c r="C576" i="8"/>
  <c r="T575" i="8"/>
  <c r="R575" i="8"/>
  <c r="C575" i="8"/>
  <c r="T574" i="8"/>
  <c r="V574" i="8" s="1"/>
  <c r="R574" i="8"/>
  <c r="C574" i="8"/>
  <c r="V573" i="8"/>
  <c r="W573" i="8" s="1"/>
  <c r="Y573" i="8" s="1"/>
  <c r="T573" i="8"/>
  <c r="R573" i="8"/>
  <c r="C573" i="8"/>
  <c r="T572" i="8"/>
  <c r="R572" i="8"/>
  <c r="C572" i="8"/>
  <c r="W571" i="8"/>
  <c r="Y571" i="8" s="1"/>
  <c r="T571" i="8"/>
  <c r="V571" i="8" s="1"/>
  <c r="R571" i="8"/>
  <c r="C571" i="8"/>
  <c r="T570" i="8"/>
  <c r="R570" i="8"/>
  <c r="C570" i="8"/>
  <c r="V569" i="8"/>
  <c r="T569" i="8"/>
  <c r="W569" i="8" s="1"/>
  <c r="Y569" i="8" s="1"/>
  <c r="R569" i="8"/>
  <c r="C569" i="8"/>
  <c r="V568" i="8"/>
  <c r="W568" i="8" s="1"/>
  <c r="Y568" i="8" s="1"/>
  <c r="T568" i="8"/>
  <c r="R568" i="8"/>
  <c r="C568" i="8"/>
  <c r="T567" i="8"/>
  <c r="R567" i="8"/>
  <c r="C567" i="8"/>
  <c r="T566" i="8"/>
  <c r="V566" i="8" s="1"/>
  <c r="R566" i="8"/>
  <c r="C566" i="8"/>
  <c r="W565" i="8"/>
  <c r="Y565" i="8" s="1"/>
  <c r="V565" i="8"/>
  <c r="T565" i="8"/>
  <c r="R565" i="8"/>
  <c r="C565" i="8"/>
  <c r="W564" i="8"/>
  <c r="Y564" i="8" s="1"/>
  <c r="T564" i="8"/>
  <c r="V564" i="8" s="1"/>
  <c r="R564" i="8"/>
  <c r="C564" i="8"/>
  <c r="W563" i="8"/>
  <c r="Y563" i="8" s="1"/>
  <c r="T563" i="8"/>
  <c r="V563" i="8" s="1"/>
  <c r="R563" i="8"/>
  <c r="C563" i="8"/>
  <c r="W562" i="8"/>
  <c r="Y562" i="8" s="1"/>
  <c r="T562" i="8"/>
  <c r="V562" i="8" s="1"/>
  <c r="R562" i="8"/>
  <c r="C562" i="8"/>
  <c r="V561" i="8"/>
  <c r="T561" i="8"/>
  <c r="R561" i="8"/>
  <c r="C561" i="8"/>
  <c r="W560" i="8"/>
  <c r="Y560" i="8" s="1"/>
  <c r="V560" i="8"/>
  <c r="T560" i="8"/>
  <c r="R560" i="8"/>
  <c r="C560" i="8"/>
  <c r="T559" i="8"/>
  <c r="R559" i="8"/>
  <c r="C559" i="8"/>
  <c r="T558" i="8"/>
  <c r="V558" i="8" s="1"/>
  <c r="R558" i="8"/>
  <c r="C558" i="8"/>
  <c r="T557" i="8"/>
  <c r="R557" i="8"/>
  <c r="C557" i="8"/>
  <c r="T556" i="8"/>
  <c r="V556" i="8" s="1"/>
  <c r="R556" i="8"/>
  <c r="C556" i="8"/>
  <c r="W555" i="8"/>
  <c r="Y555" i="8" s="1"/>
  <c r="T555" i="8"/>
  <c r="V555" i="8" s="1"/>
  <c r="R555" i="8"/>
  <c r="C555" i="8"/>
  <c r="T554" i="8"/>
  <c r="V554" i="8" s="1"/>
  <c r="R554" i="8"/>
  <c r="C554" i="8"/>
  <c r="V553" i="8"/>
  <c r="T553" i="8"/>
  <c r="W553" i="8" s="1"/>
  <c r="Y553" i="8" s="1"/>
  <c r="R553" i="8"/>
  <c r="C553" i="8"/>
  <c r="V552" i="8"/>
  <c r="W552" i="8" s="1"/>
  <c r="Y552" i="8" s="1"/>
  <c r="T552" i="8"/>
  <c r="R552" i="8"/>
  <c r="C552" i="8"/>
  <c r="T551" i="8"/>
  <c r="R551" i="8"/>
  <c r="C551" i="8"/>
  <c r="T550" i="8"/>
  <c r="V550" i="8" s="1"/>
  <c r="R550" i="8"/>
  <c r="C550" i="8"/>
  <c r="W549" i="8"/>
  <c r="Y549" i="8" s="1"/>
  <c r="V549" i="8"/>
  <c r="T549" i="8"/>
  <c r="R549" i="8"/>
  <c r="C549" i="8"/>
  <c r="W548" i="8"/>
  <c r="Y548" i="8" s="1"/>
  <c r="T548" i="8"/>
  <c r="V548" i="8" s="1"/>
  <c r="R548" i="8"/>
  <c r="C548" i="8"/>
  <c r="W547" i="8"/>
  <c r="Y547" i="8" s="1"/>
  <c r="T547" i="8"/>
  <c r="V547" i="8" s="1"/>
  <c r="R547" i="8"/>
  <c r="C547" i="8"/>
  <c r="W546" i="8"/>
  <c r="Y546" i="8" s="1"/>
  <c r="T546" i="8"/>
  <c r="V546" i="8" s="1"/>
  <c r="R546" i="8"/>
  <c r="C546" i="8"/>
  <c r="V545" i="8"/>
  <c r="T545" i="8"/>
  <c r="R545" i="8"/>
  <c r="C545" i="8"/>
  <c r="W544" i="8"/>
  <c r="Y544" i="8" s="1"/>
  <c r="V544" i="8"/>
  <c r="T544" i="8"/>
  <c r="R544" i="8"/>
  <c r="C544" i="8"/>
  <c r="T543" i="8"/>
  <c r="R543" i="8"/>
  <c r="C543" i="8"/>
  <c r="T542" i="8"/>
  <c r="V542" i="8" s="1"/>
  <c r="R542" i="8"/>
  <c r="C542" i="8"/>
  <c r="V541" i="8"/>
  <c r="T541" i="8"/>
  <c r="R541" i="8"/>
  <c r="C541" i="8"/>
  <c r="T540" i="8"/>
  <c r="R540" i="8"/>
  <c r="C540" i="8"/>
  <c r="W539" i="8"/>
  <c r="Y539" i="8" s="1"/>
  <c r="T539" i="8"/>
  <c r="V539" i="8" s="1"/>
  <c r="R539" i="8"/>
  <c r="C539" i="8"/>
  <c r="T538" i="8"/>
  <c r="R538" i="8"/>
  <c r="C538" i="8"/>
  <c r="V537" i="8"/>
  <c r="T537" i="8"/>
  <c r="W537" i="8" s="1"/>
  <c r="Y537" i="8" s="1"/>
  <c r="R537" i="8"/>
  <c r="C537" i="8"/>
  <c r="V536" i="8"/>
  <c r="W536" i="8" s="1"/>
  <c r="Y536" i="8" s="1"/>
  <c r="T536" i="8"/>
  <c r="R536" i="8"/>
  <c r="C536" i="8"/>
  <c r="T535" i="8"/>
  <c r="R535" i="8"/>
  <c r="C535" i="8"/>
  <c r="T534" i="8"/>
  <c r="V534" i="8" s="1"/>
  <c r="R534" i="8"/>
  <c r="C534" i="8"/>
  <c r="W533" i="8"/>
  <c r="Y533" i="8" s="1"/>
  <c r="V533" i="8"/>
  <c r="T533" i="8"/>
  <c r="R533" i="8"/>
  <c r="C533" i="8"/>
  <c r="T532" i="8"/>
  <c r="R532" i="8"/>
  <c r="C532" i="8"/>
  <c r="T531" i="8"/>
  <c r="R531" i="8"/>
  <c r="C531" i="8"/>
  <c r="T530" i="8"/>
  <c r="R530" i="8"/>
  <c r="C530" i="8"/>
  <c r="T529" i="8"/>
  <c r="R529" i="8"/>
  <c r="C529" i="8"/>
  <c r="V528" i="8"/>
  <c r="T528" i="8"/>
  <c r="W528" i="8" s="1"/>
  <c r="Y528" i="8" s="1"/>
  <c r="R528" i="8"/>
  <c r="C528" i="8"/>
  <c r="V527" i="8"/>
  <c r="W527" i="8" s="1"/>
  <c r="Y527" i="8" s="1"/>
  <c r="T527" i="8"/>
  <c r="R527" i="8"/>
  <c r="C527" i="8"/>
  <c r="W526" i="8"/>
  <c r="Y526" i="8" s="1"/>
  <c r="T526" i="8"/>
  <c r="V526" i="8" s="1"/>
  <c r="R526" i="8"/>
  <c r="C526" i="8"/>
  <c r="V525" i="8"/>
  <c r="T525" i="8"/>
  <c r="R525" i="8"/>
  <c r="C525" i="8"/>
  <c r="Y524" i="8"/>
  <c r="W524" i="8"/>
  <c r="T524" i="8"/>
  <c r="V524" i="8" s="1"/>
  <c r="R524" i="8"/>
  <c r="C524" i="8"/>
  <c r="T523" i="8"/>
  <c r="R523" i="8"/>
  <c r="C523" i="8"/>
  <c r="T522" i="8"/>
  <c r="V522" i="8" s="1"/>
  <c r="R522" i="8"/>
  <c r="C522" i="8"/>
  <c r="W521" i="8"/>
  <c r="Y521" i="8" s="1"/>
  <c r="T521" i="8"/>
  <c r="V521" i="8" s="1"/>
  <c r="R521" i="8"/>
  <c r="C521" i="8"/>
  <c r="W520" i="8"/>
  <c r="Y520" i="8" s="1"/>
  <c r="V520" i="8"/>
  <c r="T520" i="8"/>
  <c r="R520" i="8"/>
  <c r="C520" i="8"/>
  <c r="W519" i="8"/>
  <c r="Y519" i="8" s="1"/>
  <c r="V519" i="8"/>
  <c r="T519" i="8"/>
  <c r="R519" i="8"/>
  <c r="C519" i="8"/>
  <c r="T518" i="8"/>
  <c r="V518" i="8" s="1"/>
  <c r="R518" i="8"/>
  <c r="C518" i="8"/>
  <c r="V517" i="8"/>
  <c r="T517" i="8"/>
  <c r="R517" i="8"/>
  <c r="C517" i="8"/>
  <c r="T516" i="8"/>
  <c r="V516" i="8" s="1"/>
  <c r="W516" i="8" s="1"/>
  <c r="Y516" i="8" s="1"/>
  <c r="R516" i="8"/>
  <c r="C516" i="8"/>
  <c r="T515" i="8"/>
  <c r="R515" i="8"/>
  <c r="C515" i="8"/>
  <c r="T514" i="8"/>
  <c r="V514" i="8" s="1"/>
  <c r="R514" i="8"/>
  <c r="C514" i="8"/>
  <c r="V513" i="8"/>
  <c r="W513" i="8" s="1"/>
  <c r="Y513" i="8" s="1"/>
  <c r="T513" i="8"/>
  <c r="R513" i="8"/>
  <c r="C513" i="8"/>
  <c r="W512" i="8"/>
  <c r="Y512" i="8" s="1"/>
  <c r="V512" i="8"/>
  <c r="T512" i="8"/>
  <c r="R512" i="8"/>
  <c r="C512" i="8"/>
  <c r="W511" i="8"/>
  <c r="Y511" i="8" s="1"/>
  <c r="V511" i="8"/>
  <c r="T511" i="8"/>
  <c r="R511" i="8"/>
  <c r="C511" i="8"/>
  <c r="T510" i="8"/>
  <c r="R510" i="8"/>
  <c r="C510" i="8"/>
  <c r="V509" i="8"/>
  <c r="T509" i="8"/>
  <c r="W509" i="8" s="1"/>
  <c r="Y509" i="8" s="1"/>
  <c r="R509" i="8"/>
  <c r="C509" i="8"/>
  <c r="Y508" i="8"/>
  <c r="W508" i="8"/>
  <c r="T508" i="8"/>
  <c r="V508" i="8" s="1"/>
  <c r="R508" i="8"/>
  <c r="C508" i="8"/>
  <c r="T507" i="8"/>
  <c r="R507" i="8"/>
  <c r="C507" i="8"/>
  <c r="T506" i="8"/>
  <c r="R506" i="8"/>
  <c r="C506" i="8"/>
  <c r="Y505" i="8"/>
  <c r="W505" i="8"/>
  <c r="T505" i="8"/>
  <c r="V505" i="8" s="1"/>
  <c r="R505" i="8"/>
  <c r="C505" i="8"/>
  <c r="T504" i="8"/>
  <c r="R504" i="8"/>
  <c r="C504" i="8"/>
  <c r="T503" i="8"/>
  <c r="R503" i="8"/>
  <c r="C503" i="8"/>
  <c r="T502" i="8"/>
  <c r="R502" i="8"/>
  <c r="C502" i="8"/>
  <c r="W501" i="8"/>
  <c r="Y501" i="8" s="1"/>
  <c r="V501" i="8"/>
  <c r="T501" i="8"/>
  <c r="R501" i="8"/>
  <c r="C501" i="8"/>
  <c r="T500" i="8"/>
  <c r="R500" i="8"/>
  <c r="C500" i="8"/>
  <c r="V499" i="8"/>
  <c r="T499" i="8"/>
  <c r="R499" i="8"/>
  <c r="C499" i="8"/>
  <c r="W498" i="8"/>
  <c r="Y498" i="8" s="1"/>
  <c r="T498" i="8"/>
  <c r="V498" i="8" s="1"/>
  <c r="R498" i="8"/>
  <c r="C498" i="8"/>
  <c r="Y497" i="8"/>
  <c r="V497" i="8"/>
  <c r="W497" i="8" s="1"/>
  <c r="T497" i="8"/>
  <c r="R497" i="8"/>
  <c r="C497" i="8"/>
  <c r="T496" i="8"/>
  <c r="R496" i="8"/>
  <c r="C496" i="8"/>
  <c r="V495" i="8"/>
  <c r="W495" i="8" s="1"/>
  <c r="Y495" i="8" s="1"/>
  <c r="T495" i="8"/>
  <c r="R495" i="8"/>
  <c r="C495" i="8"/>
  <c r="T494" i="8"/>
  <c r="V494" i="8" s="1"/>
  <c r="R494" i="8"/>
  <c r="C494" i="8"/>
  <c r="T493" i="8"/>
  <c r="R493" i="8"/>
  <c r="C493" i="8"/>
  <c r="T492" i="8"/>
  <c r="R492" i="8"/>
  <c r="C492" i="8"/>
  <c r="V491" i="8"/>
  <c r="W491" i="8" s="1"/>
  <c r="Y491" i="8" s="1"/>
  <c r="T491" i="8"/>
  <c r="R491" i="8"/>
  <c r="C491" i="8"/>
  <c r="Y490" i="8"/>
  <c r="W490" i="8"/>
  <c r="T490" i="8"/>
  <c r="V490" i="8" s="1"/>
  <c r="R490" i="8"/>
  <c r="C490" i="8"/>
  <c r="W489" i="8"/>
  <c r="Y489" i="8" s="1"/>
  <c r="T489" i="8"/>
  <c r="V489" i="8" s="1"/>
  <c r="R489" i="8"/>
  <c r="C489" i="8"/>
  <c r="V488" i="8"/>
  <c r="W488" i="8" s="1"/>
  <c r="Y488" i="8" s="1"/>
  <c r="T488" i="8"/>
  <c r="R488" i="8"/>
  <c r="C488" i="8"/>
  <c r="W487" i="8"/>
  <c r="Y487" i="8" s="1"/>
  <c r="V487" i="8"/>
  <c r="T487" i="8"/>
  <c r="R487" i="8"/>
  <c r="C487" i="8"/>
  <c r="T486" i="8"/>
  <c r="R486" i="8"/>
  <c r="C486" i="8"/>
  <c r="T485" i="8"/>
  <c r="R485" i="8"/>
  <c r="C485" i="8"/>
  <c r="W484" i="8"/>
  <c r="Y484" i="8" s="1"/>
  <c r="V484" i="8"/>
  <c r="T484" i="8"/>
  <c r="R484" i="8"/>
  <c r="C484" i="8"/>
  <c r="T483" i="8"/>
  <c r="R483" i="8"/>
  <c r="C483" i="8"/>
  <c r="T482" i="8"/>
  <c r="R482" i="8"/>
  <c r="C482" i="8"/>
  <c r="V481" i="8"/>
  <c r="T481" i="8"/>
  <c r="W481" i="8" s="1"/>
  <c r="Y481" i="8" s="1"/>
  <c r="R481" i="8"/>
  <c r="C481" i="8"/>
  <c r="T480" i="8"/>
  <c r="V480" i="8" s="1"/>
  <c r="W480" i="8" s="1"/>
  <c r="Y480" i="8" s="1"/>
  <c r="R480" i="8"/>
  <c r="C480" i="8"/>
  <c r="W479" i="8"/>
  <c r="Y479" i="8" s="1"/>
  <c r="V479" i="8"/>
  <c r="T479" i="8"/>
  <c r="R479" i="8"/>
  <c r="C479" i="8"/>
  <c r="T478" i="8"/>
  <c r="R478" i="8"/>
  <c r="C478" i="8"/>
  <c r="V477" i="8"/>
  <c r="W477" i="8" s="1"/>
  <c r="Y477" i="8" s="1"/>
  <c r="T477" i="8"/>
  <c r="R477" i="8"/>
  <c r="C477" i="8"/>
  <c r="Y476" i="8"/>
  <c r="W476" i="8"/>
  <c r="T476" i="8"/>
  <c r="V476" i="8" s="1"/>
  <c r="R476" i="8"/>
  <c r="C476" i="8"/>
  <c r="V475" i="8"/>
  <c r="W475" i="8" s="1"/>
  <c r="Y475" i="8" s="1"/>
  <c r="T475" i="8"/>
  <c r="R475" i="8"/>
  <c r="C475" i="8"/>
  <c r="T474" i="8"/>
  <c r="V474" i="8" s="1"/>
  <c r="R474" i="8"/>
  <c r="C474" i="8"/>
  <c r="W473" i="8"/>
  <c r="Y473" i="8" s="1"/>
  <c r="T473" i="8"/>
  <c r="V473" i="8" s="1"/>
  <c r="R473" i="8"/>
  <c r="C473" i="8"/>
  <c r="V472" i="8"/>
  <c r="W472" i="8" s="1"/>
  <c r="Y472" i="8" s="1"/>
  <c r="T472" i="8"/>
  <c r="R472" i="8"/>
  <c r="C472" i="8"/>
  <c r="T471" i="8"/>
  <c r="R471" i="8"/>
  <c r="C471" i="8"/>
  <c r="T470" i="8"/>
  <c r="R470" i="8"/>
  <c r="C470" i="8"/>
  <c r="T469" i="8"/>
  <c r="V469" i="8" s="1"/>
  <c r="W469" i="8" s="1"/>
  <c r="Y469" i="8" s="1"/>
  <c r="R469" i="8"/>
  <c r="C469" i="8"/>
  <c r="V468" i="8"/>
  <c r="T468" i="8"/>
  <c r="R468" i="8"/>
  <c r="C468" i="8"/>
  <c r="T467" i="8"/>
  <c r="R467" i="8"/>
  <c r="C467" i="8"/>
  <c r="Y466" i="8"/>
  <c r="W466" i="8"/>
  <c r="T466" i="8"/>
  <c r="V466" i="8" s="1"/>
  <c r="R466" i="8"/>
  <c r="C466" i="8"/>
  <c r="T465" i="8"/>
  <c r="R465" i="8"/>
  <c r="C465" i="8"/>
  <c r="T464" i="8"/>
  <c r="R464" i="8"/>
  <c r="C464" i="8"/>
  <c r="W463" i="8"/>
  <c r="Y463" i="8" s="1"/>
  <c r="V463" i="8"/>
  <c r="T463" i="8"/>
  <c r="R463" i="8"/>
  <c r="C463" i="8"/>
  <c r="Y462" i="8"/>
  <c r="W462" i="8"/>
  <c r="T462" i="8"/>
  <c r="V462" i="8" s="1"/>
  <c r="R462" i="8"/>
  <c r="C462" i="8"/>
  <c r="V461" i="8"/>
  <c r="W461" i="8" s="1"/>
  <c r="Y461" i="8" s="1"/>
  <c r="T461" i="8"/>
  <c r="R461" i="8"/>
  <c r="C461" i="8"/>
  <c r="T460" i="8"/>
  <c r="V460" i="8" s="1"/>
  <c r="R460" i="8"/>
  <c r="C460" i="8"/>
  <c r="V459" i="8"/>
  <c r="T459" i="8"/>
  <c r="W459" i="8" s="1"/>
  <c r="Y459" i="8" s="1"/>
  <c r="R459" i="8"/>
  <c r="C459" i="8"/>
  <c r="T458" i="8"/>
  <c r="V458" i="8" s="1"/>
  <c r="R458" i="8"/>
  <c r="C458" i="8"/>
  <c r="T457" i="8"/>
  <c r="R457" i="8"/>
  <c r="C457" i="8"/>
  <c r="V456" i="8"/>
  <c r="T456" i="8"/>
  <c r="R456" i="8"/>
  <c r="C456" i="8"/>
  <c r="W455" i="8"/>
  <c r="Y455" i="8" s="1"/>
  <c r="T455" i="8"/>
  <c r="V455" i="8" s="1"/>
  <c r="R455" i="8"/>
  <c r="C455" i="8"/>
  <c r="T454" i="8"/>
  <c r="R454" i="8"/>
  <c r="C454" i="8"/>
  <c r="T453" i="8"/>
  <c r="R453" i="8"/>
  <c r="C453" i="8"/>
  <c r="W452" i="8"/>
  <c r="Y452" i="8" s="1"/>
  <c r="T452" i="8"/>
  <c r="V452" i="8" s="1"/>
  <c r="R452" i="8"/>
  <c r="C452" i="8"/>
  <c r="V451" i="8"/>
  <c r="T451" i="8"/>
  <c r="R451" i="8"/>
  <c r="C451" i="8"/>
  <c r="W450" i="8"/>
  <c r="Y450" i="8" s="1"/>
  <c r="T450" i="8"/>
  <c r="V450" i="8" s="1"/>
  <c r="R450" i="8"/>
  <c r="C450" i="8"/>
  <c r="W449" i="8"/>
  <c r="Y449" i="8" s="1"/>
  <c r="V449" i="8"/>
  <c r="T449" i="8"/>
  <c r="R449" i="8"/>
  <c r="C449" i="8"/>
  <c r="W448" i="8"/>
  <c r="Y448" i="8" s="1"/>
  <c r="V448" i="8"/>
  <c r="T448" i="8"/>
  <c r="R448" i="8"/>
  <c r="C448" i="8"/>
  <c r="V447" i="8"/>
  <c r="W447" i="8" s="1"/>
  <c r="Y447" i="8" s="1"/>
  <c r="T447" i="8"/>
  <c r="R447" i="8"/>
  <c r="C447" i="8"/>
  <c r="V446" i="8"/>
  <c r="W446" i="8" s="1"/>
  <c r="Y446" i="8" s="1"/>
  <c r="T446" i="8"/>
  <c r="R446" i="8"/>
  <c r="C446" i="8"/>
  <c r="T445" i="8"/>
  <c r="R445" i="8"/>
  <c r="C445" i="8"/>
  <c r="V444" i="8"/>
  <c r="T444" i="8"/>
  <c r="W444" i="8" s="1"/>
  <c r="Y444" i="8" s="1"/>
  <c r="R444" i="8"/>
  <c r="C444" i="8"/>
  <c r="V443" i="8"/>
  <c r="W443" i="8" s="1"/>
  <c r="Y443" i="8" s="1"/>
  <c r="T443" i="8"/>
  <c r="R443" i="8"/>
  <c r="C443" i="8"/>
  <c r="W442" i="8"/>
  <c r="Y442" i="8" s="1"/>
  <c r="V442" i="8"/>
  <c r="T442" i="8"/>
  <c r="R442" i="8"/>
  <c r="C442" i="8"/>
  <c r="T441" i="8"/>
  <c r="R441" i="8"/>
  <c r="C441" i="8"/>
  <c r="V440" i="8"/>
  <c r="T440" i="8"/>
  <c r="W440" i="8" s="1"/>
  <c r="Y440" i="8" s="1"/>
  <c r="R440" i="8"/>
  <c r="C440" i="8"/>
  <c r="Y439" i="8"/>
  <c r="V439" i="8"/>
  <c r="W439" i="8" s="1"/>
  <c r="T439" i="8"/>
  <c r="R439" i="8"/>
  <c r="C439" i="8"/>
  <c r="V438" i="8"/>
  <c r="W438" i="8" s="1"/>
  <c r="Y438" i="8" s="1"/>
  <c r="T438" i="8"/>
  <c r="R438" i="8"/>
  <c r="C438" i="8"/>
  <c r="T437" i="8"/>
  <c r="R437" i="8"/>
  <c r="C437" i="8"/>
  <c r="V436" i="8"/>
  <c r="T436" i="8"/>
  <c r="W436" i="8" s="1"/>
  <c r="Y436" i="8" s="1"/>
  <c r="R436" i="8"/>
  <c r="C436" i="8"/>
  <c r="V435" i="8"/>
  <c r="W435" i="8" s="1"/>
  <c r="Y435" i="8" s="1"/>
  <c r="T435" i="8"/>
  <c r="R435" i="8"/>
  <c r="C435" i="8"/>
  <c r="V434" i="8"/>
  <c r="W434" i="8" s="1"/>
  <c r="Y434" i="8" s="1"/>
  <c r="T434" i="8"/>
  <c r="R434" i="8"/>
  <c r="C434" i="8"/>
  <c r="T433" i="8"/>
  <c r="R433" i="8"/>
  <c r="C433" i="8"/>
  <c r="V432" i="8"/>
  <c r="T432" i="8"/>
  <c r="R432" i="8"/>
  <c r="C432" i="8"/>
  <c r="Y431" i="8"/>
  <c r="W431" i="8"/>
  <c r="V431" i="8"/>
  <c r="T431" i="8"/>
  <c r="R431" i="8"/>
  <c r="C431" i="8"/>
  <c r="V430" i="8"/>
  <c r="W430" i="8" s="1"/>
  <c r="Y430" i="8" s="1"/>
  <c r="T430" i="8"/>
  <c r="R430" i="8"/>
  <c r="C430" i="8"/>
  <c r="W429" i="8"/>
  <c r="Y429" i="8" s="1"/>
  <c r="T429" i="8"/>
  <c r="V429" i="8" s="1"/>
  <c r="R429" i="8"/>
  <c r="C429" i="8"/>
  <c r="T428" i="8"/>
  <c r="R428" i="8"/>
  <c r="C428" i="8"/>
  <c r="Y427" i="8"/>
  <c r="W427" i="8"/>
  <c r="V427" i="8"/>
  <c r="T427" i="8"/>
  <c r="R427" i="8"/>
  <c r="C427" i="8"/>
  <c r="W426" i="8"/>
  <c r="Y426" i="8" s="1"/>
  <c r="V426" i="8"/>
  <c r="T426" i="8"/>
  <c r="R426" i="8"/>
  <c r="C426" i="8"/>
  <c r="T425" i="8"/>
  <c r="V425" i="8" s="1"/>
  <c r="R425" i="8"/>
  <c r="C425" i="8"/>
  <c r="V424" i="8"/>
  <c r="T424" i="8"/>
  <c r="R424" i="8"/>
  <c r="C424" i="8"/>
  <c r="T423" i="8"/>
  <c r="V423" i="8" s="1"/>
  <c r="W423" i="8" s="1"/>
  <c r="Y423" i="8" s="1"/>
  <c r="R423" i="8"/>
  <c r="C423" i="8"/>
  <c r="W422" i="8"/>
  <c r="Y422" i="8" s="1"/>
  <c r="V422" i="8"/>
  <c r="T422" i="8"/>
  <c r="R422" i="8"/>
  <c r="C422" i="8"/>
  <c r="T421" i="8"/>
  <c r="V421" i="8" s="1"/>
  <c r="R421" i="8"/>
  <c r="C421" i="8"/>
  <c r="T420" i="8"/>
  <c r="R420" i="8"/>
  <c r="C420" i="8"/>
  <c r="Y419" i="8"/>
  <c r="T419" i="8"/>
  <c r="V419" i="8" s="1"/>
  <c r="W419" i="8" s="1"/>
  <c r="R419" i="8"/>
  <c r="C419" i="8"/>
  <c r="V418" i="8"/>
  <c r="W418" i="8" s="1"/>
  <c r="Y418" i="8" s="1"/>
  <c r="T418" i="8"/>
  <c r="R418" i="8"/>
  <c r="C418" i="8"/>
  <c r="Y417" i="8"/>
  <c r="W417" i="8"/>
  <c r="T417" i="8"/>
  <c r="V417" i="8" s="1"/>
  <c r="R417" i="8"/>
  <c r="C417" i="8"/>
  <c r="T416" i="8"/>
  <c r="R416" i="8"/>
  <c r="C416" i="8"/>
  <c r="Y415" i="8"/>
  <c r="T415" i="8"/>
  <c r="V415" i="8" s="1"/>
  <c r="W415" i="8" s="1"/>
  <c r="R415" i="8"/>
  <c r="C415" i="8"/>
  <c r="V414" i="8"/>
  <c r="W414" i="8" s="1"/>
  <c r="Y414" i="8" s="1"/>
  <c r="T414" i="8"/>
  <c r="R414" i="8"/>
  <c r="C414" i="8"/>
  <c r="T413" i="8"/>
  <c r="V413" i="8" s="1"/>
  <c r="R413" i="8"/>
  <c r="C413" i="8"/>
  <c r="T412" i="8"/>
  <c r="R412" i="8"/>
  <c r="C412" i="8"/>
  <c r="T411" i="8"/>
  <c r="V411" i="8" s="1"/>
  <c r="W411" i="8" s="1"/>
  <c r="Y411" i="8" s="1"/>
  <c r="R411" i="8"/>
  <c r="C411" i="8"/>
  <c r="V410" i="8"/>
  <c r="W410" i="8" s="1"/>
  <c r="Y410" i="8" s="1"/>
  <c r="T410" i="8"/>
  <c r="R410" i="8"/>
  <c r="C410" i="8"/>
  <c r="T409" i="8"/>
  <c r="V409" i="8" s="1"/>
  <c r="R409" i="8"/>
  <c r="C409" i="8"/>
  <c r="V408" i="8"/>
  <c r="T408" i="8"/>
  <c r="R408" i="8"/>
  <c r="C408" i="8"/>
  <c r="T407" i="8"/>
  <c r="V407" i="8" s="1"/>
  <c r="W407" i="8" s="1"/>
  <c r="Y407" i="8" s="1"/>
  <c r="R407" i="8"/>
  <c r="C407" i="8"/>
  <c r="W406" i="8"/>
  <c r="Y406" i="8" s="1"/>
  <c r="V406" i="8"/>
  <c r="T406" i="8"/>
  <c r="R406" i="8"/>
  <c r="C406" i="8"/>
  <c r="T405" i="8"/>
  <c r="V405" i="8" s="1"/>
  <c r="R405" i="8"/>
  <c r="C405" i="8"/>
  <c r="T404" i="8"/>
  <c r="R404" i="8"/>
  <c r="C404" i="8"/>
  <c r="Y403" i="8"/>
  <c r="T403" i="8"/>
  <c r="V403" i="8" s="1"/>
  <c r="W403" i="8" s="1"/>
  <c r="R403" i="8"/>
  <c r="C403" i="8"/>
  <c r="V402" i="8"/>
  <c r="W402" i="8" s="1"/>
  <c r="Y402" i="8" s="1"/>
  <c r="T402" i="8"/>
  <c r="R402" i="8"/>
  <c r="C402" i="8"/>
  <c r="Y401" i="8"/>
  <c r="W401" i="8"/>
  <c r="T401" i="8"/>
  <c r="V401" i="8" s="1"/>
  <c r="R401" i="8"/>
  <c r="C401" i="8"/>
  <c r="T400" i="8"/>
  <c r="R400" i="8"/>
  <c r="C400" i="8"/>
  <c r="Y399" i="8"/>
  <c r="T399" i="8"/>
  <c r="V399" i="8" s="1"/>
  <c r="W399" i="8" s="1"/>
  <c r="R399" i="8"/>
  <c r="C399" i="8"/>
  <c r="T398" i="8"/>
  <c r="R398" i="8"/>
  <c r="C398" i="8"/>
  <c r="W397" i="8"/>
  <c r="Y397" i="8" s="1"/>
  <c r="T397" i="8"/>
  <c r="V397" i="8" s="1"/>
  <c r="R397" i="8"/>
  <c r="C397" i="8"/>
  <c r="T396" i="8"/>
  <c r="R396" i="8"/>
  <c r="C396" i="8"/>
  <c r="T395" i="8"/>
  <c r="V395" i="8" s="1"/>
  <c r="W395" i="8" s="1"/>
  <c r="Y395" i="8" s="1"/>
  <c r="R395" i="8"/>
  <c r="C395" i="8"/>
  <c r="W394" i="8"/>
  <c r="Y394" i="8" s="1"/>
  <c r="T394" i="8"/>
  <c r="V394" i="8" s="1"/>
  <c r="R394" i="8"/>
  <c r="C394" i="8"/>
  <c r="W393" i="8"/>
  <c r="Y393" i="8" s="1"/>
  <c r="T393" i="8"/>
  <c r="V393" i="8" s="1"/>
  <c r="R393" i="8"/>
  <c r="C393" i="8"/>
  <c r="V392" i="8"/>
  <c r="W392" i="8" s="1"/>
  <c r="Y392" i="8" s="1"/>
  <c r="T392" i="8"/>
  <c r="R392" i="8"/>
  <c r="C392" i="8"/>
  <c r="Y391" i="8"/>
  <c r="W391" i="8"/>
  <c r="T391" i="8"/>
  <c r="V391" i="8" s="1"/>
  <c r="R391" i="8"/>
  <c r="C391" i="8"/>
  <c r="T390" i="8"/>
  <c r="R390" i="8"/>
  <c r="C390" i="8"/>
  <c r="T389" i="8"/>
  <c r="V389" i="8" s="1"/>
  <c r="R389" i="8"/>
  <c r="C389" i="8"/>
  <c r="V388" i="8"/>
  <c r="W388" i="8" s="1"/>
  <c r="Y388" i="8" s="1"/>
  <c r="T388" i="8"/>
  <c r="R388" i="8"/>
  <c r="C388" i="8"/>
  <c r="T387" i="8"/>
  <c r="V387" i="8" s="1"/>
  <c r="R387" i="8"/>
  <c r="C387" i="8"/>
  <c r="T386" i="8"/>
  <c r="V386" i="8" s="1"/>
  <c r="W386" i="8" s="1"/>
  <c r="Y386" i="8" s="1"/>
  <c r="R386" i="8"/>
  <c r="C386" i="8"/>
  <c r="T385" i="8"/>
  <c r="V385" i="8" s="1"/>
  <c r="R385" i="8"/>
  <c r="C385" i="8"/>
  <c r="V384" i="8"/>
  <c r="W384" i="8" s="1"/>
  <c r="Y384" i="8" s="1"/>
  <c r="T384" i="8"/>
  <c r="R384" i="8"/>
  <c r="C384" i="8"/>
  <c r="W383" i="8"/>
  <c r="Y383" i="8" s="1"/>
  <c r="T383" i="8"/>
  <c r="V383" i="8" s="1"/>
  <c r="R383" i="8"/>
  <c r="C383" i="8"/>
  <c r="T382" i="8"/>
  <c r="R382" i="8"/>
  <c r="C382" i="8"/>
  <c r="T381" i="8"/>
  <c r="V381" i="8" s="1"/>
  <c r="R381" i="8"/>
  <c r="C381" i="8"/>
  <c r="T380" i="8"/>
  <c r="V380" i="8" s="1"/>
  <c r="R380" i="8"/>
  <c r="C380" i="8"/>
  <c r="T379" i="8"/>
  <c r="V379" i="8" s="1"/>
  <c r="R379" i="8"/>
  <c r="C379" i="8"/>
  <c r="T378" i="8"/>
  <c r="V378" i="8" s="1"/>
  <c r="W378" i="8" s="1"/>
  <c r="Y378" i="8" s="1"/>
  <c r="R378" i="8"/>
  <c r="C378" i="8"/>
  <c r="T377" i="8"/>
  <c r="V377" i="8" s="1"/>
  <c r="R377" i="8"/>
  <c r="C377" i="8"/>
  <c r="V376" i="8"/>
  <c r="W376" i="8" s="1"/>
  <c r="Y376" i="8" s="1"/>
  <c r="T376" i="8"/>
  <c r="R376" i="8"/>
  <c r="C376" i="8"/>
  <c r="W375" i="8"/>
  <c r="Y375" i="8" s="1"/>
  <c r="T375" i="8"/>
  <c r="V375" i="8" s="1"/>
  <c r="R375" i="8"/>
  <c r="C375" i="8"/>
  <c r="T374" i="8"/>
  <c r="R374" i="8"/>
  <c r="C374" i="8"/>
  <c r="T373" i="8"/>
  <c r="V373" i="8" s="1"/>
  <c r="R373" i="8"/>
  <c r="C373" i="8"/>
  <c r="T372" i="8"/>
  <c r="R372" i="8"/>
  <c r="C372" i="8"/>
  <c r="T371" i="8"/>
  <c r="V371" i="8" s="1"/>
  <c r="R371" i="8"/>
  <c r="C371" i="8"/>
  <c r="W370" i="8"/>
  <c r="Y370" i="8" s="1"/>
  <c r="T370" i="8"/>
  <c r="V370" i="8" s="1"/>
  <c r="R370" i="8"/>
  <c r="C370" i="8"/>
  <c r="T369" i="8"/>
  <c r="V369" i="8" s="1"/>
  <c r="R369" i="8"/>
  <c r="C369" i="8"/>
  <c r="V368" i="8"/>
  <c r="W368" i="8" s="1"/>
  <c r="Y368" i="8" s="1"/>
  <c r="T368" i="8"/>
  <c r="R368" i="8"/>
  <c r="C368" i="8"/>
  <c r="W367" i="8"/>
  <c r="Y367" i="8" s="1"/>
  <c r="T367" i="8"/>
  <c r="V367" i="8" s="1"/>
  <c r="R367" i="8"/>
  <c r="C367" i="8"/>
  <c r="T366" i="8"/>
  <c r="R366" i="8"/>
  <c r="C366" i="8"/>
  <c r="T365" i="8"/>
  <c r="V365" i="8" s="1"/>
  <c r="R365" i="8"/>
  <c r="C365" i="8"/>
  <c r="W364" i="8"/>
  <c r="Y364" i="8" s="1"/>
  <c r="V364" i="8"/>
  <c r="T364" i="8"/>
  <c r="R364" i="8"/>
  <c r="C364" i="8"/>
  <c r="T363" i="8"/>
  <c r="V363" i="8" s="1"/>
  <c r="R363" i="8"/>
  <c r="C363" i="8"/>
  <c r="W362" i="8"/>
  <c r="Y362" i="8" s="1"/>
  <c r="T362" i="8"/>
  <c r="V362" i="8" s="1"/>
  <c r="R362" i="8"/>
  <c r="C362" i="8"/>
  <c r="W361" i="8"/>
  <c r="Y361" i="8" s="1"/>
  <c r="T361" i="8"/>
  <c r="V361" i="8" s="1"/>
  <c r="R361" i="8"/>
  <c r="C361" i="8"/>
  <c r="V360" i="8"/>
  <c r="W360" i="8" s="1"/>
  <c r="Y360" i="8" s="1"/>
  <c r="T360" i="8"/>
  <c r="R360" i="8"/>
  <c r="C360" i="8"/>
  <c r="Y359" i="8"/>
  <c r="W359" i="8"/>
  <c r="T359" i="8"/>
  <c r="V359" i="8" s="1"/>
  <c r="R359" i="8"/>
  <c r="C359" i="8"/>
  <c r="V358" i="8"/>
  <c r="T358" i="8"/>
  <c r="R358" i="8"/>
  <c r="C358" i="8"/>
  <c r="T357" i="8"/>
  <c r="V357" i="8" s="1"/>
  <c r="W357" i="8" s="1"/>
  <c r="Y357" i="8" s="1"/>
  <c r="R357" i="8"/>
  <c r="C357" i="8"/>
  <c r="W356" i="8"/>
  <c r="Y356" i="8" s="1"/>
  <c r="T356" i="8"/>
  <c r="V356" i="8" s="1"/>
  <c r="R356" i="8"/>
  <c r="C356" i="8"/>
  <c r="T355" i="8"/>
  <c r="V355" i="8" s="1"/>
  <c r="W355" i="8" s="1"/>
  <c r="Y355" i="8" s="1"/>
  <c r="R355" i="8"/>
  <c r="C355" i="8"/>
  <c r="T354" i="8"/>
  <c r="R354" i="8"/>
  <c r="C354" i="8"/>
  <c r="V353" i="8"/>
  <c r="W353" i="8" s="1"/>
  <c r="Y353" i="8" s="1"/>
  <c r="T353" i="8"/>
  <c r="R353" i="8"/>
  <c r="C353" i="8"/>
  <c r="Y352" i="8"/>
  <c r="W352" i="8"/>
  <c r="T352" i="8"/>
  <c r="V352" i="8" s="1"/>
  <c r="R352" i="8"/>
  <c r="C352" i="8"/>
  <c r="T351" i="8"/>
  <c r="R351" i="8"/>
  <c r="C351" i="8"/>
  <c r="T350" i="8"/>
  <c r="R350" i="8"/>
  <c r="C350" i="8"/>
  <c r="V349" i="8"/>
  <c r="W349" i="8" s="1"/>
  <c r="Y349" i="8" s="1"/>
  <c r="T349" i="8"/>
  <c r="R349" i="8"/>
  <c r="C349" i="8"/>
  <c r="T348" i="8"/>
  <c r="V348" i="8" s="1"/>
  <c r="W348" i="8" s="1"/>
  <c r="Y348" i="8" s="1"/>
  <c r="R348" i="8"/>
  <c r="C348" i="8"/>
  <c r="T347" i="8"/>
  <c r="R347" i="8"/>
  <c r="C347" i="8"/>
  <c r="T346" i="8"/>
  <c r="R346" i="8"/>
  <c r="C346" i="8"/>
  <c r="V345" i="8"/>
  <c r="W345" i="8" s="1"/>
  <c r="Y345" i="8" s="1"/>
  <c r="T345" i="8"/>
  <c r="R345" i="8"/>
  <c r="C345" i="8"/>
  <c r="T344" i="8"/>
  <c r="V344" i="8" s="1"/>
  <c r="W344" i="8" s="1"/>
  <c r="Y344" i="8" s="1"/>
  <c r="R344" i="8"/>
  <c r="C344" i="8"/>
  <c r="V343" i="8"/>
  <c r="T343" i="8"/>
  <c r="W343" i="8" s="1"/>
  <c r="Y343" i="8" s="1"/>
  <c r="R343" i="8"/>
  <c r="C343" i="8"/>
  <c r="T342" i="8"/>
  <c r="R342" i="8"/>
  <c r="C342" i="8"/>
  <c r="V341" i="8"/>
  <c r="W341" i="8" s="1"/>
  <c r="Y341" i="8" s="1"/>
  <c r="T341" i="8"/>
  <c r="R341" i="8"/>
  <c r="C341" i="8"/>
  <c r="W340" i="8"/>
  <c r="Y340" i="8" s="1"/>
  <c r="T340" i="8"/>
  <c r="V340" i="8" s="1"/>
  <c r="R340" i="8"/>
  <c r="C340" i="8"/>
  <c r="W339" i="8"/>
  <c r="Y339" i="8" s="1"/>
  <c r="V339" i="8"/>
  <c r="T339" i="8"/>
  <c r="R339" i="8"/>
  <c r="C339" i="8"/>
  <c r="T338" i="8"/>
  <c r="R338" i="8"/>
  <c r="C338" i="8"/>
  <c r="V337" i="8"/>
  <c r="W337" i="8" s="1"/>
  <c r="Y337" i="8" s="1"/>
  <c r="T337" i="8"/>
  <c r="R337" i="8"/>
  <c r="C337" i="8"/>
  <c r="T336" i="8"/>
  <c r="V336" i="8" s="1"/>
  <c r="W336" i="8" s="1"/>
  <c r="Y336" i="8" s="1"/>
  <c r="R336" i="8"/>
  <c r="C336" i="8"/>
  <c r="T335" i="8"/>
  <c r="R335" i="8"/>
  <c r="C335" i="8"/>
  <c r="T334" i="8"/>
  <c r="R334" i="8"/>
  <c r="C334" i="8"/>
  <c r="V333" i="8"/>
  <c r="W333" i="8" s="1"/>
  <c r="Y333" i="8" s="1"/>
  <c r="T333" i="8"/>
  <c r="R333" i="8"/>
  <c r="C333" i="8"/>
  <c r="T332" i="8"/>
  <c r="V332" i="8" s="1"/>
  <c r="W332" i="8" s="1"/>
  <c r="Y332" i="8" s="1"/>
  <c r="R332" i="8"/>
  <c r="C332" i="8"/>
  <c r="T331" i="8"/>
  <c r="R331" i="8"/>
  <c r="C331" i="8"/>
  <c r="T330" i="8"/>
  <c r="R330" i="8"/>
  <c r="C330" i="8"/>
  <c r="V329" i="8"/>
  <c r="W329" i="8" s="1"/>
  <c r="Y329" i="8" s="1"/>
  <c r="T329" i="8"/>
  <c r="R329" i="8"/>
  <c r="C329" i="8"/>
  <c r="T328" i="8"/>
  <c r="V328" i="8" s="1"/>
  <c r="W328" i="8" s="1"/>
  <c r="Y328" i="8" s="1"/>
  <c r="R328" i="8"/>
  <c r="C328" i="8"/>
  <c r="V327" i="8"/>
  <c r="W327" i="8" s="1"/>
  <c r="Y327" i="8" s="1"/>
  <c r="T327" i="8"/>
  <c r="R327" i="8"/>
  <c r="C327" i="8"/>
  <c r="T326" i="8"/>
  <c r="R326" i="8"/>
  <c r="C326" i="8"/>
  <c r="V325" i="8"/>
  <c r="W325" i="8" s="1"/>
  <c r="Y325" i="8" s="1"/>
  <c r="T325" i="8"/>
  <c r="R325" i="8"/>
  <c r="C325" i="8"/>
  <c r="W324" i="8"/>
  <c r="Y324" i="8" s="1"/>
  <c r="T324" i="8"/>
  <c r="V324" i="8" s="1"/>
  <c r="R324" i="8"/>
  <c r="C324" i="8"/>
  <c r="T323" i="8"/>
  <c r="V323" i="8" s="1"/>
  <c r="W323" i="8" s="1"/>
  <c r="Y323" i="8" s="1"/>
  <c r="R323" i="8"/>
  <c r="C323" i="8"/>
  <c r="T322" i="8"/>
  <c r="R322" i="8"/>
  <c r="C322" i="8"/>
  <c r="V321" i="8"/>
  <c r="W321" i="8" s="1"/>
  <c r="Y321" i="8" s="1"/>
  <c r="T321" i="8"/>
  <c r="R321" i="8"/>
  <c r="C321" i="8"/>
  <c r="Y320" i="8"/>
  <c r="W320" i="8"/>
  <c r="T320" i="8"/>
  <c r="V320" i="8" s="1"/>
  <c r="R320" i="8"/>
  <c r="C320" i="8"/>
  <c r="T319" i="8"/>
  <c r="R319" i="8"/>
  <c r="C319" i="8"/>
  <c r="T318" i="8"/>
  <c r="R318" i="8"/>
  <c r="C318" i="8"/>
  <c r="V317" i="8"/>
  <c r="W317" i="8" s="1"/>
  <c r="Y317" i="8" s="1"/>
  <c r="T317" i="8"/>
  <c r="R317" i="8"/>
  <c r="C317" i="8"/>
  <c r="T316" i="8"/>
  <c r="V316" i="8" s="1"/>
  <c r="W316" i="8" s="1"/>
  <c r="Y316" i="8" s="1"/>
  <c r="R316" i="8"/>
  <c r="C316" i="8"/>
  <c r="T315" i="8"/>
  <c r="R315" i="8"/>
  <c r="C315" i="8"/>
  <c r="T314" i="8"/>
  <c r="R314" i="8"/>
  <c r="C314" i="8"/>
  <c r="V313" i="8"/>
  <c r="W313" i="8" s="1"/>
  <c r="Y313" i="8" s="1"/>
  <c r="T313" i="8"/>
  <c r="R313" i="8"/>
  <c r="C313" i="8"/>
  <c r="T312" i="8"/>
  <c r="V312" i="8" s="1"/>
  <c r="W312" i="8" s="1"/>
  <c r="Y312" i="8" s="1"/>
  <c r="R312" i="8"/>
  <c r="C312" i="8"/>
  <c r="V311" i="8"/>
  <c r="T311" i="8"/>
  <c r="W311" i="8" s="1"/>
  <c r="Y311" i="8" s="1"/>
  <c r="R311" i="8"/>
  <c r="C311" i="8"/>
  <c r="T310" i="8"/>
  <c r="R310" i="8"/>
  <c r="C310" i="8"/>
  <c r="V309" i="8"/>
  <c r="W309" i="8" s="1"/>
  <c r="Y309" i="8" s="1"/>
  <c r="T309" i="8"/>
  <c r="R309" i="8"/>
  <c r="C309" i="8"/>
  <c r="W308" i="8"/>
  <c r="Y308" i="8" s="1"/>
  <c r="T308" i="8"/>
  <c r="V308" i="8" s="1"/>
  <c r="R308" i="8"/>
  <c r="C308" i="8"/>
  <c r="W307" i="8"/>
  <c r="Y307" i="8" s="1"/>
  <c r="V307" i="8"/>
  <c r="T307" i="8"/>
  <c r="R307" i="8"/>
  <c r="C307" i="8"/>
  <c r="T306" i="8"/>
  <c r="R306" i="8"/>
  <c r="C306" i="8"/>
  <c r="V305" i="8"/>
  <c r="W305" i="8" s="1"/>
  <c r="Y305" i="8" s="1"/>
  <c r="T305" i="8"/>
  <c r="R305" i="8"/>
  <c r="C305" i="8"/>
  <c r="T304" i="8"/>
  <c r="V304" i="8" s="1"/>
  <c r="W304" i="8" s="1"/>
  <c r="Y304" i="8" s="1"/>
  <c r="R304" i="8"/>
  <c r="C304" i="8"/>
  <c r="T303" i="8"/>
  <c r="R303" i="8"/>
  <c r="C303" i="8"/>
  <c r="T302" i="8"/>
  <c r="R302" i="8"/>
  <c r="C302" i="8"/>
  <c r="W301" i="8"/>
  <c r="Y301" i="8" s="1"/>
  <c r="V301" i="8"/>
  <c r="T301" i="8"/>
  <c r="R301" i="8"/>
  <c r="C301" i="8"/>
  <c r="T300" i="8"/>
  <c r="V300" i="8" s="1"/>
  <c r="W300" i="8" s="1"/>
  <c r="Y300" i="8" s="1"/>
  <c r="R300" i="8"/>
  <c r="C300" i="8"/>
  <c r="V299" i="8"/>
  <c r="W299" i="8" s="1"/>
  <c r="Y299" i="8" s="1"/>
  <c r="T299" i="8"/>
  <c r="R299" i="8"/>
  <c r="C299" i="8"/>
  <c r="T298" i="8"/>
  <c r="R298" i="8"/>
  <c r="C298" i="8"/>
  <c r="W297" i="8"/>
  <c r="Y297" i="8" s="1"/>
  <c r="V297" i="8"/>
  <c r="T297" i="8"/>
  <c r="R297" i="8"/>
  <c r="C297" i="8"/>
  <c r="Y296" i="8"/>
  <c r="W296" i="8"/>
  <c r="T296" i="8"/>
  <c r="V296" i="8" s="1"/>
  <c r="R296" i="8"/>
  <c r="C296" i="8"/>
  <c r="T295" i="8"/>
  <c r="R295" i="8"/>
  <c r="C295" i="8"/>
  <c r="T294" i="8"/>
  <c r="R294" i="8"/>
  <c r="C294" i="8"/>
  <c r="W293" i="8"/>
  <c r="Y293" i="8" s="1"/>
  <c r="V293" i="8"/>
  <c r="T293" i="8"/>
  <c r="R293" i="8"/>
  <c r="C293" i="8"/>
  <c r="T292" i="8"/>
  <c r="V292" i="8" s="1"/>
  <c r="W292" i="8" s="1"/>
  <c r="Y292" i="8" s="1"/>
  <c r="R292" i="8"/>
  <c r="C292" i="8"/>
  <c r="V291" i="8"/>
  <c r="T291" i="8"/>
  <c r="W291" i="8" s="1"/>
  <c r="Y291" i="8" s="1"/>
  <c r="R291" i="8"/>
  <c r="C291" i="8"/>
  <c r="T290" i="8"/>
  <c r="R290" i="8"/>
  <c r="C290" i="8"/>
  <c r="W289" i="8"/>
  <c r="Y289" i="8" s="1"/>
  <c r="V289" i="8"/>
  <c r="T289" i="8"/>
  <c r="R289" i="8"/>
  <c r="C289" i="8"/>
  <c r="T288" i="8"/>
  <c r="V288" i="8" s="1"/>
  <c r="W288" i="8" s="1"/>
  <c r="Y288" i="8" s="1"/>
  <c r="R288" i="8"/>
  <c r="C288" i="8"/>
  <c r="T287" i="8"/>
  <c r="R287" i="8"/>
  <c r="C287" i="8"/>
  <c r="T286" i="8"/>
  <c r="R286" i="8"/>
  <c r="C286" i="8"/>
  <c r="W285" i="8"/>
  <c r="Y285" i="8" s="1"/>
  <c r="V285" i="8"/>
  <c r="T285" i="8"/>
  <c r="R285" i="8"/>
  <c r="C285" i="8"/>
  <c r="T284" i="8"/>
  <c r="V284" i="8" s="1"/>
  <c r="W284" i="8" s="1"/>
  <c r="Y284" i="8" s="1"/>
  <c r="R284" i="8"/>
  <c r="C284" i="8"/>
  <c r="V283" i="8"/>
  <c r="W283" i="8" s="1"/>
  <c r="Y283" i="8" s="1"/>
  <c r="T283" i="8"/>
  <c r="R283" i="8"/>
  <c r="C283" i="8"/>
  <c r="T282" i="8"/>
  <c r="R282" i="8"/>
  <c r="C282" i="8"/>
  <c r="T281" i="8"/>
  <c r="V281" i="8" s="1"/>
  <c r="W281" i="8" s="1"/>
  <c r="Y281" i="8" s="1"/>
  <c r="R281" i="8"/>
  <c r="C281" i="8"/>
  <c r="T280" i="8"/>
  <c r="V280" i="8" s="1"/>
  <c r="W280" i="8" s="1"/>
  <c r="Y280" i="8" s="1"/>
  <c r="R280" i="8"/>
  <c r="C280" i="8"/>
  <c r="V279" i="8"/>
  <c r="W279" i="8" s="1"/>
  <c r="Y279" i="8" s="1"/>
  <c r="T279" i="8"/>
  <c r="R279" i="8"/>
  <c r="C279" i="8"/>
  <c r="T278" i="8"/>
  <c r="R278" i="8"/>
  <c r="C278" i="8"/>
  <c r="T277" i="8"/>
  <c r="V277" i="8" s="1"/>
  <c r="W277" i="8" s="1"/>
  <c r="Y277" i="8" s="1"/>
  <c r="R277" i="8"/>
  <c r="C277" i="8"/>
  <c r="T276" i="8"/>
  <c r="V276" i="8" s="1"/>
  <c r="W276" i="8" s="1"/>
  <c r="Y276" i="8" s="1"/>
  <c r="R276" i="8"/>
  <c r="C276" i="8"/>
  <c r="V275" i="8"/>
  <c r="W275" i="8" s="1"/>
  <c r="Y275" i="8" s="1"/>
  <c r="T275" i="8"/>
  <c r="R275" i="8"/>
  <c r="C275" i="8"/>
  <c r="T274" i="8"/>
  <c r="R274" i="8"/>
  <c r="C274" i="8"/>
  <c r="T273" i="8"/>
  <c r="V273" i="8" s="1"/>
  <c r="W273" i="8" s="1"/>
  <c r="Y273" i="8" s="1"/>
  <c r="R273" i="8"/>
  <c r="C273" i="8"/>
  <c r="T272" i="8"/>
  <c r="V272" i="8" s="1"/>
  <c r="W272" i="8" s="1"/>
  <c r="Y272" i="8" s="1"/>
  <c r="R272" i="8"/>
  <c r="C272" i="8"/>
  <c r="V271" i="8"/>
  <c r="W271" i="8" s="1"/>
  <c r="Y271" i="8" s="1"/>
  <c r="T271" i="8"/>
  <c r="R271" i="8"/>
  <c r="C271" i="8"/>
  <c r="T270" i="8"/>
  <c r="R270" i="8"/>
  <c r="C270" i="8"/>
  <c r="T269" i="8"/>
  <c r="V269" i="8" s="1"/>
  <c r="W269" i="8" s="1"/>
  <c r="Y269" i="8" s="1"/>
  <c r="R269" i="8"/>
  <c r="C269" i="8"/>
  <c r="T268" i="8"/>
  <c r="V268" i="8" s="1"/>
  <c r="W268" i="8" s="1"/>
  <c r="Y268" i="8" s="1"/>
  <c r="R268" i="8"/>
  <c r="C268" i="8"/>
  <c r="V267" i="8"/>
  <c r="W267" i="8" s="1"/>
  <c r="Y267" i="8" s="1"/>
  <c r="T267" i="8"/>
  <c r="R267" i="8"/>
  <c r="C267" i="8"/>
  <c r="T266" i="8"/>
  <c r="R266" i="8"/>
  <c r="C266" i="8"/>
  <c r="T265" i="8"/>
  <c r="V265" i="8" s="1"/>
  <c r="W265" i="8" s="1"/>
  <c r="Y265" i="8" s="1"/>
  <c r="R265" i="8"/>
  <c r="C265" i="8"/>
  <c r="T264" i="8"/>
  <c r="V264" i="8" s="1"/>
  <c r="W264" i="8" s="1"/>
  <c r="Y264" i="8" s="1"/>
  <c r="R264" i="8"/>
  <c r="C264" i="8"/>
  <c r="V263" i="8"/>
  <c r="W263" i="8" s="1"/>
  <c r="Y263" i="8" s="1"/>
  <c r="T263" i="8"/>
  <c r="R263" i="8"/>
  <c r="C263" i="8"/>
  <c r="T262" i="8"/>
  <c r="R262" i="8"/>
  <c r="C262" i="8"/>
  <c r="T261" i="8"/>
  <c r="V261" i="8" s="1"/>
  <c r="W261" i="8" s="1"/>
  <c r="Y261" i="8" s="1"/>
  <c r="R261" i="8"/>
  <c r="C261" i="8"/>
  <c r="T260" i="8"/>
  <c r="V260" i="8" s="1"/>
  <c r="W260" i="8" s="1"/>
  <c r="Y260" i="8" s="1"/>
  <c r="R260" i="8"/>
  <c r="C260" i="8"/>
  <c r="V259" i="8"/>
  <c r="W259" i="8" s="1"/>
  <c r="Y259" i="8" s="1"/>
  <c r="T259" i="8"/>
  <c r="R259" i="8"/>
  <c r="C259" i="8"/>
  <c r="T258" i="8"/>
  <c r="R258" i="8"/>
  <c r="C258" i="8"/>
  <c r="T257" i="8"/>
  <c r="V257" i="8" s="1"/>
  <c r="W257" i="8" s="1"/>
  <c r="Y257" i="8" s="1"/>
  <c r="R257" i="8"/>
  <c r="C257" i="8"/>
  <c r="T256" i="8"/>
  <c r="V256" i="8" s="1"/>
  <c r="W256" i="8" s="1"/>
  <c r="Y256" i="8" s="1"/>
  <c r="R256" i="8"/>
  <c r="C256" i="8"/>
  <c r="V255" i="8"/>
  <c r="W255" i="8" s="1"/>
  <c r="Y255" i="8" s="1"/>
  <c r="T255" i="8"/>
  <c r="R255" i="8"/>
  <c r="C255" i="8"/>
  <c r="T254" i="8"/>
  <c r="R254" i="8"/>
  <c r="C254" i="8"/>
  <c r="T253" i="8"/>
  <c r="V253" i="8" s="1"/>
  <c r="W253" i="8" s="1"/>
  <c r="Y253" i="8" s="1"/>
  <c r="R253" i="8"/>
  <c r="C253" i="8"/>
  <c r="T252" i="8"/>
  <c r="V252" i="8" s="1"/>
  <c r="W252" i="8" s="1"/>
  <c r="Y252" i="8" s="1"/>
  <c r="R252" i="8"/>
  <c r="C252" i="8"/>
  <c r="V251" i="8"/>
  <c r="W251" i="8" s="1"/>
  <c r="Y251" i="8" s="1"/>
  <c r="T251" i="8"/>
  <c r="R251" i="8"/>
  <c r="C251" i="8"/>
  <c r="T250" i="8"/>
  <c r="R250" i="8"/>
  <c r="C250" i="8"/>
  <c r="T249" i="8"/>
  <c r="V249" i="8" s="1"/>
  <c r="W249" i="8" s="1"/>
  <c r="Y249" i="8" s="1"/>
  <c r="R249" i="8"/>
  <c r="C249" i="8"/>
  <c r="T248" i="8"/>
  <c r="V248" i="8" s="1"/>
  <c r="R248" i="8"/>
  <c r="C248" i="8"/>
  <c r="V247" i="8"/>
  <c r="W247" i="8" s="1"/>
  <c r="Y247" i="8" s="1"/>
  <c r="T247" i="8"/>
  <c r="R247" i="8"/>
  <c r="C247" i="8"/>
  <c r="T246" i="8"/>
  <c r="R246" i="8"/>
  <c r="C246" i="8"/>
  <c r="T245" i="8"/>
  <c r="V245" i="8" s="1"/>
  <c r="W245" i="8" s="1"/>
  <c r="Y245" i="8" s="1"/>
  <c r="R245" i="8"/>
  <c r="C245" i="8"/>
  <c r="W244" i="8"/>
  <c r="Y244" i="8" s="1"/>
  <c r="T244" i="8"/>
  <c r="V244" i="8" s="1"/>
  <c r="R244" i="8"/>
  <c r="C244" i="8"/>
  <c r="W243" i="8"/>
  <c r="Y243" i="8" s="1"/>
  <c r="V243" i="8"/>
  <c r="T243" i="8"/>
  <c r="R243" i="8"/>
  <c r="C243" i="8"/>
  <c r="T242" i="8"/>
  <c r="R242" i="8"/>
  <c r="C242" i="8"/>
  <c r="W241" i="8"/>
  <c r="Y241" i="8" s="1"/>
  <c r="T241" i="8"/>
  <c r="V241" i="8" s="1"/>
  <c r="R241" i="8"/>
  <c r="C241" i="8"/>
  <c r="T240" i="8"/>
  <c r="V240" i="8" s="1"/>
  <c r="R240" i="8"/>
  <c r="C240" i="8"/>
  <c r="T239" i="8"/>
  <c r="R239" i="8"/>
  <c r="C239" i="8"/>
  <c r="T238" i="8"/>
  <c r="R238" i="8"/>
  <c r="C238" i="8"/>
  <c r="W237" i="8"/>
  <c r="Y237" i="8" s="1"/>
  <c r="T237" i="8"/>
  <c r="V237" i="8" s="1"/>
  <c r="R237" i="8"/>
  <c r="C237" i="8"/>
  <c r="T236" i="8"/>
  <c r="V236" i="8" s="1"/>
  <c r="R236" i="8"/>
  <c r="C236" i="8"/>
  <c r="T235" i="8"/>
  <c r="R235" i="8"/>
  <c r="C235" i="8"/>
  <c r="T234" i="8"/>
  <c r="V234" i="8" s="1"/>
  <c r="R234" i="8"/>
  <c r="C234" i="8"/>
  <c r="T233" i="8"/>
  <c r="V233" i="8" s="1"/>
  <c r="R233" i="8"/>
  <c r="C233" i="8"/>
  <c r="W232" i="8"/>
  <c r="Y232" i="8" s="1"/>
  <c r="T232" i="8"/>
  <c r="V232" i="8" s="1"/>
  <c r="R232" i="8"/>
  <c r="C232" i="8"/>
  <c r="T231" i="8"/>
  <c r="R231" i="8"/>
  <c r="C231" i="8"/>
  <c r="T230" i="8"/>
  <c r="V230" i="8" s="1"/>
  <c r="R230" i="8"/>
  <c r="C230" i="8"/>
  <c r="T229" i="8"/>
  <c r="V229" i="8" s="1"/>
  <c r="R229" i="8"/>
  <c r="C229" i="8"/>
  <c r="T228" i="8"/>
  <c r="V228" i="8" s="1"/>
  <c r="R228" i="8"/>
  <c r="C228" i="8"/>
  <c r="T227" i="8"/>
  <c r="V227" i="8" s="1"/>
  <c r="R227" i="8"/>
  <c r="C227" i="8"/>
  <c r="T226" i="8"/>
  <c r="V226" i="8" s="1"/>
  <c r="R226" i="8"/>
  <c r="C226" i="8"/>
  <c r="T225" i="8"/>
  <c r="V225" i="8" s="1"/>
  <c r="R225" i="8"/>
  <c r="C225" i="8"/>
  <c r="W224" i="8"/>
  <c r="Y224" i="8" s="1"/>
  <c r="T224" i="8"/>
  <c r="V224" i="8" s="1"/>
  <c r="R224" i="8"/>
  <c r="C224" i="8"/>
  <c r="T223" i="8"/>
  <c r="V223" i="8" s="1"/>
  <c r="W223" i="8" s="1"/>
  <c r="Y223" i="8" s="1"/>
  <c r="R223" i="8"/>
  <c r="C223" i="8"/>
  <c r="T222" i="8"/>
  <c r="V222" i="8" s="1"/>
  <c r="R222" i="8"/>
  <c r="C222" i="8"/>
  <c r="T221" i="8"/>
  <c r="V221" i="8" s="1"/>
  <c r="R221" i="8"/>
  <c r="C221" i="8"/>
  <c r="T220" i="8"/>
  <c r="V220" i="8" s="1"/>
  <c r="R220" i="8"/>
  <c r="C220" i="8"/>
  <c r="T219" i="8"/>
  <c r="R219" i="8"/>
  <c r="C219" i="8"/>
  <c r="T218" i="8"/>
  <c r="V218" i="8" s="1"/>
  <c r="R218" i="8"/>
  <c r="C218" i="8"/>
  <c r="T217" i="8"/>
  <c r="V217" i="8" s="1"/>
  <c r="R217" i="8"/>
  <c r="C217" i="8"/>
  <c r="W216" i="8"/>
  <c r="Y216" i="8" s="1"/>
  <c r="T216" i="8"/>
  <c r="V216" i="8" s="1"/>
  <c r="R216" i="8"/>
  <c r="C216" i="8"/>
  <c r="T215" i="8"/>
  <c r="R215" i="8"/>
  <c r="C215" i="8"/>
  <c r="T214" i="8"/>
  <c r="V214" i="8" s="1"/>
  <c r="R214" i="8"/>
  <c r="C214" i="8"/>
  <c r="T213" i="8"/>
  <c r="V213" i="8" s="1"/>
  <c r="R213" i="8"/>
  <c r="C213" i="8"/>
  <c r="T212" i="8"/>
  <c r="V212" i="8" s="1"/>
  <c r="R212" i="8"/>
  <c r="C212" i="8"/>
  <c r="T211" i="8"/>
  <c r="V211" i="8" s="1"/>
  <c r="R211" i="8"/>
  <c r="C211" i="8"/>
  <c r="T210" i="8"/>
  <c r="V210" i="8" s="1"/>
  <c r="R210" i="8"/>
  <c r="C210" i="8"/>
  <c r="T209" i="8"/>
  <c r="V209" i="8" s="1"/>
  <c r="R209" i="8"/>
  <c r="C209" i="8"/>
  <c r="W208" i="8"/>
  <c r="Y208" i="8" s="1"/>
  <c r="T208" i="8"/>
  <c r="V208" i="8" s="1"/>
  <c r="R208" i="8"/>
  <c r="C208" i="8"/>
  <c r="T207" i="8"/>
  <c r="V207" i="8" s="1"/>
  <c r="W207" i="8" s="1"/>
  <c r="Y207" i="8" s="1"/>
  <c r="R207" i="8"/>
  <c r="C207" i="8"/>
  <c r="T206" i="8"/>
  <c r="V206" i="8" s="1"/>
  <c r="R206" i="8"/>
  <c r="C206" i="8"/>
  <c r="T205" i="8"/>
  <c r="V205" i="8" s="1"/>
  <c r="R205" i="8"/>
  <c r="C205" i="8"/>
  <c r="T204" i="8"/>
  <c r="V204" i="8" s="1"/>
  <c r="R204" i="8"/>
  <c r="C204" i="8"/>
  <c r="T203" i="8"/>
  <c r="R203" i="8"/>
  <c r="C203" i="8"/>
  <c r="T202" i="8"/>
  <c r="V202" i="8" s="1"/>
  <c r="R202" i="8"/>
  <c r="C202" i="8"/>
  <c r="T201" i="8"/>
  <c r="V201" i="8" s="1"/>
  <c r="R201" i="8"/>
  <c r="C201" i="8"/>
  <c r="W200" i="8"/>
  <c r="Y200" i="8" s="1"/>
  <c r="T200" i="8"/>
  <c r="V200" i="8" s="1"/>
  <c r="R200" i="8"/>
  <c r="C200" i="8"/>
  <c r="T199" i="8"/>
  <c r="R199" i="8"/>
  <c r="C199" i="8"/>
  <c r="T198" i="8"/>
  <c r="V198" i="8" s="1"/>
  <c r="R198" i="8"/>
  <c r="C198" i="8"/>
  <c r="T197" i="8"/>
  <c r="V197" i="8" s="1"/>
  <c r="R197" i="8"/>
  <c r="C197" i="8"/>
  <c r="W196" i="8"/>
  <c r="Y196" i="8" s="1"/>
  <c r="T196" i="8"/>
  <c r="V196" i="8" s="1"/>
  <c r="R196" i="8"/>
  <c r="C196" i="8"/>
  <c r="T195" i="8"/>
  <c r="V195" i="8" s="1"/>
  <c r="R195" i="8"/>
  <c r="C195" i="8"/>
  <c r="T194" i="8"/>
  <c r="V194" i="8" s="1"/>
  <c r="R194" i="8"/>
  <c r="C194" i="8"/>
  <c r="T193" i="8"/>
  <c r="V193" i="8" s="1"/>
  <c r="R193" i="8"/>
  <c r="C193" i="8"/>
  <c r="W192" i="8"/>
  <c r="Y192" i="8" s="1"/>
  <c r="T192" i="8"/>
  <c r="V192" i="8" s="1"/>
  <c r="R192" i="8"/>
  <c r="C192" i="8"/>
  <c r="T191" i="8"/>
  <c r="V191" i="8" s="1"/>
  <c r="W191" i="8" s="1"/>
  <c r="Y191" i="8" s="1"/>
  <c r="R191" i="8"/>
  <c r="C191" i="8"/>
  <c r="T190" i="8"/>
  <c r="V190" i="8" s="1"/>
  <c r="R190" i="8"/>
  <c r="C190" i="8"/>
  <c r="T189" i="8"/>
  <c r="V189" i="8" s="1"/>
  <c r="R189" i="8"/>
  <c r="C189" i="8"/>
  <c r="T188" i="8"/>
  <c r="V188" i="8" s="1"/>
  <c r="R188" i="8"/>
  <c r="C188" i="8"/>
  <c r="T187" i="8"/>
  <c r="R187" i="8"/>
  <c r="C187" i="8"/>
  <c r="T186" i="8"/>
  <c r="V186" i="8" s="1"/>
  <c r="R186" i="8"/>
  <c r="C186" i="8"/>
  <c r="T185" i="8"/>
  <c r="V185" i="8" s="1"/>
  <c r="R185" i="8"/>
  <c r="C185" i="8"/>
  <c r="W184" i="8"/>
  <c r="Y184" i="8" s="1"/>
  <c r="T184" i="8"/>
  <c r="V184" i="8" s="1"/>
  <c r="R184" i="8"/>
  <c r="C184" i="8"/>
  <c r="T183" i="8"/>
  <c r="R183" i="8"/>
  <c r="C183" i="8"/>
  <c r="T182" i="8"/>
  <c r="V182" i="8" s="1"/>
  <c r="R182" i="8"/>
  <c r="C182" i="8"/>
  <c r="T181" i="8"/>
  <c r="V181" i="8" s="1"/>
  <c r="R181" i="8"/>
  <c r="C181" i="8"/>
  <c r="W180" i="8"/>
  <c r="Y180" i="8" s="1"/>
  <c r="T180" i="8"/>
  <c r="V180" i="8" s="1"/>
  <c r="R180" i="8"/>
  <c r="C180" i="8"/>
  <c r="T179" i="8"/>
  <c r="V179" i="8" s="1"/>
  <c r="R179" i="8"/>
  <c r="C179" i="8"/>
  <c r="T178" i="8"/>
  <c r="V178" i="8" s="1"/>
  <c r="R178" i="8"/>
  <c r="C178" i="8"/>
  <c r="T177" i="8"/>
  <c r="V177" i="8" s="1"/>
  <c r="R177" i="8"/>
  <c r="C177" i="8"/>
  <c r="W176" i="8"/>
  <c r="Y176" i="8" s="1"/>
  <c r="T176" i="8"/>
  <c r="V176" i="8" s="1"/>
  <c r="R176" i="8"/>
  <c r="C176" i="8"/>
  <c r="T175" i="8"/>
  <c r="V175" i="8" s="1"/>
  <c r="W175" i="8" s="1"/>
  <c r="Y175" i="8" s="1"/>
  <c r="R175" i="8"/>
  <c r="C175" i="8"/>
  <c r="T174" i="8"/>
  <c r="V174" i="8" s="1"/>
  <c r="R174" i="8"/>
  <c r="C174" i="8"/>
  <c r="T173" i="8"/>
  <c r="V173" i="8" s="1"/>
  <c r="R173" i="8"/>
  <c r="C173" i="8"/>
  <c r="T172" i="8"/>
  <c r="V172" i="8" s="1"/>
  <c r="R172" i="8"/>
  <c r="C172" i="8"/>
  <c r="T171" i="8"/>
  <c r="R171" i="8"/>
  <c r="C171" i="8"/>
  <c r="T170" i="8"/>
  <c r="V170" i="8" s="1"/>
  <c r="R170" i="8"/>
  <c r="C170" i="8"/>
  <c r="T169" i="8"/>
  <c r="V169" i="8" s="1"/>
  <c r="R169" i="8"/>
  <c r="C169" i="8"/>
  <c r="W168" i="8"/>
  <c r="Y168" i="8" s="1"/>
  <c r="T168" i="8"/>
  <c r="V168" i="8" s="1"/>
  <c r="R168" i="8"/>
  <c r="C168" i="8"/>
  <c r="T167" i="8"/>
  <c r="R167" i="8"/>
  <c r="C167" i="8"/>
  <c r="T166" i="8"/>
  <c r="V166" i="8" s="1"/>
  <c r="R166" i="8"/>
  <c r="C166" i="8"/>
  <c r="T165" i="8"/>
  <c r="V165" i="8" s="1"/>
  <c r="R165" i="8"/>
  <c r="C165" i="8"/>
  <c r="W164" i="8"/>
  <c r="Y164" i="8" s="1"/>
  <c r="T164" i="8"/>
  <c r="V164" i="8" s="1"/>
  <c r="R164" i="8"/>
  <c r="C164" i="8"/>
  <c r="T163" i="8"/>
  <c r="V163" i="8" s="1"/>
  <c r="R163" i="8"/>
  <c r="C163" i="8"/>
  <c r="T162" i="8"/>
  <c r="V162" i="8" s="1"/>
  <c r="R162" i="8"/>
  <c r="C162" i="8"/>
  <c r="T161" i="8"/>
  <c r="V161" i="8" s="1"/>
  <c r="R161" i="8"/>
  <c r="C161" i="8"/>
  <c r="W160" i="8"/>
  <c r="Y160" i="8" s="1"/>
  <c r="T160" i="8"/>
  <c r="V160" i="8" s="1"/>
  <c r="R160" i="8"/>
  <c r="C160" i="8"/>
  <c r="T159" i="8"/>
  <c r="V159" i="8" s="1"/>
  <c r="W159" i="8" s="1"/>
  <c r="Y159" i="8" s="1"/>
  <c r="R159" i="8"/>
  <c r="C159" i="8"/>
  <c r="T158" i="8"/>
  <c r="V158" i="8" s="1"/>
  <c r="R158" i="8"/>
  <c r="C158" i="8"/>
  <c r="T157" i="8"/>
  <c r="V157" i="8" s="1"/>
  <c r="R157" i="8"/>
  <c r="C157" i="8"/>
  <c r="T156" i="8"/>
  <c r="V156" i="8" s="1"/>
  <c r="R156" i="8"/>
  <c r="C156" i="8"/>
  <c r="T155" i="8"/>
  <c r="R155" i="8"/>
  <c r="C155" i="8"/>
  <c r="T154" i="8"/>
  <c r="V154" i="8" s="1"/>
  <c r="R154" i="8"/>
  <c r="C154" i="8"/>
  <c r="T153" i="8"/>
  <c r="V153" i="8" s="1"/>
  <c r="R153" i="8"/>
  <c r="C153" i="8"/>
  <c r="W152" i="8"/>
  <c r="Y152" i="8" s="1"/>
  <c r="T152" i="8"/>
  <c r="V152" i="8" s="1"/>
  <c r="R152" i="8"/>
  <c r="C152" i="8"/>
  <c r="T151" i="8"/>
  <c r="R151" i="8"/>
  <c r="C151" i="8"/>
  <c r="T150" i="8"/>
  <c r="V150" i="8" s="1"/>
  <c r="R150" i="8"/>
  <c r="C150" i="8"/>
  <c r="T149" i="8"/>
  <c r="V149" i="8" s="1"/>
  <c r="R149" i="8"/>
  <c r="C149" i="8"/>
  <c r="W148" i="8"/>
  <c r="Y148" i="8" s="1"/>
  <c r="T148" i="8"/>
  <c r="V148" i="8" s="1"/>
  <c r="R148" i="8"/>
  <c r="C148" i="8"/>
  <c r="T147" i="8"/>
  <c r="V147" i="8" s="1"/>
  <c r="R147" i="8"/>
  <c r="C147" i="8"/>
  <c r="T146" i="8"/>
  <c r="V146" i="8" s="1"/>
  <c r="R146" i="8"/>
  <c r="C146" i="8"/>
  <c r="T145" i="8"/>
  <c r="V145" i="8" s="1"/>
  <c r="R145" i="8"/>
  <c r="C145" i="8"/>
  <c r="W144" i="8"/>
  <c r="Y144" i="8" s="1"/>
  <c r="T144" i="8"/>
  <c r="V144" i="8" s="1"/>
  <c r="R144" i="8"/>
  <c r="C144" i="8"/>
  <c r="T143" i="8"/>
  <c r="V143" i="8" s="1"/>
  <c r="W143" i="8" s="1"/>
  <c r="Y143" i="8" s="1"/>
  <c r="R143" i="8"/>
  <c r="C143" i="8"/>
  <c r="T142" i="8"/>
  <c r="V142" i="8" s="1"/>
  <c r="R142" i="8"/>
  <c r="C142" i="8"/>
  <c r="V141" i="8"/>
  <c r="T141" i="8"/>
  <c r="W141" i="8" s="1"/>
  <c r="Y141" i="8" s="1"/>
  <c r="R141" i="8"/>
  <c r="C141" i="8"/>
  <c r="T140" i="8"/>
  <c r="V140" i="8" s="1"/>
  <c r="R140" i="8"/>
  <c r="C140" i="8"/>
  <c r="V139" i="8"/>
  <c r="T139" i="8"/>
  <c r="W139" i="8" s="1"/>
  <c r="Y139" i="8" s="1"/>
  <c r="R139" i="8"/>
  <c r="C139" i="8"/>
  <c r="T138" i="8"/>
  <c r="V138" i="8" s="1"/>
  <c r="R138" i="8"/>
  <c r="C138" i="8"/>
  <c r="T137" i="8"/>
  <c r="R137" i="8"/>
  <c r="C137" i="8"/>
  <c r="T136" i="8"/>
  <c r="V136" i="8" s="1"/>
  <c r="R136" i="8"/>
  <c r="C136" i="8"/>
  <c r="V135" i="8"/>
  <c r="W135" i="8" s="1"/>
  <c r="Y135" i="8" s="1"/>
  <c r="T135" i="8"/>
  <c r="R135" i="8"/>
  <c r="C135" i="8"/>
  <c r="T134" i="8"/>
  <c r="V134" i="8" s="1"/>
  <c r="R134" i="8"/>
  <c r="C134" i="8"/>
  <c r="V133" i="8"/>
  <c r="T133" i="8"/>
  <c r="W133" i="8" s="1"/>
  <c r="Y133" i="8" s="1"/>
  <c r="R133" i="8"/>
  <c r="C133" i="8"/>
  <c r="T132" i="8"/>
  <c r="V132" i="8" s="1"/>
  <c r="R132" i="8"/>
  <c r="C132" i="8"/>
  <c r="V131" i="8"/>
  <c r="T131" i="8"/>
  <c r="W131" i="8" s="1"/>
  <c r="Y131" i="8" s="1"/>
  <c r="R131" i="8"/>
  <c r="C131" i="8"/>
  <c r="T130" i="8"/>
  <c r="V130" i="8" s="1"/>
  <c r="R130" i="8"/>
  <c r="C130" i="8"/>
  <c r="T129" i="8"/>
  <c r="R129" i="8"/>
  <c r="C129" i="8"/>
  <c r="T128" i="8"/>
  <c r="V128" i="8" s="1"/>
  <c r="R128" i="8"/>
  <c r="C128" i="8"/>
  <c r="V127" i="8"/>
  <c r="W127" i="8" s="1"/>
  <c r="Y127" i="8" s="1"/>
  <c r="T127" i="8"/>
  <c r="R127" i="8"/>
  <c r="C127" i="8"/>
  <c r="T126" i="8"/>
  <c r="V126" i="8" s="1"/>
  <c r="R126" i="8"/>
  <c r="C126" i="8"/>
  <c r="V125" i="8"/>
  <c r="T125" i="8"/>
  <c r="W125" i="8" s="1"/>
  <c r="Y125" i="8" s="1"/>
  <c r="R125" i="8"/>
  <c r="C125" i="8"/>
  <c r="T124" i="8"/>
  <c r="V124" i="8" s="1"/>
  <c r="R124" i="8"/>
  <c r="C124" i="8"/>
  <c r="V123" i="8"/>
  <c r="T123" i="8"/>
  <c r="W123" i="8" s="1"/>
  <c r="Y123" i="8" s="1"/>
  <c r="R123" i="8"/>
  <c r="C123" i="8"/>
  <c r="T122" i="8"/>
  <c r="V122" i="8" s="1"/>
  <c r="R122" i="8"/>
  <c r="C122" i="8"/>
  <c r="T121" i="8"/>
  <c r="R121" i="8"/>
  <c r="C121" i="8"/>
  <c r="T120" i="8"/>
  <c r="V120" i="8" s="1"/>
  <c r="R120" i="8"/>
  <c r="C120" i="8"/>
  <c r="V119" i="8"/>
  <c r="W119" i="8" s="1"/>
  <c r="Y119" i="8" s="1"/>
  <c r="T119" i="8"/>
  <c r="R119" i="8"/>
  <c r="C119" i="8"/>
  <c r="T118" i="8"/>
  <c r="V118" i="8" s="1"/>
  <c r="R118" i="8"/>
  <c r="C118" i="8"/>
  <c r="V117" i="8"/>
  <c r="T117" i="8"/>
  <c r="W117" i="8" s="1"/>
  <c r="Y117" i="8" s="1"/>
  <c r="R117" i="8"/>
  <c r="C117" i="8"/>
  <c r="T116" i="8"/>
  <c r="V116" i="8" s="1"/>
  <c r="R116" i="8"/>
  <c r="C116" i="8"/>
  <c r="V115" i="8"/>
  <c r="T115" i="8"/>
  <c r="W115" i="8" s="1"/>
  <c r="Y115" i="8" s="1"/>
  <c r="R115" i="8"/>
  <c r="C115" i="8"/>
  <c r="T114" i="8"/>
  <c r="V114" i="8" s="1"/>
  <c r="R114" i="8"/>
  <c r="C114" i="8"/>
  <c r="T113" i="8"/>
  <c r="R113" i="8"/>
  <c r="C113" i="8"/>
  <c r="T112" i="8"/>
  <c r="V112" i="8" s="1"/>
  <c r="R112" i="8"/>
  <c r="C112" i="8"/>
  <c r="V111" i="8"/>
  <c r="W111" i="8" s="1"/>
  <c r="Y111" i="8" s="1"/>
  <c r="T111" i="8"/>
  <c r="R111" i="8"/>
  <c r="C111" i="8"/>
  <c r="T110" i="8"/>
  <c r="V110" i="8" s="1"/>
  <c r="R110" i="8"/>
  <c r="C110" i="8"/>
  <c r="V109" i="8"/>
  <c r="T109" i="8"/>
  <c r="W109" i="8" s="1"/>
  <c r="Y109" i="8" s="1"/>
  <c r="R109" i="8"/>
  <c r="C109" i="8"/>
  <c r="T108" i="8"/>
  <c r="V108" i="8" s="1"/>
  <c r="R108" i="8"/>
  <c r="C108" i="8"/>
  <c r="V107" i="8"/>
  <c r="T107" i="8"/>
  <c r="W107" i="8" s="1"/>
  <c r="Y107" i="8" s="1"/>
  <c r="R107" i="8"/>
  <c r="C107" i="8"/>
  <c r="T106" i="8"/>
  <c r="V106" i="8" s="1"/>
  <c r="R106" i="8"/>
  <c r="C106" i="8"/>
  <c r="T105" i="8"/>
  <c r="R105" i="8"/>
  <c r="C105" i="8"/>
  <c r="T104" i="8"/>
  <c r="V104" i="8" s="1"/>
  <c r="R104" i="8"/>
  <c r="C104" i="8"/>
  <c r="V103" i="8"/>
  <c r="W103" i="8" s="1"/>
  <c r="Y103" i="8" s="1"/>
  <c r="T103" i="8"/>
  <c r="R103" i="8"/>
  <c r="C103" i="8"/>
  <c r="T102" i="8"/>
  <c r="V102" i="8" s="1"/>
  <c r="R102" i="8"/>
  <c r="C102" i="8"/>
  <c r="V101" i="8"/>
  <c r="T101" i="8"/>
  <c r="W101" i="8" s="1"/>
  <c r="Y101" i="8" s="1"/>
  <c r="R101" i="8"/>
  <c r="C101" i="8"/>
  <c r="T100" i="8"/>
  <c r="V100" i="8" s="1"/>
  <c r="R100" i="8"/>
  <c r="C100" i="8"/>
  <c r="V99" i="8"/>
  <c r="T99" i="8"/>
  <c r="W99" i="8" s="1"/>
  <c r="Y99" i="8" s="1"/>
  <c r="R99" i="8"/>
  <c r="C99" i="8"/>
  <c r="T98" i="8"/>
  <c r="V98" i="8" s="1"/>
  <c r="R98" i="8"/>
  <c r="C98" i="8"/>
  <c r="T97" i="8"/>
  <c r="R97" i="8"/>
  <c r="C97" i="8"/>
  <c r="T96" i="8"/>
  <c r="V96" i="8" s="1"/>
  <c r="R96" i="8"/>
  <c r="C96" i="8"/>
  <c r="V95" i="8"/>
  <c r="W95" i="8" s="1"/>
  <c r="Y95" i="8" s="1"/>
  <c r="T95" i="8"/>
  <c r="R95" i="8"/>
  <c r="C95" i="8"/>
  <c r="T94" i="8"/>
  <c r="V94" i="8" s="1"/>
  <c r="R94" i="8"/>
  <c r="C94" i="8"/>
  <c r="V93" i="8"/>
  <c r="T93" i="8"/>
  <c r="W93" i="8" s="1"/>
  <c r="Y93" i="8" s="1"/>
  <c r="R93" i="8"/>
  <c r="C93" i="8"/>
  <c r="T92" i="8"/>
  <c r="V92" i="8" s="1"/>
  <c r="R92" i="8"/>
  <c r="C92" i="8"/>
  <c r="V91" i="8"/>
  <c r="T91" i="8"/>
  <c r="W91" i="8" s="1"/>
  <c r="Y91" i="8" s="1"/>
  <c r="R91" i="8"/>
  <c r="C91" i="8"/>
  <c r="T90" i="8"/>
  <c r="V90" i="8" s="1"/>
  <c r="R90" i="8"/>
  <c r="C90" i="8"/>
  <c r="T89" i="8"/>
  <c r="R89" i="8"/>
  <c r="C89" i="8"/>
  <c r="T88" i="8"/>
  <c r="V88" i="8" s="1"/>
  <c r="R88" i="8"/>
  <c r="C88" i="8"/>
  <c r="V87" i="8"/>
  <c r="W87" i="8" s="1"/>
  <c r="Y87" i="8" s="1"/>
  <c r="T87" i="8"/>
  <c r="R87" i="8"/>
  <c r="C87" i="8"/>
  <c r="T86" i="8"/>
  <c r="V86" i="8" s="1"/>
  <c r="R86" i="8"/>
  <c r="C86" i="8"/>
  <c r="V85" i="8"/>
  <c r="T85" i="8"/>
  <c r="W85" i="8" s="1"/>
  <c r="Y85" i="8" s="1"/>
  <c r="R85" i="8"/>
  <c r="C85" i="8"/>
  <c r="T84" i="8"/>
  <c r="V84" i="8" s="1"/>
  <c r="R84" i="8"/>
  <c r="C84" i="8"/>
  <c r="V83" i="8"/>
  <c r="T83" i="8"/>
  <c r="W83" i="8" s="1"/>
  <c r="Y83" i="8" s="1"/>
  <c r="R83" i="8"/>
  <c r="C83" i="8"/>
  <c r="T82" i="8"/>
  <c r="V82" i="8" s="1"/>
  <c r="R82" i="8"/>
  <c r="C82" i="8"/>
  <c r="T81" i="8"/>
  <c r="R81" i="8"/>
  <c r="C81" i="8"/>
  <c r="T80" i="8"/>
  <c r="V80" i="8" s="1"/>
  <c r="R80" i="8"/>
  <c r="C80" i="8"/>
  <c r="V79" i="8"/>
  <c r="W79" i="8" s="1"/>
  <c r="Y79" i="8" s="1"/>
  <c r="T79" i="8"/>
  <c r="R79" i="8"/>
  <c r="C79" i="8"/>
  <c r="T78" i="8"/>
  <c r="V78" i="8" s="1"/>
  <c r="R78" i="8"/>
  <c r="C78" i="8"/>
  <c r="V77" i="8"/>
  <c r="T77" i="8"/>
  <c r="W77" i="8" s="1"/>
  <c r="Y77" i="8" s="1"/>
  <c r="R77" i="8"/>
  <c r="C77" i="8"/>
  <c r="T76" i="8"/>
  <c r="V76" i="8" s="1"/>
  <c r="R76" i="8"/>
  <c r="C76" i="8"/>
  <c r="V75" i="8"/>
  <c r="T75" i="8"/>
  <c r="W75" i="8" s="1"/>
  <c r="Y75" i="8" s="1"/>
  <c r="R75" i="8"/>
  <c r="C75" i="8"/>
  <c r="T74" i="8"/>
  <c r="V74" i="8" s="1"/>
  <c r="R74" i="8"/>
  <c r="C74" i="8"/>
  <c r="T73" i="8"/>
  <c r="R73" i="8"/>
  <c r="C73" i="8"/>
  <c r="T72" i="8"/>
  <c r="V72" i="8" s="1"/>
  <c r="R72" i="8"/>
  <c r="C72" i="8"/>
  <c r="V71" i="8"/>
  <c r="W71" i="8" s="1"/>
  <c r="Y71" i="8" s="1"/>
  <c r="T71" i="8"/>
  <c r="R71" i="8"/>
  <c r="C71" i="8"/>
  <c r="T70" i="8"/>
  <c r="R70" i="8"/>
  <c r="C70" i="8"/>
  <c r="V69" i="8"/>
  <c r="T69" i="8"/>
  <c r="W69" i="8" s="1"/>
  <c r="Y69" i="8" s="1"/>
  <c r="R69" i="8"/>
  <c r="C69" i="8"/>
  <c r="V68" i="8"/>
  <c r="T68" i="8"/>
  <c r="W68" i="8" s="1"/>
  <c r="Y68" i="8" s="1"/>
  <c r="R68" i="8"/>
  <c r="C68" i="8"/>
  <c r="V67" i="8"/>
  <c r="W67" i="8" s="1"/>
  <c r="Y67" i="8" s="1"/>
  <c r="T67" i="8"/>
  <c r="R67" i="8"/>
  <c r="C67" i="8"/>
  <c r="T66" i="8"/>
  <c r="R66" i="8"/>
  <c r="C66" i="8"/>
  <c r="V65" i="8"/>
  <c r="T65" i="8"/>
  <c r="W65" i="8" s="1"/>
  <c r="Y65" i="8" s="1"/>
  <c r="R65" i="8"/>
  <c r="C65" i="8"/>
  <c r="V64" i="8"/>
  <c r="T64" i="8"/>
  <c r="W64" i="8" s="1"/>
  <c r="Y64" i="8" s="1"/>
  <c r="R64" i="8"/>
  <c r="C64" i="8"/>
  <c r="V63" i="8"/>
  <c r="W63" i="8" s="1"/>
  <c r="Y63" i="8" s="1"/>
  <c r="T63" i="8"/>
  <c r="R63" i="8"/>
  <c r="C63" i="8"/>
  <c r="T62" i="8"/>
  <c r="R62" i="8"/>
  <c r="C62" i="8"/>
  <c r="V61" i="8"/>
  <c r="T61" i="8"/>
  <c r="W61" i="8" s="1"/>
  <c r="Y61" i="8" s="1"/>
  <c r="R61" i="8"/>
  <c r="C61" i="8"/>
  <c r="V60" i="8"/>
  <c r="T60" i="8"/>
  <c r="W60" i="8" s="1"/>
  <c r="Y60" i="8" s="1"/>
  <c r="R60" i="8"/>
  <c r="C60" i="8"/>
  <c r="V59" i="8"/>
  <c r="W59" i="8" s="1"/>
  <c r="Y59" i="8" s="1"/>
  <c r="T59" i="8"/>
  <c r="R59" i="8"/>
  <c r="C59" i="8"/>
  <c r="T58" i="8"/>
  <c r="R58" i="8"/>
  <c r="C58" i="8"/>
  <c r="V57" i="8"/>
  <c r="T57" i="8"/>
  <c r="W57" i="8" s="1"/>
  <c r="Y57" i="8" s="1"/>
  <c r="R57" i="8"/>
  <c r="C57" i="8"/>
  <c r="D41" i="9" s="1"/>
  <c r="V56" i="8"/>
  <c r="T56" i="8"/>
  <c r="W56" i="8" s="1"/>
  <c r="Y56" i="8" s="1"/>
  <c r="R56" i="8"/>
  <c r="C56" i="8"/>
  <c r="V55" i="8"/>
  <c r="W55" i="8" s="1"/>
  <c r="Y55" i="8" s="1"/>
  <c r="T55" i="8"/>
  <c r="R55" i="8"/>
  <c r="C55" i="8"/>
  <c r="T54" i="8"/>
  <c r="R54" i="8"/>
  <c r="C54" i="8"/>
  <c r="V53" i="8"/>
  <c r="T53" i="8"/>
  <c r="W53" i="8" s="1"/>
  <c r="Y53" i="8" s="1"/>
  <c r="R53" i="8"/>
  <c r="C53" i="8"/>
  <c r="V52" i="8"/>
  <c r="T52" i="8"/>
  <c r="W52" i="8" s="1"/>
  <c r="Y52" i="8" s="1"/>
  <c r="R52" i="8"/>
  <c r="C52" i="8"/>
  <c r="V51" i="8"/>
  <c r="W51" i="8" s="1"/>
  <c r="Y51" i="8" s="1"/>
  <c r="T51" i="8"/>
  <c r="R51" i="8"/>
  <c r="C51" i="8"/>
  <c r="T50" i="8"/>
  <c r="R50" i="8"/>
  <c r="C50" i="8"/>
  <c r="V49" i="8"/>
  <c r="T49" i="8"/>
  <c r="W49" i="8" s="1"/>
  <c r="Y49" i="8" s="1"/>
  <c r="R49" i="8"/>
  <c r="C49" i="8"/>
  <c r="V48" i="8"/>
  <c r="T48" i="8"/>
  <c r="W48" i="8" s="1"/>
  <c r="Y48" i="8" s="1"/>
  <c r="R48" i="8"/>
  <c r="C48" i="8"/>
  <c r="V47" i="8"/>
  <c r="W47" i="8" s="1"/>
  <c r="Y47" i="8" s="1"/>
  <c r="T47" i="8"/>
  <c r="R47" i="8"/>
  <c r="C47" i="8"/>
  <c r="T46" i="8"/>
  <c r="R46" i="8"/>
  <c r="C46" i="8"/>
  <c r="V45" i="8"/>
  <c r="T45" i="8"/>
  <c r="W45" i="8" s="1"/>
  <c r="Y45" i="8" s="1"/>
  <c r="R45" i="8"/>
  <c r="C45" i="8"/>
  <c r="V44" i="8"/>
  <c r="T44" i="8"/>
  <c r="W44" i="8" s="1"/>
  <c r="Y44" i="8" s="1"/>
  <c r="R44" i="8"/>
  <c r="C44" i="8"/>
  <c r="V43" i="8"/>
  <c r="W43" i="8" s="1"/>
  <c r="Y43" i="8" s="1"/>
  <c r="T43" i="8"/>
  <c r="R43" i="8"/>
  <c r="C43" i="8"/>
  <c r="T42" i="8"/>
  <c r="R42" i="8"/>
  <c r="C42" i="8"/>
  <c r="V41" i="8"/>
  <c r="T41" i="8"/>
  <c r="W41" i="8" s="1"/>
  <c r="Y41" i="8" s="1"/>
  <c r="R41" i="8"/>
  <c r="C41" i="8"/>
  <c r="V40" i="8"/>
  <c r="T40" i="8"/>
  <c r="W40" i="8" s="1"/>
  <c r="Y40" i="8" s="1"/>
  <c r="R40" i="8"/>
  <c r="C40" i="8"/>
  <c r="V39" i="8"/>
  <c r="W39" i="8" s="1"/>
  <c r="Y39" i="8" s="1"/>
  <c r="T39" i="8"/>
  <c r="R39" i="8"/>
  <c r="C39" i="8"/>
  <c r="T38" i="8"/>
  <c r="R38" i="8"/>
  <c r="C38" i="8"/>
  <c r="V37" i="8"/>
  <c r="T37" i="8"/>
  <c r="W37" i="8" s="1"/>
  <c r="Y37" i="8" s="1"/>
  <c r="R37" i="8"/>
  <c r="C37" i="8"/>
  <c r="V36" i="8"/>
  <c r="T36" i="8"/>
  <c r="W36" i="8" s="1"/>
  <c r="Y36" i="8" s="1"/>
  <c r="R36" i="8"/>
  <c r="C36" i="8"/>
  <c r="V35" i="8"/>
  <c r="W35" i="8" s="1"/>
  <c r="Y35" i="8" s="1"/>
  <c r="T35" i="8"/>
  <c r="R35" i="8"/>
  <c r="C35" i="8"/>
  <c r="T34" i="8"/>
  <c r="R34" i="8"/>
  <c r="C34" i="8"/>
  <c r="V33" i="8"/>
  <c r="T33" i="8"/>
  <c r="W33" i="8" s="1"/>
  <c r="Y33" i="8" s="1"/>
  <c r="R33" i="8"/>
  <c r="C33" i="8"/>
  <c r="T32" i="8"/>
  <c r="R32" i="8"/>
  <c r="C32" i="8"/>
  <c r="V31" i="8"/>
  <c r="W31" i="8" s="1"/>
  <c r="Y31" i="8" s="1"/>
  <c r="T31" i="8"/>
  <c r="R31" i="8"/>
  <c r="C31" i="8"/>
  <c r="T30" i="8"/>
  <c r="R30" i="8"/>
  <c r="C30" i="8"/>
  <c r="V29" i="8"/>
  <c r="T29" i="8"/>
  <c r="W29" i="8" s="1"/>
  <c r="Y29" i="8" s="1"/>
  <c r="R29" i="8"/>
  <c r="C29" i="8"/>
  <c r="T28" i="8"/>
  <c r="R28" i="8"/>
  <c r="C28" i="8"/>
  <c r="V27" i="8"/>
  <c r="W27" i="8" s="1"/>
  <c r="Y27" i="8" s="1"/>
  <c r="T27" i="8"/>
  <c r="R27" i="8"/>
  <c r="C27" i="8"/>
  <c r="T26" i="8"/>
  <c r="R26" i="8"/>
  <c r="C26" i="8"/>
  <c r="V25" i="8"/>
  <c r="T25" i="8"/>
  <c r="W25" i="8" s="1"/>
  <c r="Y25" i="8" s="1"/>
  <c r="R25" i="8"/>
  <c r="C25" i="8"/>
  <c r="T24" i="8"/>
  <c r="R24" i="8"/>
  <c r="C24" i="8"/>
  <c r="V23" i="8"/>
  <c r="W23" i="8" s="1"/>
  <c r="Y23" i="8" s="1"/>
  <c r="T23" i="8"/>
  <c r="R23" i="8"/>
  <c r="C23" i="8"/>
  <c r="T22" i="8"/>
  <c r="R22" i="8"/>
  <c r="C22" i="8"/>
  <c r="V21" i="8"/>
  <c r="T21" i="8"/>
  <c r="W21" i="8" s="1"/>
  <c r="Y21" i="8" s="1"/>
  <c r="R21" i="8"/>
  <c r="C21" i="8"/>
  <c r="T20" i="8"/>
  <c r="R20" i="8"/>
  <c r="C20" i="8"/>
  <c r="V19" i="8"/>
  <c r="W19" i="8" s="1"/>
  <c r="Y19" i="8" s="1"/>
  <c r="T19" i="8"/>
  <c r="R19" i="8"/>
  <c r="C19" i="8"/>
  <c r="T18" i="8"/>
  <c r="R18" i="8"/>
  <c r="C18" i="8"/>
  <c r="T17" i="8"/>
  <c r="R17" i="8"/>
  <c r="C17" i="8"/>
  <c r="T16" i="8"/>
  <c r="R16" i="8"/>
  <c r="C16" i="8"/>
  <c r="V15" i="8"/>
  <c r="W15" i="8" s="1"/>
  <c r="Y15" i="8" s="1"/>
  <c r="T15" i="8"/>
  <c r="R15" i="8"/>
  <c r="C15" i="8"/>
  <c r="T14" i="8"/>
  <c r="R14" i="8"/>
  <c r="C14" i="8"/>
  <c r="T13" i="8"/>
  <c r="R13" i="8"/>
  <c r="C13" i="8"/>
  <c r="T12" i="8"/>
  <c r="R12" i="8"/>
  <c r="C12" i="8"/>
  <c r="V11" i="8"/>
  <c r="W11" i="8" s="1"/>
  <c r="Y11" i="8" s="1"/>
  <c r="T11" i="8"/>
  <c r="R11" i="8"/>
  <c r="C11" i="8"/>
  <c r="T10" i="8"/>
  <c r="R10" i="8"/>
  <c r="C10" i="8"/>
  <c r="T9" i="8"/>
  <c r="R9" i="8"/>
  <c r="C9" i="8"/>
  <c r="T8" i="8"/>
  <c r="R8" i="8"/>
  <c r="C8" i="8"/>
  <c r="V7" i="8"/>
  <c r="W7" i="8" s="1"/>
  <c r="Y7" i="8" s="1"/>
  <c r="T7" i="8"/>
  <c r="R7" i="8"/>
  <c r="C7" i="8"/>
  <c r="T6" i="8"/>
  <c r="R6" i="8"/>
  <c r="C6" i="8"/>
  <c r="W151" i="8" l="1"/>
  <c r="Y151" i="8" s="1"/>
  <c r="W171" i="8"/>
  <c r="Y171" i="8" s="1"/>
  <c r="W113" i="8"/>
  <c r="Y113" i="8" s="1"/>
  <c r="W199" i="8"/>
  <c r="Y199" i="8" s="1"/>
  <c r="W372" i="8"/>
  <c r="Y372" i="8" s="1"/>
  <c r="W12" i="8"/>
  <c r="Y12" i="8" s="1"/>
  <c r="W24" i="8"/>
  <c r="Y24" i="8" s="1"/>
  <c r="W105" i="8"/>
  <c r="Y105" i="8" s="1"/>
  <c r="W30" i="8"/>
  <c r="Y30" i="8" s="1"/>
  <c r="W58" i="8"/>
  <c r="Y58" i="8" s="1"/>
  <c r="W97" i="8"/>
  <c r="Y97" i="8" s="1"/>
  <c r="W335" i="8"/>
  <c r="Y335" i="8" s="1"/>
  <c r="W17" i="8"/>
  <c r="Y17" i="8" s="1"/>
  <c r="W183" i="8"/>
  <c r="Y183" i="8" s="1"/>
  <c r="W239" i="8"/>
  <c r="Y239" i="8" s="1"/>
  <c r="W287" i="8"/>
  <c r="Y287" i="8" s="1"/>
  <c r="W137" i="8"/>
  <c r="Y137" i="8" s="1"/>
  <c r="W54" i="8"/>
  <c r="Y54" i="8" s="1"/>
  <c r="W121" i="8"/>
  <c r="Y121" i="8" s="1"/>
  <c r="W295" i="8"/>
  <c r="Y295" i="8" s="1"/>
  <c r="W26" i="8"/>
  <c r="Y26" i="8" s="1"/>
  <c r="W50" i="8"/>
  <c r="Y50" i="8" s="1"/>
  <c r="V310" i="8"/>
  <c r="W310" i="8" s="1"/>
  <c r="Y310" i="8" s="1"/>
  <c r="W225" i="8"/>
  <c r="Y225" i="8" s="1"/>
  <c r="V331" i="8"/>
  <c r="W331" i="8" s="1"/>
  <c r="Y331" i="8" s="1"/>
  <c r="W496" i="8"/>
  <c r="Y496" i="8" s="1"/>
  <c r="V496" i="8"/>
  <c r="V551" i="8"/>
  <c r="W551" i="8"/>
  <c r="Y551" i="8" s="1"/>
  <c r="V1011" i="8"/>
  <c r="W1011" i="8" s="1"/>
  <c r="Y1011" i="8" s="1"/>
  <c r="V6" i="8"/>
  <c r="W6" i="8" s="1"/>
  <c r="Y6" i="8" s="1"/>
  <c r="V10" i="8"/>
  <c r="W10" i="8" s="1"/>
  <c r="Y10" i="8" s="1"/>
  <c r="V14" i="8"/>
  <c r="W14" i="8" s="1"/>
  <c r="Y14" i="8" s="1"/>
  <c r="V18" i="8"/>
  <c r="W18" i="8" s="1"/>
  <c r="Y18" i="8" s="1"/>
  <c r="V22" i="8"/>
  <c r="W22" i="8" s="1"/>
  <c r="Y22" i="8" s="1"/>
  <c r="V26" i="8"/>
  <c r="V30" i="8"/>
  <c r="V34" i="8"/>
  <c r="W34" i="8" s="1"/>
  <c r="Y34" i="8" s="1"/>
  <c r="V38" i="8"/>
  <c r="W38" i="8" s="1"/>
  <c r="Y38" i="8" s="1"/>
  <c r="V42" i="8"/>
  <c r="W42" i="8" s="1"/>
  <c r="Y42" i="8" s="1"/>
  <c r="V46" i="8"/>
  <c r="W46" i="8" s="1"/>
  <c r="Y46" i="8" s="1"/>
  <c r="V50" i="8"/>
  <c r="V54" i="8"/>
  <c r="V58" i="8"/>
  <c r="V62" i="8"/>
  <c r="W62" i="8" s="1"/>
  <c r="Y62" i="8" s="1"/>
  <c r="V66" i="8"/>
  <c r="W66" i="8" s="1"/>
  <c r="Y66" i="8" s="1"/>
  <c r="V70" i="8"/>
  <c r="W70" i="8" s="1"/>
  <c r="Y70" i="8" s="1"/>
  <c r="V73" i="8"/>
  <c r="W73" i="8" s="1"/>
  <c r="Y73" i="8" s="1"/>
  <c r="V81" i="8"/>
  <c r="W81" i="8" s="1"/>
  <c r="Y81" i="8" s="1"/>
  <c r="V89" i="8"/>
  <c r="W89" i="8" s="1"/>
  <c r="Y89" i="8" s="1"/>
  <c r="V97" i="8"/>
  <c r="V105" i="8"/>
  <c r="V113" i="8"/>
  <c r="V121" i="8"/>
  <c r="V129" i="8"/>
  <c r="W129" i="8" s="1"/>
  <c r="Y129" i="8" s="1"/>
  <c r="V137" i="8"/>
  <c r="W147" i="8"/>
  <c r="Y147" i="8" s="1"/>
  <c r="W156" i="8"/>
  <c r="Y156" i="8" s="1"/>
  <c r="W163" i="8"/>
  <c r="Y163" i="8" s="1"/>
  <c r="W172" i="8"/>
  <c r="Y172" i="8" s="1"/>
  <c r="W179" i="8"/>
  <c r="Y179" i="8" s="1"/>
  <c r="W188" i="8"/>
  <c r="Y188" i="8" s="1"/>
  <c r="W195" i="8"/>
  <c r="Y195" i="8" s="1"/>
  <c r="W204" i="8"/>
  <c r="Y204" i="8" s="1"/>
  <c r="W211" i="8"/>
  <c r="Y211" i="8" s="1"/>
  <c r="W220" i="8"/>
  <c r="Y220" i="8" s="1"/>
  <c r="W227" i="8"/>
  <c r="Y227" i="8" s="1"/>
  <c r="W236" i="8"/>
  <c r="Y236" i="8" s="1"/>
  <c r="V238" i="8"/>
  <c r="W238" i="8" s="1"/>
  <c r="Y238" i="8" s="1"/>
  <c r="V287" i="8"/>
  <c r="V294" i="8"/>
  <c r="W294" i="8" s="1"/>
  <c r="Y294" i="8" s="1"/>
  <c r="V303" i="8"/>
  <c r="W303" i="8" s="1"/>
  <c r="Y303" i="8" s="1"/>
  <c r="V318" i="8"/>
  <c r="W318" i="8" s="1"/>
  <c r="Y318" i="8" s="1"/>
  <c r="V335" i="8"/>
  <c r="V350" i="8"/>
  <c r="W350" i="8" s="1"/>
  <c r="Y350" i="8" s="1"/>
  <c r="W358" i="8"/>
  <c r="Y358" i="8" s="1"/>
  <c r="W366" i="8"/>
  <c r="Y366" i="8" s="1"/>
  <c r="V366" i="8"/>
  <c r="V372" i="8"/>
  <c r="W380" i="8"/>
  <c r="Y380" i="8" s="1"/>
  <c r="W405" i="8"/>
  <c r="Y405" i="8" s="1"/>
  <c r="V532" i="8"/>
  <c r="W532" i="8" s="1"/>
  <c r="Y532" i="8" s="1"/>
  <c r="W541" i="8"/>
  <c r="Y541" i="8" s="1"/>
  <c r="W342" i="8"/>
  <c r="Y342" i="8" s="1"/>
  <c r="V342" i="8"/>
  <c r="W76" i="8"/>
  <c r="Y76" i="8" s="1"/>
  <c r="W84" i="8"/>
  <c r="Y84" i="8" s="1"/>
  <c r="W116" i="8"/>
  <c r="Y116" i="8" s="1"/>
  <c r="W170" i="8"/>
  <c r="Y170" i="8" s="1"/>
  <c r="W177" i="8"/>
  <c r="Y177" i="8" s="1"/>
  <c r="W193" i="8"/>
  <c r="Y193" i="8" s="1"/>
  <c r="B39" i="9"/>
  <c r="W78" i="8"/>
  <c r="Y78" i="8" s="1"/>
  <c r="W86" i="8"/>
  <c r="Y86" i="8" s="1"/>
  <c r="W94" i="8"/>
  <c r="Y94" i="8" s="1"/>
  <c r="W102" i="8"/>
  <c r="Y102" i="8" s="1"/>
  <c r="W110" i="8"/>
  <c r="Y110" i="8" s="1"/>
  <c r="W118" i="8"/>
  <c r="Y118" i="8" s="1"/>
  <c r="W126" i="8"/>
  <c r="Y126" i="8" s="1"/>
  <c r="W134" i="8"/>
  <c r="Y134" i="8" s="1"/>
  <c r="W142" i="8"/>
  <c r="Y142" i="8" s="1"/>
  <c r="W149" i="8"/>
  <c r="Y149" i="8" s="1"/>
  <c r="V151" i="8"/>
  <c r="W158" i="8"/>
  <c r="Y158" i="8" s="1"/>
  <c r="W165" i="8"/>
  <c r="Y165" i="8" s="1"/>
  <c r="V167" i="8"/>
  <c r="W167" i="8" s="1"/>
  <c r="Y167" i="8" s="1"/>
  <c r="W174" i="8"/>
  <c r="Y174" i="8" s="1"/>
  <c r="W181" i="8"/>
  <c r="Y181" i="8" s="1"/>
  <c r="V183" i="8"/>
  <c r="W190" i="8"/>
  <c r="Y190" i="8" s="1"/>
  <c r="W197" i="8"/>
  <c r="Y197" i="8" s="1"/>
  <c r="V199" i="8"/>
  <c r="W206" i="8"/>
  <c r="Y206" i="8" s="1"/>
  <c r="W213" i="8"/>
  <c r="Y213" i="8" s="1"/>
  <c r="V215" i="8"/>
  <c r="W215" i="8" s="1"/>
  <c r="Y215" i="8" s="1"/>
  <c r="W222" i="8"/>
  <c r="Y222" i="8" s="1"/>
  <c r="W229" i="8"/>
  <c r="Y229" i="8" s="1"/>
  <c r="V231" i="8"/>
  <c r="W231" i="8" s="1"/>
  <c r="Y231" i="8" s="1"/>
  <c r="W240" i="8"/>
  <c r="Y240" i="8" s="1"/>
  <c r="V242" i="8"/>
  <c r="W242" i="8" s="1"/>
  <c r="Y242" i="8" s="1"/>
  <c r="W322" i="8"/>
  <c r="Y322" i="8" s="1"/>
  <c r="V322" i="8"/>
  <c r="W354" i="8"/>
  <c r="Y354" i="8" s="1"/>
  <c r="V354" i="8"/>
  <c r="V721" i="8"/>
  <c r="W721" i="8" s="1"/>
  <c r="Y721" i="8" s="1"/>
  <c r="V782" i="8"/>
  <c r="W782" i="8" s="1"/>
  <c r="Y782" i="8" s="1"/>
  <c r="W92" i="8"/>
  <c r="Y92" i="8" s="1"/>
  <c r="W108" i="8"/>
  <c r="Y108" i="8" s="1"/>
  <c r="W124" i="8"/>
  <c r="Y124" i="8" s="1"/>
  <c r="W132" i="8"/>
  <c r="Y132" i="8" s="1"/>
  <c r="W145" i="8"/>
  <c r="Y145" i="8" s="1"/>
  <c r="W161" i="8"/>
  <c r="Y161" i="8" s="1"/>
  <c r="W202" i="8"/>
  <c r="Y202" i="8" s="1"/>
  <c r="W209" i="8"/>
  <c r="Y209" i="8" s="1"/>
  <c r="W218" i="8"/>
  <c r="Y218" i="8" s="1"/>
  <c r="W234" i="8"/>
  <c r="Y234" i="8" s="1"/>
  <c r="V9" i="8"/>
  <c r="W9" i="8" s="1"/>
  <c r="Y9" i="8" s="1"/>
  <c r="V13" i="8"/>
  <c r="W13" i="8" s="1"/>
  <c r="Y13" i="8" s="1"/>
  <c r="V17" i="8"/>
  <c r="V246" i="8"/>
  <c r="W246" i="8" s="1"/>
  <c r="Y246" i="8" s="1"/>
  <c r="V250" i="8"/>
  <c r="W250" i="8" s="1"/>
  <c r="Y250" i="8" s="1"/>
  <c r="V254" i="8"/>
  <c r="W254" i="8" s="1"/>
  <c r="Y254" i="8" s="1"/>
  <c r="W258" i="8"/>
  <c r="Y258" i="8" s="1"/>
  <c r="V258" i="8"/>
  <c r="V262" i="8"/>
  <c r="W262" i="8" s="1"/>
  <c r="Y262" i="8" s="1"/>
  <c r="V266" i="8"/>
  <c r="W266" i="8" s="1"/>
  <c r="Y266" i="8" s="1"/>
  <c r="V270" i="8"/>
  <c r="W270" i="8" s="1"/>
  <c r="Y270" i="8" s="1"/>
  <c r="W274" i="8"/>
  <c r="Y274" i="8" s="1"/>
  <c r="V274" i="8"/>
  <c r="V278" i="8"/>
  <c r="W278" i="8" s="1"/>
  <c r="Y278" i="8" s="1"/>
  <c r="V282" i="8"/>
  <c r="W282" i="8" s="1"/>
  <c r="Y282" i="8" s="1"/>
  <c r="V298" i="8"/>
  <c r="W298" i="8" s="1"/>
  <c r="Y298" i="8" s="1"/>
  <c r="W326" i="8"/>
  <c r="Y326" i="8" s="1"/>
  <c r="V326" i="8"/>
  <c r="W412" i="8"/>
  <c r="Y412" i="8" s="1"/>
  <c r="V445" i="8"/>
  <c r="W445" i="8" s="1"/>
  <c r="Y445" i="8" s="1"/>
  <c r="V482" i="8"/>
  <c r="W482" i="8" s="1"/>
  <c r="Y482" i="8" s="1"/>
  <c r="V530" i="8"/>
  <c r="W530" i="8" s="1"/>
  <c r="Y530" i="8" s="1"/>
  <c r="V607" i="8"/>
  <c r="W607" i="8"/>
  <c r="Y607" i="8" s="1"/>
  <c r="V679" i="8"/>
  <c r="W679" i="8" s="1"/>
  <c r="Y679" i="8" s="1"/>
  <c r="W790" i="8"/>
  <c r="Y790" i="8" s="1"/>
  <c r="V790" i="8"/>
  <c r="W100" i="8"/>
  <c r="Y100" i="8" s="1"/>
  <c r="W72" i="8"/>
  <c r="Y72" i="8" s="1"/>
  <c r="W80" i="8"/>
  <c r="Y80" i="8" s="1"/>
  <c r="W88" i="8"/>
  <c r="Y88" i="8" s="1"/>
  <c r="W96" i="8"/>
  <c r="Y96" i="8" s="1"/>
  <c r="W104" i="8"/>
  <c r="Y104" i="8" s="1"/>
  <c r="W112" i="8"/>
  <c r="Y112" i="8" s="1"/>
  <c r="W120" i="8"/>
  <c r="Y120" i="8" s="1"/>
  <c r="W128" i="8"/>
  <c r="Y128" i="8" s="1"/>
  <c r="W136" i="8"/>
  <c r="Y136" i="8" s="1"/>
  <c r="W146" i="8"/>
  <c r="Y146" i="8" s="1"/>
  <c r="W153" i="8"/>
  <c r="Y153" i="8" s="1"/>
  <c r="V155" i="8"/>
  <c r="W155" i="8" s="1"/>
  <c r="Y155" i="8" s="1"/>
  <c r="W162" i="8"/>
  <c r="Y162" i="8" s="1"/>
  <c r="W169" i="8"/>
  <c r="Y169" i="8" s="1"/>
  <c r="V171" i="8"/>
  <c r="W178" i="8"/>
  <c r="Y178" i="8" s="1"/>
  <c r="W185" i="8"/>
  <c r="Y185" i="8" s="1"/>
  <c r="V187" i="8"/>
  <c r="W187" i="8" s="1"/>
  <c r="Y187" i="8" s="1"/>
  <c r="W194" i="8"/>
  <c r="Y194" i="8" s="1"/>
  <c r="W201" i="8"/>
  <c r="Y201" i="8" s="1"/>
  <c r="V203" i="8"/>
  <c r="W203" i="8" s="1"/>
  <c r="Y203" i="8" s="1"/>
  <c r="W210" i="8"/>
  <c r="Y210" i="8" s="1"/>
  <c r="W217" i="8"/>
  <c r="Y217" i="8" s="1"/>
  <c r="V219" i="8"/>
  <c r="W219" i="8" s="1"/>
  <c r="Y219" i="8" s="1"/>
  <c r="W226" i="8"/>
  <c r="Y226" i="8" s="1"/>
  <c r="W233" i="8"/>
  <c r="Y233" i="8" s="1"/>
  <c r="V235" i="8"/>
  <c r="W235" i="8" s="1"/>
  <c r="Y235" i="8" s="1"/>
  <c r="W248" i="8"/>
  <c r="Y248" i="8" s="1"/>
  <c r="V315" i="8"/>
  <c r="W315" i="8" s="1"/>
  <c r="Y315" i="8" s="1"/>
  <c r="W330" i="8"/>
  <c r="Y330" i="8" s="1"/>
  <c r="V330" i="8"/>
  <c r="V347" i="8"/>
  <c r="W347" i="8" s="1"/>
  <c r="Y347" i="8" s="1"/>
  <c r="W385" i="8"/>
  <c r="Y385" i="8" s="1"/>
  <c r="V412" i="8"/>
  <c r="V470" i="8"/>
  <c r="W470" i="8"/>
  <c r="Y470" i="8" s="1"/>
  <c r="W474" i="8"/>
  <c r="Y474" i="8" s="1"/>
  <c r="V478" i="8"/>
  <c r="W478" i="8" s="1"/>
  <c r="Y478" i="8" s="1"/>
  <c r="V567" i="8"/>
  <c r="W567" i="8" s="1"/>
  <c r="Y567" i="8" s="1"/>
  <c r="V583" i="8"/>
  <c r="W583" i="8"/>
  <c r="Y583" i="8" s="1"/>
  <c r="V639" i="8"/>
  <c r="W639" i="8"/>
  <c r="Y639" i="8" s="1"/>
  <c r="W290" i="8"/>
  <c r="Y290" i="8" s="1"/>
  <c r="V290" i="8"/>
  <c r="W464" i="8"/>
  <c r="Y464" i="8" s="1"/>
  <c r="V464" i="8"/>
  <c r="W140" i="8"/>
  <c r="Y140" i="8" s="1"/>
  <c r="W186" i="8"/>
  <c r="Y186" i="8" s="1"/>
  <c r="V314" i="8"/>
  <c r="W314" i="8" s="1"/>
  <c r="Y314" i="8" s="1"/>
  <c r="V8" i="8"/>
  <c r="W8" i="8" s="1"/>
  <c r="Y8" i="8" s="1"/>
  <c r="V12" i="8"/>
  <c r="V16" i="8"/>
  <c r="W16" i="8" s="1"/>
  <c r="Y16" i="8" s="1"/>
  <c r="V20" i="8"/>
  <c r="W20" i="8" s="1"/>
  <c r="Y20" i="8" s="1"/>
  <c r="V24" i="8"/>
  <c r="V28" i="8"/>
  <c r="W28" i="8" s="1"/>
  <c r="Y28" i="8" s="1"/>
  <c r="V32" i="8"/>
  <c r="W32" i="8" s="1"/>
  <c r="Y32" i="8" s="1"/>
  <c r="W212" i="8"/>
  <c r="Y212" i="8" s="1"/>
  <c r="W228" i="8"/>
  <c r="Y228" i="8" s="1"/>
  <c r="V239" i="8"/>
  <c r="W286" i="8"/>
  <c r="Y286" i="8" s="1"/>
  <c r="V286" i="8"/>
  <c r="V295" i="8"/>
  <c r="V302" i="8"/>
  <c r="W302" i="8" s="1"/>
  <c r="Y302" i="8" s="1"/>
  <c r="V319" i="8"/>
  <c r="W319" i="8" s="1"/>
  <c r="Y319" i="8" s="1"/>
  <c r="W334" i="8"/>
  <c r="Y334" i="8" s="1"/>
  <c r="V334" i="8"/>
  <c r="V351" i="8"/>
  <c r="W351" i="8" s="1"/>
  <c r="Y351" i="8" s="1"/>
  <c r="W377" i="8"/>
  <c r="Y377" i="8" s="1"/>
  <c r="V510" i="8"/>
  <c r="W510" i="8"/>
  <c r="Y510" i="8" s="1"/>
  <c r="W557" i="8"/>
  <c r="Y557" i="8" s="1"/>
  <c r="V557" i="8"/>
  <c r="V671" i="8"/>
  <c r="W671" i="8" s="1"/>
  <c r="Y671" i="8" s="1"/>
  <c r="V382" i="8"/>
  <c r="W382" i="8" s="1"/>
  <c r="Y382" i="8" s="1"/>
  <c r="W154" i="8"/>
  <c r="Y154" i="8" s="1"/>
  <c r="W346" i="8"/>
  <c r="Y346" i="8" s="1"/>
  <c r="V346" i="8"/>
  <c r="W374" i="8"/>
  <c r="Y374" i="8" s="1"/>
  <c r="V374" i="8"/>
  <c r="V1035" i="8"/>
  <c r="W1035" i="8" s="1"/>
  <c r="Y1035" i="8" s="1"/>
  <c r="D42" i="9"/>
  <c r="D40" i="9"/>
  <c r="D38" i="9"/>
  <c r="C42" i="9"/>
  <c r="C40" i="9"/>
  <c r="C38" i="9"/>
  <c r="B42" i="9"/>
  <c r="B40" i="9"/>
  <c r="B38" i="9"/>
  <c r="C41" i="9"/>
  <c r="C39" i="9"/>
  <c r="B41" i="9"/>
  <c r="D39" i="9"/>
  <c r="W74" i="8"/>
  <c r="Y74" i="8" s="1"/>
  <c r="W82" i="8"/>
  <c r="Y82" i="8" s="1"/>
  <c r="W90" i="8"/>
  <c r="Y90" i="8" s="1"/>
  <c r="W98" i="8"/>
  <c r="Y98" i="8" s="1"/>
  <c r="W106" i="8"/>
  <c r="Y106" i="8" s="1"/>
  <c r="W114" i="8"/>
  <c r="Y114" i="8" s="1"/>
  <c r="W122" i="8"/>
  <c r="Y122" i="8" s="1"/>
  <c r="W130" i="8"/>
  <c r="Y130" i="8" s="1"/>
  <c r="W138" i="8"/>
  <c r="Y138" i="8" s="1"/>
  <c r="W150" i="8"/>
  <c r="Y150" i="8" s="1"/>
  <c r="W157" i="8"/>
  <c r="Y157" i="8" s="1"/>
  <c r="W166" i="8"/>
  <c r="Y166" i="8" s="1"/>
  <c r="W173" i="8"/>
  <c r="Y173" i="8" s="1"/>
  <c r="W182" i="8"/>
  <c r="Y182" i="8" s="1"/>
  <c r="W189" i="8"/>
  <c r="Y189" i="8" s="1"/>
  <c r="W198" i="8"/>
  <c r="Y198" i="8" s="1"/>
  <c r="W205" i="8"/>
  <c r="Y205" i="8" s="1"/>
  <c r="W214" i="8"/>
  <c r="Y214" i="8" s="1"/>
  <c r="W221" i="8"/>
  <c r="Y221" i="8" s="1"/>
  <c r="W230" i="8"/>
  <c r="Y230" i="8" s="1"/>
  <c r="W306" i="8"/>
  <c r="Y306" i="8" s="1"/>
  <c r="V306" i="8"/>
  <c r="V338" i="8"/>
  <c r="W338" i="8" s="1"/>
  <c r="Y338" i="8" s="1"/>
  <c r="W369" i="8"/>
  <c r="Y369" i="8" s="1"/>
  <c r="V390" i="8"/>
  <c r="W390" i="8" s="1"/>
  <c r="Y390" i="8" s="1"/>
  <c r="V396" i="8"/>
  <c r="W396" i="8" s="1"/>
  <c r="Y396" i="8" s="1"/>
  <c r="V398" i="8"/>
  <c r="W398" i="8" s="1"/>
  <c r="Y398" i="8" s="1"/>
  <c r="W421" i="8"/>
  <c r="Y421" i="8" s="1"/>
  <c r="V504" i="8"/>
  <c r="W504" i="8" s="1"/>
  <c r="Y504" i="8" s="1"/>
  <c r="W572" i="8"/>
  <c r="Y572" i="8" s="1"/>
  <c r="V572" i="8"/>
  <c r="W400" i="8"/>
  <c r="Y400" i="8" s="1"/>
  <c r="V433" i="8"/>
  <c r="W433" i="8" s="1"/>
  <c r="Y433" i="8" s="1"/>
  <c r="V457" i="8"/>
  <c r="W457" i="8"/>
  <c r="Y457" i="8" s="1"/>
  <c r="V465" i="8"/>
  <c r="W465" i="8" s="1"/>
  <c r="Y465" i="8" s="1"/>
  <c r="W500" i="8"/>
  <c r="Y500" i="8" s="1"/>
  <c r="V500" i="8"/>
  <c r="V502" i="8"/>
  <c r="W502" i="8"/>
  <c r="Y502" i="8" s="1"/>
  <c r="V506" i="8"/>
  <c r="W506" i="8" s="1"/>
  <c r="Y506" i="8" s="1"/>
  <c r="V570" i="8"/>
  <c r="W570" i="8" s="1"/>
  <c r="Y570" i="8" s="1"/>
  <c r="V599" i="8"/>
  <c r="W599" i="8" s="1"/>
  <c r="Y599" i="8" s="1"/>
  <c r="V628" i="8"/>
  <c r="W628" i="8" s="1"/>
  <c r="Y628" i="8" s="1"/>
  <c r="W363" i="8"/>
  <c r="Y363" i="8" s="1"/>
  <c r="W371" i="8"/>
  <c r="Y371" i="8" s="1"/>
  <c r="W379" i="8"/>
  <c r="Y379" i="8" s="1"/>
  <c r="W387" i="8"/>
  <c r="Y387" i="8" s="1"/>
  <c r="V400" i="8"/>
  <c r="W409" i="8"/>
  <c r="Y409" i="8" s="1"/>
  <c r="V416" i="8"/>
  <c r="W416" i="8" s="1"/>
  <c r="Y416" i="8" s="1"/>
  <c r="W425" i="8"/>
  <c r="Y425" i="8" s="1"/>
  <c r="V428" i="8"/>
  <c r="W428" i="8" s="1"/>
  <c r="Y428" i="8" s="1"/>
  <c r="V467" i="8"/>
  <c r="W467" i="8" s="1"/>
  <c r="Y467" i="8" s="1"/>
  <c r="V471" i="8"/>
  <c r="W471" i="8" s="1"/>
  <c r="Y471" i="8" s="1"/>
  <c r="V492" i="8"/>
  <c r="W492" i="8" s="1"/>
  <c r="Y492" i="8" s="1"/>
  <c r="V535" i="8"/>
  <c r="W535" i="8"/>
  <c r="Y535" i="8" s="1"/>
  <c r="V626" i="8"/>
  <c r="W626" i="8" s="1"/>
  <c r="Y626" i="8" s="1"/>
  <c r="W660" i="8"/>
  <c r="Y660" i="8" s="1"/>
  <c r="V660" i="8"/>
  <c r="V883" i="8"/>
  <c r="W883" i="8" s="1"/>
  <c r="Y883" i="8" s="1"/>
  <c r="V891" i="8"/>
  <c r="W891" i="8"/>
  <c r="Y891" i="8" s="1"/>
  <c r="V914" i="8"/>
  <c r="W914" i="8" s="1"/>
  <c r="Y914" i="8" s="1"/>
  <c r="W404" i="8"/>
  <c r="Y404" i="8" s="1"/>
  <c r="W437" i="8"/>
  <c r="Y437" i="8" s="1"/>
  <c r="V437" i="8"/>
  <c r="V453" i="8"/>
  <c r="W453" i="8" s="1"/>
  <c r="Y453" i="8" s="1"/>
  <c r="W485" i="8"/>
  <c r="Y485" i="8" s="1"/>
  <c r="V575" i="8"/>
  <c r="W575" i="8"/>
  <c r="Y575" i="8" s="1"/>
  <c r="V658" i="8"/>
  <c r="W658" i="8"/>
  <c r="Y658" i="8" s="1"/>
  <c r="V689" i="8"/>
  <c r="W689" i="8"/>
  <c r="Y689" i="8" s="1"/>
  <c r="V700" i="8"/>
  <c r="W700" i="8"/>
  <c r="Y700" i="8" s="1"/>
  <c r="V730" i="8"/>
  <c r="W730" i="8" s="1"/>
  <c r="Y730" i="8" s="1"/>
  <c r="V801" i="8"/>
  <c r="W801" i="8" s="1"/>
  <c r="Y801" i="8" s="1"/>
  <c r="V987" i="8"/>
  <c r="W987" i="8" s="1"/>
  <c r="Y987" i="8" s="1"/>
  <c r="W365" i="8"/>
  <c r="Y365" i="8" s="1"/>
  <c r="W373" i="8"/>
  <c r="Y373" i="8" s="1"/>
  <c r="W381" i="8"/>
  <c r="Y381" i="8" s="1"/>
  <c r="W389" i="8"/>
  <c r="Y389" i="8" s="1"/>
  <c r="V404" i="8"/>
  <c r="W413" i="8"/>
  <c r="Y413" i="8" s="1"/>
  <c r="V420" i="8"/>
  <c r="W420" i="8" s="1"/>
  <c r="Y420" i="8" s="1"/>
  <c r="V485" i="8"/>
  <c r="V507" i="8"/>
  <c r="W507" i="8" s="1"/>
  <c r="Y507" i="8" s="1"/>
  <c r="V540" i="8"/>
  <c r="W540" i="8"/>
  <c r="Y540" i="8" s="1"/>
  <c r="W554" i="8"/>
  <c r="Y554" i="8" s="1"/>
  <c r="W556" i="8"/>
  <c r="Y556" i="8" s="1"/>
  <c r="V591" i="8"/>
  <c r="W591" i="8"/>
  <c r="Y591" i="8" s="1"/>
  <c r="V955" i="8"/>
  <c r="W955" i="8"/>
  <c r="Y955" i="8" s="1"/>
  <c r="W408" i="8"/>
  <c r="Y408" i="8" s="1"/>
  <c r="W424" i="8"/>
  <c r="Y424" i="8" s="1"/>
  <c r="W432" i="8"/>
  <c r="Y432" i="8" s="1"/>
  <c r="W441" i="8"/>
  <c r="Y441" i="8" s="1"/>
  <c r="V441" i="8"/>
  <c r="W456" i="8"/>
  <c r="Y456" i="8" s="1"/>
  <c r="W460" i="8"/>
  <c r="Y460" i="8" s="1"/>
  <c r="W468" i="8"/>
  <c r="Y468" i="8" s="1"/>
  <c r="V493" i="8"/>
  <c r="W493" i="8" s="1"/>
  <c r="Y493" i="8" s="1"/>
  <c r="W499" i="8"/>
  <c r="Y499" i="8" s="1"/>
  <c r="W503" i="8"/>
  <c r="Y503" i="8" s="1"/>
  <c r="V503" i="8"/>
  <c r="W517" i="8"/>
  <c r="Y517" i="8" s="1"/>
  <c r="V523" i="8"/>
  <c r="W523" i="8" s="1"/>
  <c r="Y523" i="8" s="1"/>
  <c r="V529" i="8"/>
  <c r="W529" i="8" s="1"/>
  <c r="Y529" i="8" s="1"/>
  <c r="V538" i="8"/>
  <c r="W538" i="8"/>
  <c r="Y538" i="8" s="1"/>
  <c r="V934" i="8"/>
  <c r="W934" i="8"/>
  <c r="Y934" i="8" s="1"/>
  <c r="W451" i="8"/>
  <c r="Y451" i="8" s="1"/>
  <c r="V454" i="8"/>
  <c r="W454" i="8" s="1"/>
  <c r="Y454" i="8" s="1"/>
  <c r="W515" i="8"/>
  <c r="Y515" i="8" s="1"/>
  <c r="V515" i="8"/>
  <c r="V543" i="8"/>
  <c r="W543" i="8" s="1"/>
  <c r="Y543" i="8" s="1"/>
  <c r="W545" i="8"/>
  <c r="Y545" i="8" s="1"/>
  <c r="V695" i="8"/>
  <c r="W695" i="8" s="1"/>
  <c r="Y695" i="8" s="1"/>
  <c r="W525" i="8"/>
  <c r="Y525" i="8" s="1"/>
  <c r="V615" i="8"/>
  <c r="W615" i="8"/>
  <c r="Y615" i="8" s="1"/>
  <c r="V636" i="8"/>
  <c r="W636" i="8" s="1"/>
  <c r="Y636" i="8" s="1"/>
  <c r="V647" i="8"/>
  <c r="W647" i="8"/>
  <c r="Y647" i="8" s="1"/>
  <c r="V668" i="8"/>
  <c r="W668" i="8" s="1"/>
  <c r="Y668" i="8" s="1"/>
  <c r="W693" i="8"/>
  <c r="Y693" i="8" s="1"/>
  <c r="W702" i="8"/>
  <c r="Y702" i="8" s="1"/>
  <c r="V702" i="8"/>
  <c r="V826" i="8"/>
  <c r="W826" i="8" s="1"/>
  <c r="Y826" i="8" s="1"/>
  <c r="W858" i="8"/>
  <c r="Y858" i="8" s="1"/>
  <c r="W878" i="8"/>
  <c r="Y878" i="8" s="1"/>
  <c r="V878" i="8"/>
  <c r="W995" i="8"/>
  <c r="Y995" i="8" s="1"/>
  <c r="V995" i="8"/>
  <c r="W580" i="8"/>
  <c r="Y580" i="8" s="1"/>
  <c r="V580" i="8"/>
  <c r="V588" i="8"/>
  <c r="W588" i="8" s="1"/>
  <c r="Y588" i="8" s="1"/>
  <c r="W596" i="8"/>
  <c r="Y596" i="8" s="1"/>
  <c r="V596" i="8"/>
  <c r="W604" i="8"/>
  <c r="Y604" i="8" s="1"/>
  <c r="V604" i="8"/>
  <c r="W612" i="8"/>
  <c r="Y612" i="8" s="1"/>
  <c r="V612" i="8"/>
  <c r="V623" i="8"/>
  <c r="W623" i="8"/>
  <c r="Y623" i="8" s="1"/>
  <c r="W644" i="8"/>
  <c r="Y644" i="8" s="1"/>
  <c r="V644" i="8"/>
  <c r="V655" i="8"/>
  <c r="W655" i="8" s="1"/>
  <c r="Y655" i="8" s="1"/>
  <c r="W676" i="8"/>
  <c r="Y676" i="8" s="1"/>
  <c r="V676" i="8"/>
  <c r="V486" i="8"/>
  <c r="W486" i="8" s="1"/>
  <c r="Y486" i="8" s="1"/>
  <c r="W514" i="8"/>
  <c r="Y514" i="8" s="1"/>
  <c r="W522" i="8"/>
  <c r="Y522" i="8" s="1"/>
  <c r="W531" i="8"/>
  <c r="Y531" i="8" s="1"/>
  <c r="V531" i="8"/>
  <c r="V559" i="8"/>
  <c r="W559" i="8"/>
  <c r="Y559" i="8" s="1"/>
  <c r="W561" i="8"/>
  <c r="Y561" i="8" s="1"/>
  <c r="W578" i="8"/>
  <c r="Y578" i="8" s="1"/>
  <c r="W586" i="8"/>
  <c r="Y586" i="8" s="1"/>
  <c r="W594" i="8"/>
  <c r="Y594" i="8" s="1"/>
  <c r="W602" i="8"/>
  <c r="Y602" i="8" s="1"/>
  <c r="W610" i="8"/>
  <c r="Y610" i="8" s="1"/>
  <c r="W642" i="8"/>
  <c r="Y642" i="8" s="1"/>
  <c r="W674" i="8"/>
  <c r="Y674" i="8" s="1"/>
  <c r="W686" i="8"/>
  <c r="Y686" i="8" s="1"/>
  <c r="V686" i="8"/>
  <c r="W698" i="8"/>
  <c r="Y698" i="8" s="1"/>
  <c r="V698" i="8"/>
  <c r="W749" i="8"/>
  <c r="Y749" i="8" s="1"/>
  <c r="V749" i="8"/>
  <c r="V785" i="8"/>
  <c r="W785" i="8" s="1"/>
  <c r="Y785" i="8" s="1"/>
  <c r="V920" i="8"/>
  <c r="W920" i="8" s="1"/>
  <c r="Y920" i="8" s="1"/>
  <c r="W458" i="8"/>
  <c r="Y458" i="8" s="1"/>
  <c r="V483" i="8"/>
  <c r="W483" i="8" s="1"/>
  <c r="Y483" i="8" s="1"/>
  <c r="W494" i="8"/>
  <c r="Y494" i="8" s="1"/>
  <c r="W620" i="8"/>
  <c r="Y620" i="8" s="1"/>
  <c r="V620" i="8"/>
  <c r="V631" i="8"/>
  <c r="W631" i="8"/>
  <c r="Y631" i="8" s="1"/>
  <c r="W652" i="8"/>
  <c r="Y652" i="8" s="1"/>
  <c r="V652" i="8"/>
  <c r="V663" i="8"/>
  <c r="W663" i="8" s="1"/>
  <c r="Y663" i="8" s="1"/>
  <c r="W705" i="8"/>
  <c r="Y705" i="8" s="1"/>
  <c r="V709" i="8"/>
  <c r="W709" i="8" s="1"/>
  <c r="Y709" i="8" s="1"/>
  <c r="W711" i="8"/>
  <c r="Y711" i="8" s="1"/>
  <c r="W733" i="8"/>
  <c r="Y733" i="8" s="1"/>
  <c r="V681" i="8"/>
  <c r="W681" i="8"/>
  <c r="Y681" i="8" s="1"/>
  <c r="W742" i="8"/>
  <c r="Y742" i="8" s="1"/>
  <c r="W746" i="8"/>
  <c r="Y746" i="8" s="1"/>
  <c r="V761" i="8"/>
  <c r="W761" i="8" s="1"/>
  <c r="Y761" i="8" s="1"/>
  <c r="V798" i="8"/>
  <c r="W798" i="8" s="1"/>
  <c r="Y798" i="8" s="1"/>
  <c r="W816" i="8"/>
  <c r="Y816" i="8" s="1"/>
  <c r="V949" i="8"/>
  <c r="W949" i="8" s="1"/>
  <c r="Y949" i="8" s="1"/>
  <c r="V697" i="8"/>
  <c r="W697" i="8" s="1"/>
  <c r="Y697" i="8" s="1"/>
  <c r="V699" i="8"/>
  <c r="W699" i="8" s="1"/>
  <c r="Y699" i="8" s="1"/>
  <c r="V809" i="8"/>
  <c r="W809" i="8" s="1"/>
  <c r="Y809" i="8" s="1"/>
  <c r="V947" i="8"/>
  <c r="W947" i="8" s="1"/>
  <c r="Y947" i="8" s="1"/>
  <c r="V990" i="8"/>
  <c r="W990" i="8" s="1"/>
  <c r="Y990" i="8" s="1"/>
  <c r="W692" i="8"/>
  <c r="Y692" i="8" s="1"/>
  <c r="W718" i="8"/>
  <c r="Y718" i="8" s="1"/>
  <c r="W753" i="8"/>
  <c r="Y753" i="8" s="1"/>
  <c r="V793" i="8"/>
  <c r="W793" i="8" s="1"/>
  <c r="Y793" i="8" s="1"/>
  <c r="W804" i="8"/>
  <c r="Y804" i="8" s="1"/>
  <c r="W834" i="8"/>
  <c r="Y834" i="8" s="1"/>
  <c r="V834" i="8"/>
  <c r="V846" i="8"/>
  <c r="W846" i="8" s="1"/>
  <c r="Y846" i="8" s="1"/>
  <c r="W911" i="8"/>
  <c r="Y911" i="8" s="1"/>
  <c r="W518" i="8"/>
  <c r="Y518" i="8" s="1"/>
  <c r="W534" i="8"/>
  <c r="Y534" i="8" s="1"/>
  <c r="W542" i="8"/>
  <c r="Y542" i="8" s="1"/>
  <c r="W550" i="8"/>
  <c r="Y550" i="8" s="1"/>
  <c r="W558" i="8"/>
  <c r="Y558" i="8" s="1"/>
  <c r="W566" i="8"/>
  <c r="Y566" i="8" s="1"/>
  <c r="W574" i="8"/>
  <c r="Y574" i="8" s="1"/>
  <c r="W582" i="8"/>
  <c r="Y582" i="8" s="1"/>
  <c r="W590" i="8"/>
  <c r="Y590" i="8" s="1"/>
  <c r="W598" i="8"/>
  <c r="Y598" i="8" s="1"/>
  <c r="W606" i="8"/>
  <c r="Y606" i="8" s="1"/>
  <c r="W694" i="8"/>
  <c r="Y694" i="8" s="1"/>
  <c r="W720" i="8"/>
  <c r="Y720" i="8" s="1"/>
  <c r="V729" i="8"/>
  <c r="W729" i="8" s="1"/>
  <c r="Y729" i="8" s="1"/>
  <c r="W758" i="8"/>
  <c r="Y758" i="8" s="1"/>
  <c r="W762" i="8"/>
  <c r="Y762" i="8" s="1"/>
  <c r="V762" i="8"/>
  <c r="W772" i="8"/>
  <c r="Y772" i="8" s="1"/>
  <c r="V777" i="8"/>
  <c r="W777" i="8" s="1"/>
  <c r="Y777" i="8" s="1"/>
  <c r="W788" i="8"/>
  <c r="Y788" i="8" s="1"/>
  <c r="W838" i="8"/>
  <c r="Y838" i="8" s="1"/>
  <c r="W856" i="8"/>
  <c r="Y856" i="8" s="1"/>
  <c r="W866" i="8"/>
  <c r="Y866" i="8" s="1"/>
  <c r="V866" i="8"/>
  <c r="W870" i="8"/>
  <c r="Y870" i="8" s="1"/>
  <c r="V870" i="8"/>
  <c r="V982" i="8"/>
  <c r="W982" i="8" s="1"/>
  <c r="Y982" i="8" s="1"/>
  <c r="V1020" i="8"/>
  <c r="W1020" i="8"/>
  <c r="Y1020" i="8" s="1"/>
  <c r="W682" i="8"/>
  <c r="Y682" i="8" s="1"/>
  <c r="W717" i="8"/>
  <c r="Y717" i="8" s="1"/>
  <c r="W769" i="8"/>
  <c r="Y769" i="8" s="1"/>
  <c r="W774" i="8"/>
  <c r="Y774" i="8" s="1"/>
  <c r="W797" i="8"/>
  <c r="Y797" i="8" s="1"/>
  <c r="V797" i="8"/>
  <c r="V898" i="8"/>
  <c r="W898" i="8"/>
  <c r="Y898" i="8" s="1"/>
  <c r="V923" i="8"/>
  <c r="W923" i="8" s="1"/>
  <c r="Y923" i="8" s="1"/>
  <c r="W999" i="8"/>
  <c r="Y999" i="8" s="1"/>
  <c r="V1003" i="8"/>
  <c r="W1003" i="8" s="1"/>
  <c r="Y1003" i="8" s="1"/>
  <c r="W806" i="8"/>
  <c r="Y806" i="8" s="1"/>
  <c r="W817" i="8"/>
  <c r="Y817" i="8" s="1"/>
  <c r="V915" i="8"/>
  <c r="W915" i="8" s="1"/>
  <c r="Y915" i="8" s="1"/>
  <c r="W1043" i="8"/>
  <c r="Y1043" i="8" s="1"/>
  <c r="V1043" i="8"/>
  <c r="W685" i="8"/>
  <c r="Y685" i="8" s="1"/>
  <c r="W701" i="8"/>
  <c r="Y701" i="8" s="1"/>
  <c r="V713" i="8"/>
  <c r="W713" i="8" s="1"/>
  <c r="Y713" i="8" s="1"/>
  <c r="W724" i="8"/>
  <c r="Y724" i="8" s="1"/>
  <c r="V765" i="8"/>
  <c r="W765" i="8" s="1"/>
  <c r="Y765" i="8" s="1"/>
  <c r="W781" i="8"/>
  <c r="Y781" i="8" s="1"/>
  <c r="W792" i="8"/>
  <c r="Y792" i="8" s="1"/>
  <c r="V806" i="8"/>
  <c r="V817" i="8"/>
  <c r="W822" i="8"/>
  <c r="Y822" i="8" s="1"/>
  <c r="V850" i="8"/>
  <c r="W850" i="8" s="1"/>
  <c r="Y850" i="8" s="1"/>
  <c r="W888" i="8"/>
  <c r="Y888" i="8" s="1"/>
  <c r="W895" i="8"/>
  <c r="Y895" i="8" s="1"/>
  <c r="W901" i="8"/>
  <c r="Y901" i="8" s="1"/>
  <c r="V1019" i="8"/>
  <c r="W1019" i="8" s="1"/>
  <c r="Y1019" i="8" s="1"/>
  <c r="V1028" i="8"/>
  <c r="W1028" i="8" s="1"/>
  <c r="Y1028" i="8" s="1"/>
  <c r="W1032" i="8"/>
  <c r="Y1032" i="8" s="1"/>
  <c r="W726" i="8"/>
  <c r="Y726" i="8" s="1"/>
  <c r="W737" i="8"/>
  <c r="Y737" i="8" s="1"/>
  <c r="V745" i="8"/>
  <c r="W745" i="8" s="1"/>
  <c r="Y745" i="8" s="1"/>
  <c r="W756" i="8"/>
  <c r="Y756" i="8" s="1"/>
  <c r="W800" i="8"/>
  <c r="Y800" i="8" s="1"/>
  <c r="W813" i="8"/>
  <c r="Y813" i="8" s="1"/>
  <c r="W844" i="8"/>
  <c r="Y844" i="8" s="1"/>
  <c r="W852" i="8"/>
  <c r="Y852" i="8" s="1"/>
  <c r="W864" i="8"/>
  <c r="Y864" i="8" s="1"/>
  <c r="W929" i="8"/>
  <c r="Y929" i="8" s="1"/>
  <c r="V931" i="8"/>
  <c r="W931" i="8"/>
  <c r="Y931" i="8" s="1"/>
  <c r="W961" i="8"/>
  <c r="Y961" i="8" s="1"/>
  <c r="V963" i="8"/>
  <c r="W963" i="8" s="1"/>
  <c r="Y963" i="8" s="1"/>
  <c r="V1039" i="8"/>
  <c r="W1039" i="8" s="1"/>
  <c r="Y1039" i="8" s="1"/>
  <c r="V1044" i="8"/>
  <c r="W1044" i="8"/>
  <c r="Y1044" i="8" s="1"/>
  <c r="W885" i="8"/>
  <c r="Y885" i="8" s="1"/>
  <c r="W716" i="8"/>
  <c r="Y716" i="8" s="1"/>
  <c r="W732" i="8"/>
  <c r="Y732" i="8" s="1"/>
  <c r="W748" i="8"/>
  <c r="Y748" i="8" s="1"/>
  <c r="W780" i="8"/>
  <c r="Y780" i="8" s="1"/>
  <c r="W796" i="8"/>
  <c r="Y796" i="8" s="1"/>
  <c r="W812" i="8"/>
  <c r="Y812" i="8" s="1"/>
  <c r="W842" i="8"/>
  <c r="Y842" i="8" s="1"/>
  <c r="W848" i="8"/>
  <c r="Y848" i="8" s="1"/>
  <c r="V854" i="8"/>
  <c r="W854" i="8" s="1"/>
  <c r="Y854" i="8" s="1"/>
  <c r="W874" i="8"/>
  <c r="Y874" i="8" s="1"/>
  <c r="V885" i="8"/>
  <c r="V895" i="8"/>
  <c r="V917" i="8"/>
  <c r="W917" i="8" s="1"/>
  <c r="Y917" i="8" s="1"/>
  <c r="W933" i="8"/>
  <c r="Y933" i="8" s="1"/>
  <c r="W935" i="8"/>
  <c r="Y935" i="8" s="1"/>
  <c r="V937" i="8"/>
  <c r="W937" i="8" s="1"/>
  <c r="Y937" i="8" s="1"/>
  <c r="W950" i="8"/>
  <c r="Y950" i="8" s="1"/>
  <c r="W965" i="8"/>
  <c r="Y965" i="8" s="1"/>
  <c r="W967" i="8"/>
  <c r="Y967" i="8" s="1"/>
  <c r="V969" i="8"/>
  <c r="W969" i="8" s="1"/>
  <c r="Y969" i="8" s="1"/>
  <c r="V971" i="8"/>
  <c r="W971" i="8" s="1"/>
  <c r="Y971" i="8" s="1"/>
  <c r="W998" i="8"/>
  <c r="Y998" i="8" s="1"/>
  <c r="V1012" i="8"/>
  <c r="W1012" i="8"/>
  <c r="Y1012" i="8" s="1"/>
  <c r="W1016" i="8"/>
  <c r="Y1016" i="8" s="1"/>
  <c r="W1027" i="8"/>
  <c r="Y1027" i="8" s="1"/>
  <c r="V1027" i="8"/>
  <c r="W712" i="8"/>
  <c r="Y712" i="8" s="1"/>
  <c r="W725" i="8"/>
  <c r="Y725" i="8" s="1"/>
  <c r="W741" i="8"/>
  <c r="Y741" i="8" s="1"/>
  <c r="W757" i="8"/>
  <c r="Y757" i="8" s="1"/>
  <c r="W773" i="8"/>
  <c r="Y773" i="8" s="1"/>
  <c r="W789" i="8"/>
  <c r="Y789" i="8" s="1"/>
  <c r="W805" i="8"/>
  <c r="Y805" i="8" s="1"/>
  <c r="W821" i="8"/>
  <c r="Y821" i="8" s="1"/>
  <c r="W830" i="8"/>
  <c r="Y830" i="8" s="1"/>
  <c r="W836" i="8"/>
  <c r="Y836" i="8" s="1"/>
  <c r="W862" i="8"/>
  <c r="Y862" i="8" s="1"/>
  <c r="W904" i="8"/>
  <c r="Y904" i="8" s="1"/>
  <c r="W975" i="8"/>
  <c r="Y975" i="8" s="1"/>
  <c r="V979" i="8"/>
  <c r="W979" i="8" s="1"/>
  <c r="Y979" i="8" s="1"/>
  <c r="W1023" i="8"/>
  <c r="Y1023" i="8" s="1"/>
  <c r="V1036" i="8"/>
  <c r="W1036" i="8"/>
  <c r="Y1036" i="8" s="1"/>
  <c r="W1031" i="8"/>
  <c r="Y1031" i="8" s="1"/>
  <c r="V1015" i="8"/>
  <c r="W1015" i="8" s="1"/>
  <c r="Y1015" i="8" s="1"/>
  <c r="W1024" i="8"/>
  <c r="Y1024" i="8" s="1"/>
  <c r="V1031" i="8"/>
  <c r="W1040" i="8"/>
  <c r="Y1040" i="8" s="1"/>
  <c r="E38" i="9" l="1"/>
  <c r="E42" i="9"/>
  <c r="E41" i="9"/>
  <c r="E39" i="9"/>
  <c r="E40" i="9"/>
  <c r="M38" i="6" l="1"/>
  <c r="K38" i="6"/>
  <c r="J38" i="6"/>
  <c r="G38" i="6"/>
  <c r="E38" i="6"/>
  <c r="M37" i="6"/>
  <c r="K37" i="6"/>
  <c r="J37" i="6"/>
  <c r="G37" i="6"/>
  <c r="E37" i="6"/>
  <c r="M36" i="6"/>
  <c r="K36" i="6"/>
  <c r="J36" i="6"/>
  <c r="G36" i="6"/>
  <c r="E36" i="6"/>
  <c r="M35" i="6"/>
  <c r="K35" i="6"/>
  <c r="J35" i="6"/>
  <c r="G35" i="6"/>
  <c r="E35" i="6"/>
  <c r="M34" i="6"/>
  <c r="K34" i="6"/>
  <c r="J34" i="6"/>
  <c r="G34" i="6"/>
  <c r="E34" i="6"/>
  <c r="M33" i="6"/>
  <c r="K33" i="6"/>
  <c r="J33" i="6"/>
  <c r="G33" i="6"/>
  <c r="E33" i="6"/>
  <c r="M32" i="6"/>
  <c r="K32" i="6"/>
  <c r="J32" i="6"/>
  <c r="G32" i="6"/>
  <c r="E32" i="6"/>
  <c r="M31" i="6"/>
  <c r="K31" i="6"/>
  <c r="J31" i="6"/>
  <c r="G31" i="6"/>
  <c r="E31" i="6"/>
  <c r="M30" i="6"/>
  <c r="K30" i="6"/>
  <c r="J30" i="6"/>
  <c r="G30" i="6"/>
  <c r="E30" i="6"/>
  <c r="M29" i="6"/>
  <c r="K29" i="6"/>
  <c r="J29" i="6"/>
  <c r="G29" i="6"/>
  <c r="E29" i="6"/>
  <c r="M28" i="6"/>
  <c r="K28" i="6"/>
  <c r="J28" i="6"/>
  <c r="G28" i="6"/>
  <c r="E28" i="6"/>
  <c r="M27" i="6"/>
  <c r="K27" i="6"/>
  <c r="J27" i="6"/>
  <c r="G27" i="6"/>
  <c r="E27" i="6"/>
  <c r="M26" i="6"/>
  <c r="K26" i="6"/>
  <c r="J26" i="6"/>
  <c r="G26" i="6"/>
  <c r="E26" i="6"/>
  <c r="M25" i="6"/>
  <c r="K25" i="6"/>
  <c r="J25" i="6"/>
  <c r="G25" i="6"/>
  <c r="E25" i="6"/>
  <c r="M24" i="6"/>
  <c r="K24" i="6"/>
  <c r="J24" i="6"/>
  <c r="G24" i="6"/>
  <c r="E24" i="6"/>
  <c r="M23" i="6"/>
  <c r="K23" i="6"/>
  <c r="J23" i="6"/>
  <c r="G23" i="6"/>
  <c r="E23" i="6"/>
  <c r="M22" i="6"/>
  <c r="K22" i="6"/>
  <c r="J22" i="6"/>
  <c r="G22" i="6"/>
  <c r="E22" i="6"/>
  <c r="M21" i="6"/>
  <c r="K21" i="6"/>
  <c r="J21" i="6"/>
  <c r="G21" i="6"/>
  <c r="E21" i="6"/>
  <c r="M20" i="6"/>
  <c r="K20" i="6"/>
  <c r="J20" i="6"/>
  <c r="G20" i="6"/>
  <c r="E20" i="6"/>
  <c r="M19" i="6"/>
  <c r="K19" i="6"/>
  <c r="J19" i="6"/>
  <c r="G19" i="6"/>
  <c r="E19" i="6"/>
  <c r="M18" i="6"/>
  <c r="K18" i="6"/>
  <c r="J18" i="6"/>
  <c r="G18" i="6"/>
  <c r="E18" i="6"/>
  <c r="M17" i="6"/>
  <c r="K17" i="6"/>
  <c r="J17" i="6"/>
  <c r="G17" i="6"/>
  <c r="E17" i="6"/>
  <c r="M16" i="6"/>
  <c r="K16" i="6"/>
  <c r="J16" i="6"/>
  <c r="G16" i="6"/>
  <c r="E16" i="6"/>
  <c r="M15" i="6"/>
  <c r="K15" i="6"/>
  <c r="J15" i="6"/>
  <c r="G15" i="6"/>
  <c r="E15" i="6"/>
  <c r="M14" i="6"/>
  <c r="K14" i="6"/>
  <c r="J14" i="6"/>
  <c r="G14" i="6"/>
  <c r="E14" i="6"/>
  <c r="M13" i="6"/>
  <c r="K13" i="6"/>
  <c r="J13" i="6"/>
  <c r="G13" i="6"/>
  <c r="E13" i="6"/>
  <c r="M12" i="6"/>
  <c r="K12" i="6"/>
  <c r="J12" i="6"/>
  <c r="G12" i="6"/>
  <c r="E12" i="6"/>
  <c r="M11" i="6"/>
  <c r="K11" i="6"/>
  <c r="J11" i="6"/>
  <c r="G11" i="6"/>
  <c r="E11" i="6"/>
  <c r="M10" i="6"/>
  <c r="K10" i="6"/>
  <c r="J10" i="6"/>
  <c r="G10" i="6"/>
  <c r="E10" i="6"/>
  <c r="M9" i="6"/>
  <c r="K9" i="6"/>
  <c r="J9" i="6"/>
  <c r="G9" i="6"/>
  <c r="E9" i="6"/>
  <c r="M8" i="6"/>
  <c r="K8" i="6"/>
  <c r="J8" i="6"/>
  <c r="G8" i="6"/>
  <c r="E8" i="6"/>
  <c r="M7" i="6"/>
  <c r="K7" i="6"/>
  <c r="J7" i="6"/>
  <c r="G7" i="6"/>
  <c r="E7" i="6"/>
  <c r="M6" i="6"/>
  <c r="K6" i="6"/>
  <c r="J6" i="6"/>
  <c r="G6" i="6"/>
  <c r="E6" i="6"/>
  <c r="M5" i="6"/>
  <c r="K5" i="6"/>
  <c r="J5" i="6"/>
  <c r="G5" i="6"/>
  <c r="E5" i="6"/>
  <c r="M4" i="6"/>
  <c r="K4" i="6"/>
  <c r="J4" i="6"/>
  <c r="G4" i="6"/>
  <c r="E4" i="6"/>
  <c r="E28" i="4" l="1"/>
  <c r="D28" i="4"/>
  <c r="C28" i="4"/>
  <c r="F27" i="4"/>
  <c r="F26" i="4"/>
  <c r="F25" i="4"/>
  <c r="F24" i="4"/>
  <c r="F28" i="4" s="1"/>
  <c r="E21" i="4"/>
  <c r="D21" i="4"/>
  <c r="C21" i="4"/>
  <c r="F20" i="4"/>
  <c r="F19" i="4"/>
  <c r="F18" i="4"/>
  <c r="F17" i="4"/>
  <c r="F21" i="4" s="1"/>
  <c r="E14" i="4"/>
  <c r="E30" i="4" s="1"/>
  <c r="D14" i="4"/>
  <c r="D30" i="4" s="1"/>
  <c r="C14" i="4"/>
  <c r="C30" i="4" s="1"/>
  <c r="F13" i="4"/>
  <c r="F12" i="4"/>
  <c r="F11" i="4"/>
  <c r="F10" i="4"/>
  <c r="F9" i="4"/>
  <c r="F8" i="4"/>
  <c r="F14" i="4" s="1"/>
  <c r="F30" i="4" s="1"/>
  <c r="F7" i="4"/>
  <c r="E29" i="3" l="1"/>
  <c r="D29" i="3"/>
  <c r="C29" i="3"/>
  <c r="F28" i="3"/>
  <c r="F27" i="3"/>
  <c r="F26" i="3"/>
  <c r="F25" i="3"/>
  <c r="F24" i="3"/>
  <c r="F29" i="3" s="1"/>
  <c r="E21" i="3"/>
  <c r="D21" i="3"/>
  <c r="C21" i="3"/>
  <c r="F20" i="3"/>
  <c r="F19" i="3"/>
  <c r="F18" i="3"/>
  <c r="F17" i="3"/>
  <c r="F21" i="3" s="1"/>
  <c r="F13" i="3"/>
  <c r="F12" i="3"/>
  <c r="F11" i="3"/>
  <c r="F10" i="3"/>
  <c r="F9" i="3"/>
  <c r="D8" i="3"/>
  <c r="D14" i="3" s="1"/>
  <c r="D31" i="3" s="1"/>
  <c r="C8" i="3"/>
  <c r="C14" i="3" s="1"/>
  <c r="C31" i="3" s="1"/>
  <c r="E7" i="3"/>
  <c r="F7" i="3" s="1"/>
  <c r="D7" i="3"/>
  <c r="C7" i="3"/>
  <c r="D31" i="2"/>
  <c r="C31" i="2"/>
  <c r="E29" i="2"/>
  <c r="E31" i="2" s="1"/>
  <c r="D29" i="2"/>
  <c r="C29" i="2"/>
  <c r="F28" i="2"/>
  <c r="F27" i="2"/>
  <c r="F26" i="2"/>
  <c r="F25" i="2"/>
  <c r="F24" i="2"/>
  <c r="F29" i="2" s="1"/>
  <c r="E21" i="2"/>
  <c r="D21" i="2"/>
  <c r="C21" i="2"/>
  <c r="F20" i="2"/>
  <c r="F19" i="2"/>
  <c r="F18" i="2"/>
  <c r="F21" i="2" s="1"/>
  <c r="F17" i="2"/>
  <c r="E14" i="2"/>
  <c r="D14" i="2"/>
  <c r="C14" i="2"/>
  <c r="F13" i="2"/>
  <c r="F12" i="2"/>
  <c r="F11" i="2"/>
  <c r="F10" i="2"/>
  <c r="F9" i="2"/>
  <c r="F14" i="2" s="1"/>
  <c r="F8" i="2"/>
  <c r="F7" i="2"/>
  <c r="F31" i="2" l="1"/>
  <c r="E8" i="3"/>
  <c r="E14" i="3" s="1"/>
  <c r="E31" i="3" s="1"/>
  <c r="F8" i="3" l="1"/>
  <c r="F14" i="3" s="1"/>
  <c r="F31" i="3" s="1"/>
</calcChain>
</file>

<file path=xl/sharedStrings.xml><?xml version="1.0" encoding="utf-8"?>
<sst xmlns="http://schemas.openxmlformats.org/spreadsheetml/2006/main" count="25855" uniqueCount="2202">
  <si>
    <t>STAFF EXPENSES</t>
  </si>
  <si>
    <t>SYDNEY</t>
  </si>
  <si>
    <t>STAFF NAME:</t>
  </si>
  <si>
    <t>Sean Sanders</t>
  </si>
  <si>
    <t>MILEAGE RATE:</t>
  </si>
  <si>
    <t>TRANSPORTATION</t>
  </si>
  <si>
    <t>JULY</t>
  </si>
  <si>
    <t>AUGUST</t>
  </si>
  <si>
    <t>SEPTEMBER</t>
  </si>
  <si>
    <t>TOTAL</t>
  </si>
  <si>
    <t>Miles Driven</t>
  </si>
  <si>
    <t>Miles Reimbursement</t>
  </si>
  <si>
    <t>Parking And Tolls</t>
  </si>
  <si>
    <t>Auto Rental</t>
  </si>
  <si>
    <t>Taxi</t>
  </si>
  <si>
    <t>Other (Rail or Bus)</t>
  </si>
  <si>
    <t>Airfare</t>
  </si>
  <si>
    <t>LODGING &amp; MEALS</t>
  </si>
  <si>
    <t>Lodging</t>
  </si>
  <si>
    <t>Breakfast</t>
  </si>
  <si>
    <t>Lunch</t>
  </si>
  <si>
    <t>Dinner</t>
  </si>
  <si>
    <t>MISCELLANEOUS</t>
  </si>
  <si>
    <t>Supplies</t>
  </si>
  <si>
    <t>Equipment</t>
  </si>
  <si>
    <t>Phone, Fax, Internet</t>
  </si>
  <si>
    <t>Entertainment</t>
  </si>
  <si>
    <t>Other*</t>
  </si>
  <si>
    <t>GRAND TOTALS</t>
  </si>
  <si>
    <t>Uma Chaudri</t>
  </si>
  <si>
    <t>Carlos Martinez</t>
  </si>
  <si>
    <t>HR EXPENSES Q3</t>
  </si>
  <si>
    <t>DEPARTMENT:</t>
  </si>
  <si>
    <t>HUMAN RESOURCES</t>
  </si>
  <si>
    <t>Pushpin HR Database</t>
  </si>
  <si>
    <t>Date:</t>
  </si>
  <si>
    <t>Emp ID</t>
  </si>
  <si>
    <t>Last</t>
  </si>
  <si>
    <t>First</t>
  </si>
  <si>
    <t>Full Name</t>
  </si>
  <si>
    <t>Email</t>
  </si>
  <si>
    <t>Date of Hire</t>
  </si>
  <si>
    <t>Years Service</t>
  </si>
  <si>
    <t>Last Review</t>
  </si>
  <si>
    <t>Next Review</t>
  </si>
  <si>
    <t>Department</t>
  </si>
  <si>
    <t>Location</t>
  </si>
  <si>
    <t>Floor</t>
  </si>
  <si>
    <t>Extension</t>
  </si>
  <si>
    <t>Wing</t>
  </si>
  <si>
    <t>E1180</t>
  </si>
  <si>
    <t>Bacata</t>
  </si>
  <si>
    <t>Stevie</t>
  </si>
  <si>
    <t>Sales</t>
  </si>
  <si>
    <t>02-West 2635</t>
  </si>
  <si>
    <t>E1110</t>
  </si>
  <si>
    <t>BARRY</t>
  </si>
  <si>
    <t>Adam</t>
  </si>
  <si>
    <t>Customer Service</t>
  </si>
  <si>
    <t>02-West 2018</t>
  </si>
  <si>
    <t>E1232</t>
  </si>
  <si>
    <t>Betts</t>
  </si>
  <si>
    <t>Connor</t>
  </si>
  <si>
    <t>02-West 2347</t>
  </si>
  <si>
    <t>E1243</t>
  </si>
  <si>
    <t>martinez</t>
  </si>
  <si>
    <t>carlos</t>
  </si>
  <si>
    <t>Human Resources</t>
  </si>
  <si>
    <t>03-West 2764</t>
  </si>
  <si>
    <t>E1248</t>
  </si>
  <si>
    <t>Biti</t>
  </si>
  <si>
    <t>Yvette</t>
  </si>
  <si>
    <t>02-West 2589</t>
  </si>
  <si>
    <t>E1227</t>
  </si>
  <si>
    <t>BOLLER</t>
  </si>
  <si>
    <t>Jim</t>
  </si>
  <si>
    <t>Accounting</t>
  </si>
  <si>
    <t>03-North 2318</t>
  </si>
  <si>
    <t>E1230</t>
  </si>
  <si>
    <t>Bui</t>
  </si>
  <si>
    <t>Charlie</t>
  </si>
  <si>
    <t>02-North 2694</t>
  </si>
  <si>
    <t>E1162</t>
  </si>
  <si>
    <t>Carlton</t>
  </si>
  <si>
    <t>Tina</t>
  </si>
  <si>
    <t>02-West 2699</t>
  </si>
  <si>
    <t>E1001</t>
  </si>
  <si>
    <t>CAROL</t>
  </si>
  <si>
    <t>Joe</t>
  </si>
  <si>
    <t>Executive</t>
  </si>
  <si>
    <t>01-North 2321</t>
  </si>
  <si>
    <t>E1224</t>
  </si>
  <si>
    <t>CHAFFEE</t>
  </si>
  <si>
    <t>Facilities</t>
  </si>
  <si>
    <t>03-West 2432</t>
  </si>
  <si>
    <t>E1203</t>
  </si>
  <si>
    <t>Chairs</t>
  </si>
  <si>
    <t>Samantha</t>
  </si>
  <si>
    <t>02-West 2962</t>
  </si>
  <si>
    <t>E1211</t>
  </si>
  <si>
    <t>CHAUDRI</t>
  </si>
  <si>
    <t>Uma</t>
  </si>
  <si>
    <t>03-North 2134</t>
  </si>
  <si>
    <t>E1198</t>
  </si>
  <si>
    <t>CHU</t>
  </si>
  <si>
    <t>Elizabeth</t>
  </si>
  <si>
    <t>IT</t>
  </si>
  <si>
    <t>01-West 2425</t>
  </si>
  <si>
    <t>E1003</t>
  </si>
  <si>
    <t>CHUNG</t>
  </si>
  <si>
    <t>Eric</t>
  </si>
  <si>
    <t>03-West 2796</t>
  </si>
  <si>
    <t>E1253</t>
  </si>
  <si>
    <t>CLARK</t>
  </si>
  <si>
    <t>elizabeth</t>
  </si>
  <si>
    <t>02-West 2414</t>
  </si>
  <si>
    <t>E1235</t>
  </si>
  <si>
    <t>ANNA</t>
  </si>
  <si>
    <t>03-West 2601</t>
  </si>
  <si>
    <t>E1221</t>
  </si>
  <si>
    <t>COLE</t>
  </si>
  <si>
    <t>Sabrina</t>
  </si>
  <si>
    <t>02-West 2537</t>
  </si>
  <si>
    <t>E1186</t>
  </si>
  <si>
    <t>COMUNTZIS</t>
  </si>
  <si>
    <t>Janet</t>
  </si>
  <si>
    <t>02-West 2286</t>
  </si>
  <si>
    <t>E1218</t>
  </si>
  <si>
    <t>DECKER</t>
  </si>
  <si>
    <t>Bob</t>
  </si>
  <si>
    <t>01-North 2086</t>
  </si>
  <si>
    <t>E1215</t>
  </si>
  <si>
    <t>DESIATO</t>
  </si>
  <si>
    <t>01-North 2358</t>
  </si>
  <si>
    <t>E1241</t>
  </si>
  <si>
    <t>DONNELL</t>
  </si>
  <si>
    <t>Alexandra</t>
  </si>
  <si>
    <t>03-West 2082</t>
  </si>
  <si>
    <t>E1246</t>
  </si>
  <si>
    <t>ELLIS</t>
  </si>
  <si>
    <t>Mark</t>
  </si>
  <si>
    <t>03-West 2482</t>
  </si>
  <si>
    <t>E1172</t>
  </si>
  <si>
    <t>Fernandes</t>
  </si>
  <si>
    <t>Nicholas</t>
  </si>
  <si>
    <t>02-North 2372</t>
  </si>
  <si>
    <t>E1134</t>
  </si>
  <si>
    <t>FERRIS</t>
  </si>
  <si>
    <t>Mary</t>
  </si>
  <si>
    <t>03-North 2392</t>
  </si>
  <si>
    <t>E1150</t>
  </si>
  <si>
    <t>FILOSA</t>
  </si>
  <si>
    <t>Susan</t>
  </si>
  <si>
    <t>02-West 2279</t>
  </si>
  <si>
    <t>E1004</t>
  </si>
  <si>
    <t>FLANDERS</t>
  </si>
  <si>
    <t>Daniel</t>
  </si>
  <si>
    <t>02-North 2639</t>
  </si>
  <si>
    <t>E1239</t>
  </si>
  <si>
    <t>Forrest</t>
  </si>
  <si>
    <t>Leighton</t>
  </si>
  <si>
    <t>02-North 2284</t>
  </si>
  <si>
    <t>E1250</t>
  </si>
  <si>
    <t>Gour</t>
  </si>
  <si>
    <t>Phoebe</t>
  </si>
  <si>
    <t>02-North 2910</t>
  </si>
  <si>
    <t>E1192</t>
  </si>
  <si>
    <t>Khan</t>
  </si>
  <si>
    <t>Mihael</t>
  </si>
  <si>
    <t>02-North 2294</t>
  </si>
  <si>
    <t>E1249</t>
  </si>
  <si>
    <t>SANDERS</t>
  </si>
  <si>
    <t>Sean</t>
  </si>
  <si>
    <t>03-West 2765</t>
  </si>
  <si>
    <t>E1245</t>
  </si>
  <si>
    <t>Staples</t>
  </si>
  <si>
    <t>Radhya</t>
  </si>
  <si>
    <t>02-North 2260</t>
  </si>
  <si>
    <t>E1207</t>
  </si>
  <si>
    <t>Song</t>
  </si>
  <si>
    <t>Natasha</t>
  </si>
  <si>
    <t>02-West 2578</t>
  </si>
  <si>
    <t>E1244</t>
  </si>
  <si>
    <t>Senome</t>
  </si>
  <si>
    <t>Preston</t>
  </si>
  <si>
    <t>02-North 2654</t>
  </si>
  <si>
    <t>E1252</t>
  </si>
  <si>
    <t>WANG</t>
  </si>
  <si>
    <t>Mei</t>
  </si>
  <si>
    <t>01-West 2783</t>
  </si>
  <si>
    <t>E1237</t>
  </si>
  <si>
    <t>Zhang</t>
  </si>
  <si>
    <t>Aanya</t>
  </si>
  <si>
    <t>02-North 2793</t>
  </si>
  <si>
    <t>Contribution</t>
  </si>
  <si>
    <t>Gender</t>
  </si>
  <si>
    <t>Annual Salary</t>
  </si>
  <si>
    <t xml:space="preserve">Pension </t>
  </si>
  <si>
    <t>M</t>
  </si>
  <si>
    <t>F</t>
  </si>
  <si>
    <t>Barbara</t>
  </si>
  <si>
    <t>02-North 2578</t>
  </si>
  <si>
    <t>Peter</t>
  </si>
  <si>
    <t>Total Salaries:</t>
  </si>
  <si>
    <t>Average Salary:</t>
  </si>
  <si>
    <t>Highest Salary:</t>
  </si>
  <si>
    <t>Lowest Salary:</t>
  </si>
  <si>
    <t xml:space="preserve"> Shipping Data</t>
  </si>
  <si>
    <t>Orders:</t>
  </si>
  <si>
    <t>Missing Priorities:</t>
  </si>
  <si>
    <t>Shipped:</t>
  </si>
  <si>
    <t>Order No</t>
  </si>
  <si>
    <t>Order Date</t>
  </si>
  <si>
    <t>Order Year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</si>
  <si>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</si>
  <si>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</si>
  <si>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</si>
  <si>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</si>
  <si>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</si>
  <si>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</si>
  <si>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</si>
  <si>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</si>
  <si>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</si>
  <si>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</si>
  <si>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</si>
  <si>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</si>
  <si>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</si>
  <si>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</si>
  <si>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Profit Margin</t>
  </si>
  <si>
    <t>Order Quantity</t>
  </si>
  <si>
    <t>Sub Total</t>
  </si>
  <si>
    <t>Discount %</t>
  </si>
  <si>
    <t>Discount $</t>
  </si>
  <si>
    <t>Order Total</t>
  </si>
  <si>
    <t>Shipping Cost</t>
  </si>
  <si>
    <t>Total</t>
  </si>
  <si>
    <t>5014-1</t>
  </si>
  <si>
    <t>Patrick Jones</t>
  </si>
  <si>
    <t>221 Barkly St,St Kilda</t>
  </si>
  <si>
    <t>Melbourne</t>
  </si>
  <si>
    <t>VIC</t>
  </si>
  <si>
    <t>Home Office</t>
  </si>
  <si>
    <t>Yvette Biti</t>
  </si>
  <si>
    <t>High</t>
  </si>
  <si>
    <t>Artisan Heavy-Duty EZD  Binder With Locking Rings</t>
  </si>
  <si>
    <t>Office Supplies</t>
  </si>
  <si>
    <t>Small Box</t>
  </si>
  <si>
    <t>Regular Air</t>
  </si>
  <si>
    <t>5016-1</t>
  </si>
  <si>
    <t>Alex Russell</t>
  </si>
  <si>
    <t>101/12 Victoria Ave, Perth</t>
  </si>
  <si>
    <t>Connor Betts</t>
  </si>
  <si>
    <t>DrawIt Pizazz Watercolor Pencils, 10-Color Set with Brush</t>
  </si>
  <si>
    <t>Wrap Bag</t>
  </si>
  <si>
    <t>5018-1</t>
  </si>
  <si>
    <t>Tamara Dahlen</t>
  </si>
  <si>
    <t>61 York St,Sydney</t>
  </si>
  <si>
    <t>Sydney</t>
  </si>
  <si>
    <t>NSW</t>
  </si>
  <si>
    <t>Corporate</t>
  </si>
  <si>
    <t>Leighton Forrest</t>
  </si>
  <si>
    <t>Critical</t>
  </si>
  <si>
    <t>Message Book, One Form per Page</t>
  </si>
  <si>
    <t>Express Air</t>
  </si>
  <si>
    <t>5019-1</t>
  </si>
  <si>
    <t>Susan Vittorini</t>
  </si>
  <si>
    <t>3 Carrington Road ,Box Hill</t>
  </si>
  <si>
    <t>Cando S750 Color Inkjet Printer</t>
  </si>
  <si>
    <t>Technology</t>
  </si>
  <si>
    <t>Jumbo Drum</t>
  </si>
  <si>
    <t>Delivery Truck</t>
  </si>
  <si>
    <t>5020-1</t>
  </si>
  <si>
    <t>Muhammed Yedwab</t>
  </si>
  <si>
    <t>18 Whistler St,Sydney</t>
  </si>
  <si>
    <t>Consumer</t>
  </si>
  <si>
    <t>Nicholas Fernandes</t>
  </si>
  <si>
    <t>Steady EarthWrite Recycled Pencils, Medium Soft, #2</t>
  </si>
  <si>
    <t>5023-1</t>
  </si>
  <si>
    <t>Olvera Toch</t>
  </si>
  <si>
    <t>Low</t>
  </si>
  <si>
    <t>12 Colored Short Pencils</t>
  </si>
  <si>
    <t>5024-1</t>
  </si>
  <si>
    <t>Sean Wendt</t>
  </si>
  <si>
    <t>145 Ramsay St,Haberfield</t>
  </si>
  <si>
    <t>Phoebe Gour</t>
  </si>
  <si>
    <t>Multimedia Mailers</t>
  </si>
  <si>
    <t>5025-1</t>
  </si>
  <si>
    <t>Rick Reed</t>
  </si>
  <si>
    <t>Sydney Fish Market, Bank Street, Sydney</t>
  </si>
  <si>
    <t>Pizazz Dustless Chalk Sticks</t>
  </si>
  <si>
    <t>5027-1</t>
  </si>
  <si>
    <t>Toby Swindell</t>
  </si>
  <si>
    <t>273 George Street,Sydney</t>
  </si>
  <si>
    <t>Small Business</t>
  </si>
  <si>
    <t>Not Specified</t>
  </si>
  <si>
    <t>TypeRight Side-Opening Peel &amp; Seel Expanding Envelopes</t>
  </si>
  <si>
    <t>5029-1</t>
  </si>
  <si>
    <t>Giulietta Weimer</t>
  </si>
  <si>
    <t>48 Albion St,Surry Hills</t>
  </si>
  <si>
    <t>Natasha Song</t>
  </si>
  <si>
    <t>Artisan Printable Repositionable Plastic Tabs</t>
  </si>
  <si>
    <t>5031-1</t>
  </si>
  <si>
    <t>Paul Prost</t>
  </si>
  <si>
    <t>120 Hardware St,Melbourne</t>
  </si>
  <si>
    <t>Medium</t>
  </si>
  <si>
    <t>Security-Tint Envelopes</t>
  </si>
  <si>
    <t>5033-1</t>
  </si>
  <si>
    <t>Katherine Ducich</t>
  </si>
  <si>
    <t>61A Bay Road,Wollstonecraft</t>
  </si>
  <si>
    <t>Samantha Chairs</t>
  </si>
  <si>
    <t>5034-1</t>
  </si>
  <si>
    <t>Natalie Webber</t>
  </si>
  <si>
    <t>98-104 Parramatta Rd,Camperdown</t>
  </si>
  <si>
    <t>Artisan Arch Ring Binders</t>
  </si>
  <si>
    <t>5036-1</t>
  </si>
  <si>
    <t>Sean ODonnell</t>
  </si>
  <si>
    <t>541 Church St ,Richmond</t>
  </si>
  <si>
    <t>OIC Thumb-Tacks</t>
  </si>
  <si>
    <t>5037-1</t>
  </si>
  <si>
    <t>Art Foster</t>
  </si>
  <si>
    <t>14 Money Street, Perth</t>
  </si>
  <si>
    <t>Stevie Bacata</t>
  </si>
  <si>
    <t>Apex Elite Stainless Steel Scissors</t>
  </si>
  <si>
    <t>Small Pack</t>
  </si>
  <si>
    <t>5038-1</t>
  </si>
  <si>
    <t>Darren Powers</t>
  </si>
  <si>
    <t>5039-1</t>
  </si>
  <si>
    <t>Michael Grace</t>
  </si>
  <si>
    <t>402 Argyle St,Moss Vale</t>
  </si>
  <si>
    <t>Alto Parchment Paper, Assorted Colors</t>
  </si>
  <si>
    <t>5040-1</t>
  </si>
  <si>
    <t>Christina Vanderzanden</t>
  </si>
  <si>
    <t>188 Pitt Street,Sydney</t>
  </si>
  <si>
    <t>Tina Carlton</t>
  </si>
  <si>
    <t>Steady Colorific Colored Pencils, 12/Box</t>
  </si>
  <si>
    <t>5043-1</t>
  </si>
  <si>
    <t>Aaron Smayling</t>
  </si>
  <si>
    <t>1737 Botany Rd,Banksmeadow</t>
  </si>
  <si>
    <t>Smiths Gold Paper Clips</t>
  </si>
  <si>
    <t>5045-1</t>
  </si>
  <si>
    <t>Mick Brown</t>
  </si>
  <si>
    <t>523 King St,Newtown</t>
  </si>
  <si>
    <t>Aanya Zhang</t>
  </si>
  <si>
    <t>UGen RF Keyboard</t>
  </si>
  <si>
    <t>5047-1</t>
  </si>
  <si>
    <t>Edward Becker</t>
  </si>
  <si>
    <t>501 George St,Sydney</t>
  </si>
  <si>
    <t>5048-1</t>
  </si>
  <si>
    <t>Erica Smith</t>
  </si>
  <si>
    <t>Smiths Standard Envelopes</t>
  </si>
  <si>
    <t>5049-1</t>
  </si>
  <si>
    <t>Justin Knight</t>
  </si>
  <si>
    <t>Macquarie Centre Cnr Herring Road &amp; Waterloo Road,Macquarie Park</t>
  </si>
  <si>
    <t>Office Shears by Apex</t>
  </si>
  <si>
    <t>5050-1</t>
  </si>
  <si>
    <t>Craig Carroll</t>
  </si>
  <si>
    <t>99 Lygon Street,East Brunswick</t>
  </si>
  <si>
    <t>5052-1</t>
  </si>
  <si>
    <t>Laura Armstrong</t>
  </si>
  <si>
    <t>240-242 Johnston Street,Fitzroy</t>
  </si>
  <si>
    <t>EcoTones Memo Sheets</t>
  </si>
  <si>
    <t>5055-1</t>
  </si>
  <si>
    <t>Noah Childs</t>
  </si>
  <si>
    <t>78 Stanley St,Darlinghurst</t>
  </si>
  <si>
    <t>Smiths Premium Bright 1-Part Blank Computer Paper</t>
  </si>
  <si>
    <t>5057-1</t>
  </si>
  <si>
    <t>Rob Haberlin</t>
  </si>
  <si>
    <t>8 Rankins Lane ,Melbourne</t>
  </si>
  <si>
    <t>Artisan 479 Labels</t>
  </si>
  <si>
    <t>5059-1</t>
  </si>
  <si>
    <t>Barry Weirich</t>
  </si>
  <si>
    <t>1/20 Pendal Lane, Perth</t>
  </si>
  <si>
    <t>Charlie Bui</t>
  </si>
  <si>
    <t>Beekin 105-Key Black Keyboard</t>
  </si>
  <si>
    <t>5060-1</t>
  </si>
  <si>
    <t>Kelly Williams</t>
  </si>
  <si>
    <t>499-501 Lygon Street,Carlton North</t>
  </si>
  <si>
    <t>Adesso Programmable 142-Key Keyboard</t>
  </si>
  <si>
    <t>5061-1</t>
  </si>
  <si>
    <t>Jack OBriant</t>
  </si>
  <si>
    <t>85-113 Dunning Ave,Rosebery</t>
  </si>
  <si>
    <t>Mihael Khan</t>
  </si>
  <si>
    <t>5062-1</t>
  </si>
  <si>
    <t>Pamela Stobb</t>
  </si>
  <si>
    <t>TechSavi Access Keyboard</t>
  </si>
  <si>
    <t>5063-1</t>
  </si>
  <si>
    <t>William Brown</t>
  </si>
  <si>
    <t>Smiths SlimLine Pencil Sharpener</t>
  </si>
  <si>
    <t>5064-1</t>
  </si>
  <si>
    <t>Nat Carroll</t>
  </si>
  <si>
    <t>Artisan Premier Heavy-Duty Binder with Round Locking Rings</t>
  </si>
  <si>
    <t>5066-1</t>
  </si>
  <si>
    <t>Troy Staebel</t>
  </si>
  <si>
    <t>1-2/299 Sussex St,Sydney</t>
  </si>
  <si>
    <t>5068-1</t>
  </si>
  <si>
    <t>Dario Medina</t>
  </si>
  <si>
    <t>60 York St,Sydney</t>
  </si>
  <si>
    <t>5070-1</t>
  </si>
  <si>
    <t>Lynn Smith</t>
  </si>
  <si>
    <t>Steady Liquid Accent Highlighters</t>
  </si>
  <si>
    <t>5071-1</t>
  </si>
  <si>
    <t>Christopher Schild</t>
  </si>
  <si>
    <t>4A Lyons St,Strathfield</t>
  </si>
  <si>
    <t>Laser Neon Mac Format Diskettes, 10/Pack</t>
  </si>
  <si>
    <t>5071-2</t>
  </si>
  <si>
    <t>5075-1</t>
  </si>
  <si>
    <t>Dave Kipp</t>
  </si>
  <si>
    <t>5077-1</t>
  </si>
  <si>
    <t>Grant Carroll</t>
  </si>
  <si>
    <t>10 O'Connell St,Sydney</t>
  </si>
  <si>
    <t>5079-1</t>
  </si>
  <si>
    <t>Liz Pelletier</t>
  </si>
  <si>
    <t>79 Elliott St,Balmain</t>
  </si>
  <si>
    <t>1726 Digital Answering Machine</t>
  </si>
  <si>
    <t>Medium Box</t>
  </si>
  <si>
    <t>5081-1</t>
  </si>
  <si>
    <t>Thea Hudgings</t>
  </si>
  <si>
    <t>5084-1</t>
  </si>
  <si>
    <t>5086-1</t>
  </si>
  <si>
    <t>Eudokia Martin</t>
  </si>
  <si>
    <t>412 Brunswick St,Fitzroy</t>
  </si>
  <si>
    <t>Artisan Flip-Chart Easel Binder, Black</t>
  </si>
  <si>
    <t>5087-1</t>
  </si>
  <si>
    <t>Scot Wooten</t>
  </si>
  <si>
    <t>438 Victoria Avenue,Chatswood</t>
  </si>
  <si>
    <t>DrawIt Colored Pencils, 48-Color Set</t>
  </si>
  <si>
    <t>5089-1</t>
  </si>
  <si>
    <t>Jenna Caffey</t>
  </si>
  <si>
    <t>470 Anzac Parade,Kingsford</t>
  </si>
  <si>
    <t>600 Series Non-Flip</t>
  </si>
  <si>
    <t>5091-1</t>
  </si>
  <si>
    <t>Brad Thomas</t>
  </si>
  <si>
    <t>152 Bunnerong Road,Eastgardens</t>
  </si>
  <si>
    <t>210 Trimline Phone, White</t>
  </si>
  <si>
    <t>5093-1</t>
  </si>
  <si>
    <t>Steady Major Accent Highlighters</t>
  </si>
  <si>
    <t>5095-1</t>
  </si>
  <si>
    <t>Roy Skaria</t>
  </si>
  <si>
    <t>2/797 Botany Rd,Rosebery</t>
  </si>
  <si>
    <t>Aluminum Document Frame</t>
  </si>
  <si>
    <t>Furniture</t>
  </si>
  <si>
    <t>5097-1</t>
  </si>
  <si>
    <t>Brad Eason</t>
  </si>
  <si>
    <t>Artisan Legal 4-Ring Binder</t>
  </si>
  <si>
    <t>5099-1</t>
  </si>
  <si>
    <t>5101-1</t>
  </si>
  <si>
    <t>Thais Sissman</t>
  </si>
  <si>
    <t>8 Orange Street</t>
  </si>
  <si>
    <t>Perth</t>
  </si>
  <si>
    <t>WA</t>
  </si>
  <si>
    <t>5103-1</t>
  </si>
  <si>
    <t>Andy Reiter</t>
  </si>
  <si>
    <t>30 Wellington Street, Perth</t>
  </si>
  <si>
    <t>Smiths General Use 3-Ring Binders</t>
  </si>
  <si>
    <t>5104-1</t>
  </si>
  <si>
    <t>Becky Martin</t>
  </si>
  <si>
    <t>22 St Georges Terrace, Perth</t>
  </si>
  <si>
    <t>Alto Keyboard-In-A-Box</t>
  </si>
  <si>
    <t>5106-1</t>
  </si>
  <si>
    <t>Denny Ordway</t>
  </si>
  <si>
    <t>Artisan 48 Labels</t>
  </si>
  <si>
    <t>5108-1</t>
  </si>
  <si>
    <t>Luke Schmidt</t>
  </si>
  <si>
    <t>73 York St,Sydney</t>
  </si>
  <si>
    <t>UGen Ultra Professional Cordless Optical Suite</t>
  </si>
  <si>
    <t>5109-1</t>
  </si>
  <si>
    <t>Kelly Lampkin</t>
  </si>
  <si>
    <t>310 Wattle St,Ultimo</t>
  </si>
  <si>
    <t>OIC Colored Binder Clips, Assorted Sizes</t>
  </si>
  <si>
    <t>5111-1</t>
  </si>
  <si>
    <t>Eugene Moren</t>
  </si>
  <si>
    <t>14/76 Newcastle Street</t>
  </si>
  <si>
    <t>Colored Envelopes</t>
  </si>
  <si>
    <t>5112-1</t>
  </si>
  <si>
    <t>Anthony Rawles</t>
  </si>
  <si>
    <t>Xit Blank Computer Paper</t>
  </si>
  <si>
    <t>5113-1</t>
  </si>
  <si>
    <t>Rick Duston</t>
  </si>
  <si>
    <t>260 Marrickville Rd,Marrickville</t>
  </si>
  <si>
    <t>Alto Perma 2700 Stacking Storage Drawers</t>
  </si>
  <si>
    <t>5114-1</t>
  </si>
  <si>
    <t>Raymond Fair</t>
  </si>
  <si>
    <t>TechSavi Cordless Elite Duo</t>
  </si>
  <si>
    <t>5115-1</t>
  </si>
  <si>
    <t>Joy Smith</t>
  </si>
  <si>
    <t>Wirebound Message Book, 4 per Page</t>
  </si>
  <si>
    <t>5117-1</t>
  </si>
  <si>
    <t>Jim Epp</t>
  </si>
  <si>
    <t>Laser DVD-RAM discs</t>
  </si>
  <si>
    <t>5119-1</t>
  </si>
  <si>
    <t>Mike Vittorini</t>
  </si>
  <si>
    <t>211/25-29 Dixon St,Haymarket</t>
  </si>
  <si>
    <t>Preston Senome</t>
  </si>
  <si>
    <t>Artisan Hi-Liter Fluorescent Desk Style Markers</t>
  </si>
  <si>
    <t>5120-1</t>
  </si>
  <si>
    <t>Neil Knudson</t>
  </si>
  <si>
    <t>5122-1</t>
  </si>
  <si>
    <t>Deborah Brumfield</t>
  </si>
  <si>
    <t>5124-1</t>
  </si>
  <si>
    <t>Erica Hernandez</t>
  </si>
  <si>
    <t>12 Princess Hwy,Sylvania</t>
  </si>
  <si>
    <t>5125-1</t>
  </si>
  <si>
    <t>Janet Martin</t>
  </si>
  <si>
    <t>24 Addison Rd,Marrickville</t>
  </si>
  <si>
    <t>Radhya Staples</t>
  </si>
  <si>
    <t>5127-1</t>
  </si>
  <si>
    <t>Beth Thompson</t>
  </si>
  <si>
    <t>101 Murray Street, Perth</t>
  </si>
  <si>
    <t>Deluxe Rollaway Locking File with Drawer</t>
  </si>
  <si>
    <t>5128-1</t>
  </si>
  <si>
    <t>Nora Paige</t>
  </si>
  <si>
    <t>85-113 Dunning Ave,Roseberry</t>
  </si>
  <si>
    <t>5129-1</t>
  </si>
  <si>
    <t>Jim Kriz</t>
  </si>
  <si>
    <t>Smiths Colored Interoffice Envelopes</t>
  </si>
  <si>
    <t>5131-1</t>
  </si>
  <si>
    <t>Steve Nguyen</t>
  </si>
  <si>
    <t>5133-1</t>
  </si>
  <si>
    <t>Scott Cohen</t>
  </si>
  <si>
    <t>Wirebound Voice Message Log Book</t>
  </si>
  <si>
    <t>5134-1</t>
  </si>
  <si>
    <t>Liz MacKendrick</t>
  </si>
  <si>
    <t>224A Gertrude St,Fitzroy</t>
  </si>
  <si>
    <t>5135-1</t>
  </si>
  <si>
    <t>5137-1</t>
  </si>
  <si>
    <t>Carlos Meador</t>
  </si>
  <si>
    <t>5138-1</t>
  </si>
  <si>
    <t>Giulietta Dortch</t>
  </si>
  <si>
    <t>180 High Street,Windsor</t>
  </si>
  <si>
    <t>Smiths Metal Binder Clips</t>
  </si>
  <si>
    <t>5140-1</t>
  </si>
  <si>
    <t>Paul Lucas</t>
  </si>
  <si>
    <t>8 Quay Street,Haymarket</t>
  </si>
  <si>
    <t>3Max Organizer Strips</t>
  </si>
  <si>
    <t>5142-1</t>
  </si>
  <si>
    <t>Aleksandra Gannaway</t>
  </si>
  <si>
    <t>508/130 Mounts Bay Road, Perth</t>
  </si>
  <si>
    <t>PastelOcean Color Pencil Set</t>
  </si>
  <si>
    <t>5144-1</t>
  </si>
  <si>
    <t>Roy Collins</t>
  </si>
  <si>
    <t>6 Brookman Street</t>
  </si>
  <si>
    <t>5148-1</t>
  </si>
  <si>
    <t>Eugene Hildebrand</t>
  </si>
  <si>
    <t>Economy Binders</t>
  </si>
  <si>
    <t>5150-1</t>
  </si>
  <si>
    <t>Adam Bellavance</t>
  </si>
  <si>
    <t>106 Ebley Street,Bondi Junction</t>
  </si>
  <si>
    <t>HFX 6S Scientific Calculator</t>
  </si>
  <si>
    <t>5152-1</t>
  </si>
  <si>
    <t>Mitch Gastineau</t>
  </si>
  <si>
    <t>5154-1</t>
  </si>
  <si>
    <t>Stuart Calhoun</t>
  </si>
  <si>
    <t>359 Crown Street,Surry Hills</t>
  </si>
  <si>
    <t>5156-1</t>
  </si>
  <si>
    <t>Denise Leinenbach</t>
  </si>
  <si>
    <t>Self-Adhesive Removable Labels</t>
  </si>
  <si>
    <t>5158-1</t>
  </si>
  <si>
    <t>Mitch Webber</t>
  </si>
  <si>
    <t>Hoyts Entertainment Quarter 122 Lang Road,Moore Park</t>
  </si>
  <si>
    <t>TypeRight  Top-Opening Peel &amp; Seel Envelopes, Plain White</t>
  </si>
  <si>
    <t>5159-1</t>
  </si>
  <si>
    <t>Sara Luxemburg</t>
  </si>
  <si>
    <t>5160-1</t>
  </si>
  <si>
    <t>Berenike Kampe</t>
  </si>
  <si>
    <t>32/82 King Street, Perth</t>
  </si>
  <si>
    <t>5160-2</t>
  </si>
  <si>
    <t>5163-1</t>
  </si>
  <si>
    <t>TypeRight  Top-Opening Peel &amp; Seel  Envelopes, Gray</t>
  </si>
  <si>
    <t>5165-1</t>
  </si>
  <si>
    <t>Julie Kriz</t>
  </si>
  <si>
    <t>Artisan Non-Stick Binders</t>
  </si>
  <si>
    <t>5166-1</t>
  </si>
  <si>
    <t>DrawIt Colored Pencils</t>
  </si>
  <si>
    <t>5168-1</t>
  </si>
  <si>
    <t>Christy Brittain</t>
  </si>
  <si>
    <t>Shop 1, 186-190 Church Street,Parramatta;46a Macleay Street,Potts Point</t>
  </si>
  <si>
    <t>Smiths Pen Style Liquid Stix; Assorted (yellow, pink, green, blue, orange), 5/Pack</t>
  </si>
  <si>
    <t>5168-2</t>
  </si>
  <si>
    <t>Steady Liquid Accent Tank-Style Highlighters</t>
  </si>
  <si>
    <t>5171-1</t>
  </si>
  <si>
    <t>George Zrebassa</t>
  </si>
  <si>
    <t>81 MacLeay St,Potts Point</t>
  </si>
  <si>
    <t>Bagged Rubber Bands</t>
  </si>
  <si>
    <t>5173-1</t>
  </si>
  <si>
    <t>5174-1</t>
  </si>
  <si>
    <t>Pauline Webber</t>
  </si>
  <si>
    <t>UGen Ultra Cordless Optical Suite</t>
  </si>
  <si>
    <t>5175-1</t>
  </si>
  <si>
    <t>Ben Wallace</t>
  </si>
  <si>
    <t>6 Brookman Street, Perth</t>
  </si>
  <si>
    <t>5177-1</t>
  </si>
  <si>
    <t>5178-1</t>
  </si>
  <si>
    <t>Adam Shillingsburg</t>
  </si>
  <si>
    <t>Westfield Parramatta,Parramatta</t>
  </si>
  <si>
    <t>Cando PC940 Copier</t>
  </si>
  <si>
    <t>5180-1</t>
  </si>
  <si>
    <t>Rick Hansen</t>
  </si>
  <si>
    <t>5181-1</t>
  </si>
  <si>
    <t>TechSavi Internet Navigator Keyboard</t>
  </si>
  <si>
    <t>5183-1</t>
  </si>
  <si>
    <t>Artisan Hi-Liter Smear-Safe Highlighters</t>
  </si>
  <si>
    <t>5185-1</t>
  </si>
  <si>
    <t>Karl Brown</t>
  </si>
  <si>
    <t>Artisan Hanging File Binders</t>
  </si>
  <si>
    <t>5186-1</t>
  </si>
  <si>
    <t>Eric Barreto</t>
  </si>
  <si>
    <t>14 Money Street</t>
  </si>
  <si>
    <t>Beekin 6 Outlet Metallic Surge Strip</t>
  </si>
  <si>
    <t>5188-1</t>
  </si>
  <si>
    <t>Charles Sheldon</t>
  </si>
  <si>
    <t>5189-1</t>
  </si>
  <si>
    <t>Jesus Ocampo</t>
  </si>
  <si>
    <t>60 Commercial Rd,Prahran</t>
  </si>
  <si>
    <t>5191-1</t>
  </si>
  <si>
    <t>Fluorescent Highlighters by DrawIt</t>
  </si>
  <si>
    <t>5193-1</t>
  </si>
  <si>
    <t>Nick Zandusky</t>
  </si>
  <si>
    <t>Artisan 481 Labels</t>
  </si>
  <si>
    <t>5194-1</t>
  </si>
  <si>
    <t>Corinna Mitchell</t>
  </si>
  <si>
    <t>27 Greenfield Parade,Bankstown</t>
  </si>
  <si>
    <t>Emerson C82 Color Inkjet Printer</t>
  </si>
  <si>
    <t>5195-1</t>
  </si>
  <si>
    <t>Alex Grayson</t>
  </si>
  <si>
    <t>74 Lindsay Street, Perth</t>
  </si>
  <si>
    <t>Artisan Durable Binders</t>
  </si>
  <si>
    <t>5195-2</t>
  </si>
  <si>
    <t>75 Lindsay Street, Perth</t>
  </si>
  <si>
    <t>5198-1</t>
  </si>
  <si>
    <t>Chuck Magee</t>
  </si>
  <si>
    <t>Pizazz Drawing Pencil Set</t>
  </si>
  <si>
    <t>5200-1</t>
  </si>
  <si>
    <t>Seth Vernon</t>
  </si>
  <si>
    <t>541 Church St,Richmond</t>
  </si>
  <si>
    <t>Artisan Poly Binder Pockets</t>
  </si>
  <si>
    <t>5201-1</t>
  </si>
  <si>
    <t>Vivian Mathis</t>
  </si>
  <si>
    <t>Crown Complex,Southbank</t>
  </si>
  <si>
    <t>Barrel Sharpener</t>
  </si>
  <si>
    <t>5202-1</t>
  </si>
  <si>
    <t>Harold Ryan</t>
  </si>
  <si>
    <t>5204-1</t>
  </si>
  <si>
    <t>Kean Takahito</t>
  </si>
  <si>
    <t>21 Wentworth St,Parramatta</t>
  </si>
  <si>
    <t>Binding Machine Supplies</t>
  </si>
  <si>
    <t>5206-1</t>
  </si>
  <si>
    <t>Tony Sayre</t>
  </si>
  <si>
    <t>Large Box</t>
  </si>
  <si>
    <t>5207-1</t>
  </si>
  <si>
    <t>Aaron Bergman</t>
  </si>
  <si>
    <t>Westfield Sydney,Sydney</t>
  </si>
  <si>
    <t>5208-1</t>
  </si>
  <si>
    <t>Edward Hooks</t>
  </si>
  <si>
    <t>Binder Posts</t>
  </si>
  <si>
    <t>5209-1</t>
  </si>
  <si>
    <t>Liz Willingham</t>
  </si>
  <si>
    <t>Binder Clips by OIC</t>
  </si>
  <si>
    <t>5211-1</t>
  </si>
  <si>
    <t>Dave Poirier</t>
  </si>
  <si>
    <t>Economy Rollaway Files</t>
  </si>
  <si>
    <t>5212-1</t>
  </si>
  <si>
    <t>Self-Adhesive Ring Binder Labels</t>
  </si>
  <si>
    <t>5213-1</t>
  </si>
  <si>
    <t>5214-1</t>
  </si>
  <si>
    <t>Valerie Dominguez</t>
  </si>
  <si>
    <t>37/59 Brewer Street</t>
  </si>
  <si>
    <t>5215-1</t>
  </si>
  <si>
    <t>Jennifer Patt</t>
  </si>
  <si>
    <t>3Max Polarizing Task Lamp with Clamp Arm, Light Gray</t>
  </si>
  <si>
    <t>5216-1</t>
  </si>
  <si>
    <t>Cynthia Arntzen</t>
  </si>
  <si>
    <t>5218-1</t>
  </si>
  <si>
    <t>Bradley Drucker</t>
  </si>
  <si>
    <t>1 John St,Waterloo</t>
  </si>
  <si>
    <t>5220-1</t>
  </si>
  <si>
    <t>Skye Norling</t>
  </si>
  <si>
    <t>Apex Straight Scissors</t>
  </si>
  <si>
    <t>5221-1</t>
  </si>
  <si>
    <t>Bruce Degenhardt</t>
  </si>
  <si>
    <t>5222-1</t>
  </si>
  <si>
    <t>John Castell</t>
  </si>
  <si>
    <t>38/133-145 Castlereagh St,Sydney</t>
  </si>
  <si>
    <t>5224-1</t>
  </si>
  <si>
    <t>Neil French</t>
  </si>
  <si>
    <t>5225-1</t>
  </si>
  <si>
    <t>5226-1</t>
  </si>
  <si>
    <t>Nancy Lomonaco</t>
  </si>
  <si>
    <t>5227-1</t>
  </si>
  <si>
    <t>Artisan Binder Labels</t>
  </si>
  <si>
    <t>5229-1</t>
  </si>
  <si>
    <t>Carol Triggs</t>
  </si>
  <si>
    <t>15 Aberdeen Street</t>
  </si>
  <si>
    <t>5231-1</t>
  </si>
  <si>
    <t>Andrew Allen</t>
  </si>
  <si>
    <t>15 Aberdeen Street, Perth</t>
  </si>
  <si>
    <t>5232-1</t>
  </si>
  <si>
    <t>5234-1</t>
  </si>
  <si>
    <t>Darrin Martin</t>
  </si>
  <si>
    <t>Alto Memo Cubes</t>
  </si>
  <si>
    <t>5235-1</t>
  </si>
  <si>
    <t>Max Ludwig</t>
  </si>
  <si>
    <t>6-8 O'Connell Street,Newtown</t>
  </si>
  <si>
    <t>5236-1</t>
  </si>
  <si>
    <t>Liz Price</t>
  </si>
  <si>
    <t>5238-1</t>
  </si>
  <si>
    <t>Grant Thornton</t>
  </si>
  <si>
    <t>98 Holdsworth Street,Woollahra</t>
  </si>
  <si>
    <t>5239-1</t>
  </si>
  <si>
    <t>Victoria Brennan</t>
  </si>
  <si>
    <t>Westfield 1 Anderson St,Chatswood</t>
  </si>
  <si>
    <t>5240-1</t>
  </si>
  <si>
    <t>Sarah Brown</t>
  </si>
  <si>
    <t>5241-1</t>
  </si>
  <si>
    <t>Michael Granlund</t>
  </si>
  <si>
    <t>TechSavi Cordless Navigator Duo</t>
  </si>
  <si>
    <t>5242-1</t>
  </si>
  <si>
    <t>Jasper Cacioppo</t>
  </si>
  <si>
    <t>14 Knebworth Avenue</t>
  </si>
  <si>
    <t>Apex Preferred Stainless Steel Scissors</t>
  </si>
  <si>
    <t>5244-1</t>
  </si>
  <si>
    <t>Marina Lichtenstein</t>
  </si>
  <si>
    <t>5246-1</t>
  </si>
  <si>
    <t>Fred Wasserman</t>
  </si>
  <si>
    <t>5247-1</t>
  </si>
  <si>
    <t>Ann Chong</t>
  </si>
  <si>
    <t>5248-1</t>
  </si>
  <si>
    <t>Mick Crebagga</t>
  </si>
  <si>
    <t>53-55 Liverpool St,Sydney</t>
  </si>
  <si>
    <t>5250-1</t>
  </si>
  <si>
    <t>Chloris Kastensmidt</t>
  </si>
  <si>
    <t>7/370-374 Victoria Ave,Chatswood</t>
  </si>
  <si>
    <t>5251-1</t>
  </si>
  <si>
    <t>5253-1</t>
  </si>
  <si>
    <t>Maribeth Dona</t>
  </si>
  <si>
    <t>Multi-Use Personal File Cart and Caster Set, Three Stacking Bins</t>
  </si>
  <si>
    <t>5254-1</t>
  </si>
  <si>
    <t>Desktop 3-Pocket Hot File</t>
  </si>
  <si>
    <t>5256-1</t>
  </si>
  <si>
    <t>Cynthia Delaney</t>
  </si>
  <si>
    <t>1/160 Anzac Parade,Kensington</t>
  </si>
  <si>
    <t>5257-1</t>
  </si>
  <si>
    <t>John Dryer</t>
  </si>
  <si>
    <t>5259-1</t>
  </si>
  <si>
    <t>5260-1</t>
  </si>
  <si>
    <t>Carlos Daly</t>
  </si>
  <si>
    <t>5/63-71 Enmore Rd,Newtown</t>
  </si>
  <si>
    <t>5261-1</t>
  </si>
  <si>
    <t>Joni Wasserman</t>
  </si>
  <si>
    <t>600 Series Flip</t>
  </si>
  <si>
    <t>5263-1</t>
  </si>
  <si>
    <t>5265-1</t>
  </si>
  <si>
    <t>5267-1</t>
  </si>
  <si>
    <t>Frank Merwin</t>
  </si>
  <si>
    <t>5268-1</t>
  </si>
  <si>
    <t>Stephanie Ulpright</t>
  </si>
  <si>
    <t>5268-2</t>
  </si>
  <si>
    <t>5272-1</t>
  </si>
  <si>
    <t>Amy Cox</t>
  </si>
  <si>
    <t>5274-1</t>
  </si>
  <si>
    <t>Sylvia Foulston</t>
  </si>
  <si>
    <t>101 Murray Street</t>
  </si>
  <si>
    <t>300 Series Non-Flip</t>
  </si>
  <si>
    <t>5274-2</t>
  </si>
  <si>
    <t>5277-1</t>
  </si>
  <si>
    <t>Paul MacIntyre</t>
  </si>
  <si>
    <t>5278-1</t>
  </si>
  <si>
    <t>Cindy Stewart</t>
  </si>
  <si>
    <t>1/173-179 Bronte Rd,Waverley</t>
  </si>
  <si>
    <t>5279-1</t>
  </si>
  <si>
    <t>Tamara Willingham</t>
  </si>
  <si>
    <t>5280-1</t>
  </si>
  <si>
    <t>Darrin Sayre</t>
  </si>
  <si>
    <t>5282-1</t>
  </si>
  <si>
    <t>5284-1</t>
  </si>
  <si>
    <t>Ed Jacobs</t>
  </si>
  <si>
    <t>22 Civic Rd,Auburn</t>
  </si>
  <si>
    <t>Angle-D Binders with Locking Rings, Label Holders</t>
  </si>
  <si>
    <t>5286-1</t>
  </si>
  <si>
    <t>Dan Campbell</t>
  </si>
  <si>
    <t>Brown Kraft Recycled Envelopes</t>
  </si>
  <si>
    <t>5288-1</t>
  </si>
  <si>
    <t>Shahid Shariari</t>
  </si>
  <si>
    <t>3/219 Canley Vale Road,Canley Heights</t>
  </si>
  <si>
    <t>5290-1</t>
  </si>
  <si>
    <t>Toby Knight</t>
  </si>
  <si>
    <t>5291-1</t>
  </si>
  <si>
    <t>Steady 52201 APSCO Electric Pencil Sharpener</t>
  </si>
  <si>
    <t>5292-1</t>
  </si>
  <si>
    <t>Sung Chung</t>
  </si>
  <si>
    <t>127 Liverpool St,Sydney</t>
  </si>
  <si>
    <t>5294-1</t>
  </si>
  <si>
    <t>Kristina Nunn</t>
  </si>
  <si>
    <t>5296-1</t>
  </si>
  <si>
    <t>5298-1</t>
  </si>
  <si>
    <t>Jeremy Lonsdale</t>
  </si>
  <si>
    <t>163 Concord Road,North Strathfield</t>
  </si>
  <si>
    <t>5299-1</t>
  </si>
  <si>
    <t>Victoria Pisteka</t>
  </si>
  <si>
    <t>8/2 Edward Street</t>
  </si>
  <si>
    <t>Artisan 487 Labels</t>
  </si>
  <si>
    <t>5300-1</t>
  </si>
  <si>
    <t>Liz Carlisle</t>
  </si>
  <si>
    <t>797 Botany Rd,Rosebery</t>
  </si>
  <si>
    <t>Lumi Crayons</t>
  </si>
  <si>
    <t>5302-1</t>
  </si>
  <si>
    <t>Dennis Kane</t>
  </si>
  <si>
    <t>33/4 Barangaroo Avenue,Sydney</t>
  </si>
  <si>
    <t>5303-1</t>
  </si>
  <si>
    <t>Tom Prescott</t>
  </si>
  <si>
    <t>5304-1</t>
  </si>
  <si>
    <t>Jas OCarroll</t>
  </si>
  <si>
    <t>Artisan Durable Poly Binders</t>
  </si>
  <si>
    <t>5305-1</t>
  </si>
  <si>
    <t>5307-1</t>
  </si>
  <si>
    <t>5309-1</t>
  </si>
  <si>
    <t>Peter Fuller</t>
  </si>
  <si>
    <t>Westfield Miranda, 600 Kingsway,Miranda</t>
  </si>
  <si>
    <t>Pizazz Colored Pencils</t>
  </si>
  <si>
    <t>5310-1</t>
  </si>
  <si>
    <t>Erin Ashbrook</t>
  </si>
  <si>
    <t>5311-1</t>
  </si>
  <si>
    <t>Allen Armold</t>
  </si>
  <si>
    <t>Apex Office Executive Series Stainless Steel Trimmers</t>
  </si>
  <si>
    <t>5312-1</t>
  </si>
  <si>
    <t>Eugene Barchas</t>
  </si>
  <si>
    <t>5313-1</t>
  </si>
  <si>
    <t>Phillip Flathmann</t>
  </si>
  <si>
    <t>5314-1</t>
  </si>
  <si>
    <t>Thomas Boland</t>
  </si>
  <si>
    <t>18 Robinson Avenue</t>
  </si>
  <si>
    <t>5315-1</t>
  </si>
  <si>
    <t>5316-1</t>
  </si>
  <si>
    <t>5318-1</t>
  </si>
  <si>
    <t>5319-1</t>
  </si>
  <si>
    <t>Justin Hirsh</t>
  </si>
  <si>
    <t>Qantas Domestic Terminal,Mascot</t>
  </si>
  <si>
    <t>3Max Polarizing Light Filter Sleeves</t>
  </si>
  <si>
    <t>5321-1</t>
  </si>
  <si>
    <t>Sarah Foster</t>
  </si>
  <si>
    <t>5323-1</t>
  </si>
  <si>
    <t>Tanja Norvell</t>
  </si>
  <si>
    <t>5324-1</t>
  </si>
  <si>
    <t>Maya Herman</t>
  </si>
  <si>
    <t>5326-1</t>
  </si>
  <si>
    <t>Trudy Brown</t>
  </si>
  <si>
    <t>5328-1</t>
  </si>
  <si>
    <t>Gary Hwang</t>
  </si>
  <si>
    <t>5330-1</t>
  </si>
  <si>
    <t>Larry Tron</t>
  </si>
  <si>
    <t>Steady Pocket Accent Highlighters</t>
  </si>
  <si>
    <t>5332-1</t>
  </si>
  <si>
    <t>5334-1</t>
  </si>
  <si>
    <t>5335-1</t>
  </si>
  <si>
    <t>5335-2</t>
  </si>
  <si>
    <t>5336-1</t>
  </si>
  <si>
    <t>Bill Stewart</t>
  </si>
  <si>
    <t>37/59 Brewer Street, Perth</t>
  </si>
  <si>
    <t>5340-1</t>
  </si>
  <si>
    <t>Joseph Airdo</t>
  </si>
  <si>
    <t>Artisan Binding System Hidden Tab Executive Style Index Sets</t>
  </si>
  <si>
    <t>5342-1</t>
  </si>
  <si>
    <t>Ben Peterman</t>
  </si>
  <si>
    <t>Artisan Hi-Liter GlideStik Fluorescent Highlighter, Yellow Ink</t>
  </si>
  <si>
    <t>5343-1</t>
  </si>
  <si>
    <t>Henry Goldwyn</t>
  </si>
  <si>
    <t>5345-1</t>
  </si>
  <si>
    <t>Tony Molinari</t>
  </si>
  <si>
    <t>5346-1</t>
  </si>
  <si>
    <t>5347-1</t>
  </si>
  <si>
    <t>Brian Dahlen</t>
  </si>
  <si>
    <t>5349-1</t>
  </si>
  <si>
    <t>Don Miller</t>
  </si>
  <si>
    <t>Artisan 478 Labels</t>
  </si>
  <si>
    <t>5350-1</t>
  </si>
  <si>
    <t>Denise Monton</t>
  </si>
  <si>
    <t>5352-1</t>
  </si>
  <si>
    <t>5354-1</t>
  </si>
  <si>
    <t>5355-1</t>
  </si>
  <si>
    <t>Duane Huffman</t>
  </si>
  <si>
    <t>Apex Forged Steel Scissors with Black Enamel Handles</t>
  </si>
  <si>
    <t>5357-1</t>
  </si>
  <si>
    <t>5358-1</t>
  </si>
  <si>
    <t>Saphhira Shifley</t>
  </si>
  <si>
    <t>5358-2</t>
  </si>
  <si>
    <t>5360-1</t>
  </si>
  <si>
    <t>Philip Fox</t>
  </si>
  <si>
    <t>5362-1</t>
  </si>
  <si>
    <t>Charlotte Melton</t>
  </si>
  <si>
    <t>Smiths Bulldog Clip</t>
  </si>
  <si>
    <t>5364-1</t>
  </si>
  <si>
    <t>Dionis Lloyd</t>
  </si>
  <si>
    <t>5365-1</t>
  </si>
  <si>
    <t>5367-1</t>
  </si>
  <si>
    <t>Anne Pryor</t>
  </si>
  <si>
    <t>5367-2</t>
  </si>
  <si>
    <t>5369-1</t>
  </si>
  <si>
    <t>5373-1</t>
  </si>
  <si>
    <t>Ashley Jarboe</t>
  </si>
  <si>
    <t>14 Knebworth Avenue, Perth</t>
  </si>
  <si>
    <t>5375-1</t>
  </si>
  <si>
    <t>Nat Gilpin</t>
  </si>
  <si>
    <t>274 Canley Vale Rd,Canley Heights</t>
  </si>
  <si>
    <t>5377-1</t>
  </si>
  <si>
    <t>5379-1</t>
  </si>
  <si>
    <t>5381-1</t>
  </si>
  <si>
    <t>Sanjit Engle</t>
  </si>
  <si>
    <t>Emerson LQ-870 Dot Matrix Printer</t>
  </si>
  <si>
    <t>5383-1</t>
  </si>
  <si>
    <t>Patrick OBrill</t>
  </si>
  <si>
    <t>27/580 Hay Street</t>
  </si>
  <si>
    <t>5384-1</t>
  </si>
  <si>
    <t>Mark Van Huff</t>
  </si>
  <si>
    <t>1 John Street,Waterloo</t>
  </si>
  <si>
    <t>5386-1</t>
  </si>
  <si>
    <t>Helen Andreada</t>
  </si>
  <si>
    <t>5388-1</t>
  </si>
  <si>
    <t>Darrin Van Huff</t>
  </si>
  <si>
    <t>5389-1</t>
  </si>
  <si>
    <t>Sarah Jordon</t>
  </si>
  <si>
    <t>5391-1</t>
  </si>
  <si>
    <t>Bill Eplett</t>
  </si>
  <si>
    <t>18 Robinson Avenue, Perth</t>
  </si>
  <si>
    <t>5392-1</t>
  </si>
  <si>
    <t>Ken Lonsdale</t>
  </si>
  <si>
    <t>5393-1</t>
  </si>
  <si>
    <t>Michael Nguyen</t>
  </si>
  <si>
    <t>5394-1</t>
  </si>
  <si>
    <t>Hilary Holden</t>
  </si>
  <si>
    <t>2a/285A Crown St,Surry Hills</t>
  </si>
  <si>
    <t>5395-1</t>
  </si>
  <si>
    <t>Brooke Gillingham</t>
  </si>
  <si>
    <t>5396-1</t>
  </si>
  <si>
    <t>Suzanne McNair</t>
  </si>
  <si>
    <t>5398-1</t>
  </si>
  <si>
    <t>Mathew Reese</t>
  </si>
  <si>
    <t>5400-1</t>
  </si>
  <si>
    <t>5402-1</t>
  </si>
  <si>
    <t>Logan Haushalter</t>
  </si>
  <si>
    <t>222 Barkly St,St Kilda</t>
  </si>
  <si>
    <t>HFX LaserJet 3310 Copier</t>
  </si>
  <si>
    <t>5402-2</t>
  </si>
  <si>
    <t>Unpadded Memo Slips</t>
  </si>
  <si>
    <t>5404-1</t>
  </si>
  <si>
    <t>Susan MacKendrick</t>
  </si>
  <si>
    <t>53 Riley Street,Woolloomooloo</t>
  </si>
  <si>
    <t>5405-1</t>
  </si>
  <si>
    <t>Dennis Pardue</t>
  </si>
  <si>
    <t>5407-1</t>
  </si>
  <si>
    <t>Elpida Rittenbach</t>
  </si>
  <si>
    <t>Ames Color-File Green Diamond Border X-ray Mailers</t>
  </si>
  <si>
    <t>5409-1</t>
  </si>
  <si>
    <t>Julie Prescott</t>
  </si>
  <si>
    <t>5411-1</t>
  </si>
  <si>
    <t>Artisan Hi-Liter Pen Style Six-Color Fluorescent Set</t>
  </si>
  <si>
    <t>5413-1</t>
  </si>
  <si>
    <t>Sandra Glassco</t>
  </si>
  <si>
    <t>Blackstonian Pencils</t>
  </si>
  <si>
    <t>5415-1</t>
  </si>
  <si>
    <t>Yana Sorensen</t>
  </si>
  <si>
    <t>Creator Colored Pencils</t>
  </si>
  <si>
    <t>5416-1</t>
  </si>
  <si>
    <t>Pamela Coakley</t>
  </si>
  <si>
    <t>5418-1</t>
  </si>
  <si>
    <t>Apex Box Cutter Scissors</t>
  </si>
  <si>
    <t>5420-1</t>
  </si>
  <si>
    <t>Sanjit Jacobs</t>
  </si>
  <si>
    <t>5421-1</t>
  </si>
  <si>
    <t>5423-1</t>
  </si>
  <si>
    <t>Erica Hackney</t>
  </si>
  <si>
    <t>5424-1</t>
  </si>
  <si>
    <t>Chad McGuire</t>
  </si>
  <si>
    <t>73 MacLeay St,Potts Point</t>
  </si>
  <si>
    <t>5426-1</t>
  </si>
  <si>
    <t>Pauline Chand</t>
  </si>
  <si>
    <t>5428-1</t>
  </si>
  <si>
    <t>Bobby Elias</t>
  </si>
  <si>
    <t>5430-1</t>
  </si>
  <si>
    <t>5432-1</t>
  </si>
  <si>
    <t>Lena Radford</t>
  </si>
  <si>
    <t>5433-1</t>
  </si>
  <si>
    <t>Edward Nazzal</t>
  </si>
  <si>
    <t>5434-1</t>
  </si>
  <si>
    <t>Delfina Latchford</t>
  </si>
  <si>
    <t>5435-1</t>
  </si>
  <si>
    <t>Adam Hart</t>
  </si>
  <si>
    <t>5436-1</t>
  </si>
  <si>
    <t>Airmail Envelopes</t>
  </si>
  <si>
    <t>5438-1</t>
  </si>
  <si>
    <t>Matt Collister</t>
  </si>
  <si>
    <t>1/20 Pendal Lane</t>
  </si>
  <si>
    <t>5439-1</t>
  </si>
  <si>
    <t>5440-1</t>
  </si>
  <si>
    <t>5442-1</t>
  </si>
  <si>
    <t>Troy Blackwell</t>
  </si>
  <si>
    <t>5444-1</t>
  </si>
  <si>
    <t>Carl Ludwig</t>
  </si>
  <si>
    <t>5445-1</t>
  </si>
  <si>
    <t>Chad Cunningham</t>
  </si>
  <si>
    <t>Smiths Colored Bar Computer Paper</t>
  </si>
  <si>
    <t>5446-1</t>
  </si>
  <si>
    <t>Michael Paige</t>
  </si>
  <si>
    <t>506 Swan Street,Richmond</t>
  </si>
  <si>
    <t>5448-1</t>
  </si>
  <si>
    <t>Justin Ellison</t>
  </si>
  <si>
    <t>5449-1</t>
  </si>
  <si>
    <t>5450-1</t>
  </si>
  <si>
    <t>Ralph Knight</t>
  </si>
  <si>
    <t>5451-1</t>
  </si>
  <si>
    <t>Roland Murray</t>
  </si>
  <si>
    <t>5453-1</t>
  </si>
  <si>
    <t>5455-1</t>
  </si>
  <si>
    <t>Alto Perma 3000 Stacking Storage Drawers</t>
  </si>
  <si>
    <t>5456-1</t>
  </si>
  <si>
    <t>Patrick Bzostek</t>
  </si>
  <si>
    <t>1/50-58 Hunter St,Sydney</t>
  </si>
  <si>
    <t>5457-1</t>
  </si>
  <si>
    <t>73 Lindsay Street, Perth</t>
  </si>
  <si>
    <t>OIC Bulk Pack Metal Binder Clips</t>
  </si>
  <si>
    <t>5458-1</t>
  </si>
  <si>
    <t>5460-1</t>
  </si>
  <si>
    <t>Steve Chapman</t>
  </si>
  <si>
    <t>Artisan Hi-Liter Comfort Grip Fluorescent Highlighter, Yellow Ink</t>
  </si>
  <si>
    <t>5461-1</t>
  </si>
  <si>
    <t>Mike Kennedy</t>
  </si>
  <si>
    <t>5463-1</t>
  </si>
  <si>
    <t>Emerson Stylus 1520 Color Inkjet Printer</t>
  </si>
  <si>
    <t>5465-1</t>
  </si>
  <si>
    <t>Harold Dahlen</t>
  </si>
  <si>
    <t>5467-1</t>
  </si>
  <si>
    <t>Brenda Bowman</t>
  </si>
  <si>
    <t>5469-1</t>
  </si>
  <si>
    <t>Xylona Price</t>
  </si>
  <si>
    <t>5470-1</t>
  </si>
  <si>
    <t>Kelly Collister</t>
  </si>
  <si>
    <t>5471-1</t>
  </si>
  <si>
    <t>Dean Percer</t>
  </si>
  <si>
    <t>5473-1</t>
  </si>
  <si>
    <t>Anemone Ratner</t>
  </si>
  <si>
    <t>32 Wellington Street, Perth</t>
  </si>
  <si>
    <t>5475-1</t>
  </si>
  <si>
    <t>Brian Stugart</t>
  </si>
  <si>
    <t>88 Oxford St,Woollahra</t>
  </si>
  <si>
    <t>24 Capacity Maxi Data Binder Racks, Pearl</t>
  </si>
  <si>
    <t>5476-1</t>
  </si>
  <si>
    <t>Michelle Tran</t>
  </si>
  <si>
    <t>5477-1</t>
  </si>
  <si>
    <t>Vivek Sundaresam</t>
  </si>
  <si>
    <t>5478-1</t>
  </si>
  <si>
    <t>5479-1</t>
  </si>
  <si>
    <t>Tracy Blumstein</t>
  </si>
  <si>
    <t>5479-2</t>
  </si>
  <si>
    <t>Assorted Color Push Pins</t>
  </si>
  <si>
    <t>5483-1</t>
  </si>
  <si>
    <t>Ritsa Hightower</t>
  </si>
  <si>
    <t>22 St Georges Terrace</t>
  </si>
  <si>
    <t>5485-1</t>
  </si>
  <si>
    <t>Michelle Moray</t>
  </si>
  <si>
    <t>5487-1</t>
  </si>
  <si>
    <t>Jim Radford</t>
  </si>
  <si>
    <t>5489-1</t>
  </si>
  <si>
    <t>5491-1</t>
  </si>
  <si>
    <t>Alto 3-Hole Punch</t>
  </si>
  <si>
    <t>5493-1</t>
  </si>
  <si>
    <t>5494-1</t>
  </si>
  <si>
    <t>5496-1</t>
  </si>
  <si>
    <t>Richard Eichhorn</t>
  </si>
  <si>
    <t>5497-1</t>
  </si>
  <si>
    <t>Juliana Krohn</t>
  </si>
  <si>
    <t>5498-1</t>
  </si>
  <si>
    <t>Clytie Kelty</t>
  </si>
  <si>
    <t>8 Khartoum Rd,Macquarie Park</t>
  </si>
  <si>
    <t>5500-1</t>
  </si>
  <si>
    <t>Ken Dana</t>
  </si>
  <si>
    <t>5502-1</t>
  </si>
  <si>
    <t>Andy Yotov</t>
  </si>
  <si>
    <t>31 Wellington Street, Perth</t>
  </si>
  <si>
    <t>5504-1</t>
  </si>
  <si>
    <t>Melanie Page</t>
  </si>
  <si>
    <t>5505-1</t>
  </si>
  <si>
    <t>Arthur Gainer</t>
  </si>
  <si>
    <t>14/76 Newcastle Street, Perth</t>
  </si>
  <si>
    <t>5506-1</t>
  </si>
  <si>
    <t>Creator Anti Dust Chalk, 12/Pack</t>
  </si>
  <si>
    <t>5507-1</t>
  </si>
  <si>
    <t>Christopher Martinez</t>
  </si>
  <si>
    <t>33 Wellington Street</t>
  </si>
  <si>
    <t>5508-1</t>
  </si>
  <si>
    <t>5510-1</t>
  </si>
  <si>
    <t>Dianna Wilson</t>
  </si>
  <si>
    <t>5512-1</t>
  </si>
  <si>
    <t>Lindsay Castell</t>
  </si>
  <si>
    <t>5513-1</t>
  </si>
  <si>
    <t>Chuck Sachs</t>
  </si>
  <si>
    <t>1/41B Elizabeth Bay Rd,Elizabeth Bay</t>
  </si>
  <si>
    <t>5514-1</t>
  </si>
  <si>
    <t>John Lee</t>
  </si>
  <si>
    <t>5516-1</t>
  </si>
  <si>
    <t>5518-1</t>
  </si>
  <si>
    <t>Fred Chung</t>
  </si>
  <si>
    <t>5520-1</t>
  </si>
  <si>
    <t>5521-1</t>
  </si>
  <si>
    <t>5523-1</t>
  </si>
  <si>
    <t>Bill Donatelli</t>
  </si>
  <si>
    <t>8 Orange Street, Perth</t>
  </si>
  <si>
    <t>5525-1</t>
  </si>
  <si>
    <t>Adams "While You Were Out" Message Pads</t>
  </si>
  <si>
    <t>5526-1</t>
  </si>
  <si>
    <t>Barry Pond</t>
  </si>
  <si>
    <t>5527-1</t>
  </si>
  <si>
    <t>Jim Mitchum</t>
  </si>
  <si>
    <t>5529-1</t>
  </si>
  <si>
    <t>5531-1</t>
  </si>
  <si>
    <t>Luke Weiss</t>
  </si>
  <si>
    <t>5533-1</t>
  </si>
  <si>
    <t>Craig Leslie</t>
  </si>
  <si>
    <t>10 Bligh St,Melbourne</t>
  </si>
  <si>
    <t>5534-1</t>
  </si>
  <si>
    <t>Frank Hawley</t>
  </si>
  <si>
    <t>Shop 1 797 Botany Rd,Rosebery</t>
  </si>
  <si>
    <t>Artisan 474 Labels</t>
  </si>
  <si>
    <t>5536-1</t>
  </si>
  <si>
    <t>5537-1</t>
  </si>
  <si>
    <t>Alejandro Ballentine</t>
  </si>
  <si>
    <t>5539-1</t>
  </si>
  <si>
    <t>Daniel Byrd</t>
  </si>
  <si>
    <t>5539-2</t>
  </si>
  <si>
    <t>Smiths Paper Clips</t>
  </si>
  <si>
    <t>5541-1</t>
  </si>
  <si>
    <t>Christine Abelman</t>
  </si>
  <si>
    <t>5544-1</t>
  </si>
  <si>
    <t>TechSavi Cordless Access Keyboard</t>
  </si>
  <si>
    <t>5546-1</t>
  </si>
  <si>
    <t>Monica Federle</t>
  </si>
  <si>
    <t>834 Bourke St,Waterloo</t>
  </si>
  <si>
    <t>5547-1</t>
  </si>
  <si>
    <t>Mike Gockenbach</t>
  </si>
  <si>
    <t>5548-1</t>
  </si>
  <si>
    <t>James Galang</t>
  </si>
  <si>
    <t>Artisan File Folder Labels</t>
  </si>
  <si>
    <t>5549-1</t>
  </si>
  <si>
    <t>5551-1</t>
  </si>
  <si>
    <t>Raymond Book</t>
  </si>
  <si>
    <t>Artisan Round Ring Poly Binders</t>
  </si>
  <si>
    <t>5552-1</t>
  </si>
  <si>
    <t>Bobby Odegard</t>
  </si>
  <si>
    <t>5554-1</t>
  </si>
  <si>
    <t>5556-1</t>
  </si>
  <si>
    <t>Art Miller</t>
  </si>
  <si>
    <t>5558-1</t>
  </si>
  <si>
    <t>Julia Dunbar</t>
  </si>
  <si>
    <t>3/265 Stirling Street</t>
  </si>
  <si>
    <t>Colored Push Pins</t>
  </si>
  <si>
    <t>5558-2</t>
  </si>
  <si>
    <t>Steady Colorific Eraseable Coloring Pencils, 12 Count</t>
  </si>
  <si>
    <t>5560-1</t>
  </si>
  <si>
    <t>Gene Hale</t>
  </si>
  <si>
    <t>5562-1</t>
  </si>
  <si>
    <t>Sonia Sunley</t>
  </si>
  <si>
    <t>5564-1</t>
  </si>
  <si>
    <t>Philip Brown</t>
  </si>
  <si>
    <t>5566-1</t>
  </si>
  <si>
    <t>Victoria Wilson</t>
  </si>
  <si>
    <t>5566-2</t>
  </si>
  <si>
    <t>5569-1</t>
  </si>
  <si>
    <t>Maria Zettner</t>
  </si>
  <si>
    <t>531 King St,Newtown</t>
  </si>
  <si>
    <t>5570-1</t>
  </si>
  <si>
    <t>Keith Herrera</t>
  </si>
  <si>
    <t>5572-1</t>
  </si>
  <si>
    <t>Mark Packer</t>
  </si>
  <si>
    <t>5574-1</t>
  </si>
  <si>
    <t>Denny Joy</t>
  </si>
  <si>
    <t>5576-1</t>
  </si>
  <si>
    <t>Shirley Jackson</t>
  </si>
  <si>
    <t>5578-1</t>
  </si>
  <si>
    <t>Ed Ludwig</t>
  </si>
  <si>
    <t>5579-1</t>
  </si>
  <si>
    <t>Carol Adams</t>
  </si>
  <si>
    <t>181 Enmore Rd,Enmore</t>
  </si>
  <si>
    <t>5581-1</t>
  </si>
  <si>
    <t>John Lucas</t>
  </si>
  <si>
    <t>5583-1</t>
  </si>
  <si>
    <t>Benjamin Patterson</t>
  </si>
  <si>
    <t>5584-1</t>
  </si>
  <si>
    <t>5586-1</t>
  </si>
  <si>
    <t>Adrian Hane</t>
  </si>
  <si>
    <t>5588-1</t>
  </si>
  <si>
    <t>Tonja Turnell</t>
  </si>
  <si>
    <t>5589-1</t>
  </si>
  <si>
    <t>5591-1</t>
  </si>
  <si>
    <t>Dorris Love</t>
  </si>
  <si>
    <t>Smiths File Caddy</t>
  </si>
  <si>
    <t>5593-1</t>
  </si>
  <si>
    <t>5594-1</t>
  </si>
  <si>
    <t>Jill Fjeld</t>
  </si>
  <si>
    <t>5596-1</t>
  </si>
  <si>
    <t>5597-1</t>
  </si>
  <si>
    <t>Maribeth Yedwab</t>
  </si>
  <si>
    <t>5599-1</t>
  </si>
  <si>
    <t>Ruben Ausman</t>
  </si>
  <si>
    <t>5599-2</t>
  </si>
  <si>
    <t>5603-1</t>
  </si>
  <si>
    <t>5604-1</t>
  </si>
  <si>
    <t>5605-1</t>
  </si>
  <si>
    <t>Odella Nelson</t>
  </si>
  <si>
    <t>5606-1</t>
  </si>
  <si>
    <t>Kean Thornton</t>
  </si>
  <si>
    <t>65 Palmerston Street</t>
  </si>
  <si>
    <t>5607-1</t>
  </si>
  <si>
    <t>5609-1</t>
  </si>
  <si>
    <t>5609-2</t>
  </si>
  <si>
    <t>5612-1</t>
  </si>
  <si>
    <t>5613-1</t>
  </si>
  <si>
    <t>5615-1</t>
  </si>
  <si>
    <t>Jack Garza</t>
  </si>
  <si>
    <t>5616-1</t>
  </si>
  <si>
    <t>Gary Hansen</t>
  </si>
  <si>
    <t>5618-1</t>
  </si>
  <si>
    <t>5619-1</t>
  </si>
  <si>
    <t>Bart Watters</t>
  </si>
  <si>
    <t>27/580 Hay Street, Perth</t>
  </si>
  <si>
    <t>5621-1</t>
  </si>
  <si>
    <t>George Ashbrook</t>
  </si>
  <si>
    <t>5621-2</t>
  </si>
  <si>
    <t>5625-1</t>
  </si>
  <si>
    <t>Nathan Mautz</t>
  </si>
  <si>
    <t>5627-1</t>
  </si>
  <si>
    <t>Cindy Chapman</t>
  </si>
  <si>
    <t>5629-1</t>
  </si>
  <si>
    <t>Charles McCrossin</t>
  </si>
  <si>
    <t>5630-1</t>
  </si>
  <si>
    <t>Giulietta Baptist</t>
  </si>
  <si>
    <t>5631-1</t>
  </si>
  <si>
    <t>32 Wellington Street</t>
  </si>
  <si>
    <t>5633-1</t>
  </si>
  <si>
    <t>5635-1</t>
  </si>
  <si>
    <t>Jamie Kunitz</t>
  </si>
  <si>
    <t>5637-1</t>
  </si>
  <si>
    <t>Carl Jackson</t>
  </si>
  <si>
    <t>6 Mary St,Newtown</t>
  </si>
  <si>
    <t>5639-1</t>
  </si>
  <si>
    <t>5641-1</t>
  </si>
  <si>
    <t>5643-1</t>
  </si>
  <si>
    <t>5644-1</t>
  </si>
  <si>
    <t>5645-1</t>
  </si>
  <si>
    <t>5646-1</t>
  </si>
  <si>
    <t>5647-1</t>
  </si>
  <si>
    <t>Trudy Bell</t>
  </si>
  <si>
    <t>5648-1</t>
  </si>
  <si>
    <t>Artisan Reinforcements for Hole-Punch Pages</t>
  </si>
  <si>
    <t>5650-1</t>
  </si>
  <si>
    <t>Arthur Prichep</t>
  </si>
  <si>
    <t>5651-1</t>
  </si>
  <si>
    <t>Vicky Freymann</t>
  </si>
  <si>
    <t>5653-1</t>
  </si>
  <si>
    <t>5655-1</t>
  </si>
  <si>
    <t>Sam Craven</t>
  </si>
  <si>
    <t>5655-2</t>
  </si>
  <si>
    <t>5658-1</t>
  </si>
  <si>
    <t>5659-1</t>
  </si>
  <si>
    <t>Barry Franz</t>
  </si>
  <si>
    <t>65 Palmerston Street, Perth</t>
  </si>
  <si>
    <t>5661-1</t>
  </si>
  <si>
    <t>5663-1</t>
  </si>
  <si>
    <t>Roger Demir</t>
  </si>
  <si>
    <t>2/86 Enmore Rd,Enmore</t>
  </si>
  <si>
    <t>Artisan Hi-Liter EverBold Pen Style Fluorescent Highlighters, 4/Pack</t>
  </si>
  <si>
    <t>5665-1</t>
  </si>
  <si>
    <t>5667-1</t>
  </si>
  <si>
    <t>5669-1</t>
  </si>
  <si>
    <t>Caroline Jumper</t>
  </si>
  <si>
    <t>5670-1</t>
  </si>
  <si>
    <t>Catherine Glotzbach</t>
  </si>
  <si>
    <t>5671-1</t>
  </si>
  <si>
    <t>5672-1</t>
  </si>
  <si>
    <t>TechSavi Cordless Keyboard</t>
  </si>
  <si>
    <t>5674-1</t>
  </si>
  <si>
    <t>Brendan Murry</t>
  </si>
  <si>
    <t>5676-1</t>
  </si>
  <si>
    <t>John Murray</t>
  </si>
  <si>
    <t>5677-1</t>
  </si>
  <si>
    <t>Lindsay Shagiari</t>
  </si>
  <si>
    <t>5/250 Old Northern Road ,Castle Hill</t>
  </si>
  <si>
    <t>5679-1</t>
  </si>
  <si>
    <t>Pete Armstrong</t>
  </si>
  <si>
    <t>5680-1</t>
  </si>
  <si>
    <t>Becky Castell</t>
  </si>
  <si>
    <t>5681-1</t>
  </si>
  <si>
    <t>5682-1</t>
  </si>
  <si>
    <t>Toby Carlisle</t>
  </si>
  <si>
    <t>6/15 Cross Street,Double Bay</t>
  </si>
  <si>
    <t>5684-1</t>
  </si>
  <si>
    <t>Greg Hansen</t>
  </si>
  <si>
    <t>Smiths Pushpins</t>
  </si>
  <si>
    <t>5685-1</t>
  </si>
  <si>
    <t>5686-1</t>
  </si>
  <si>
    <t>Jill Stevenson</t>
  </si>
  <si>
    <t>5687-1</t>
  </si>
  <si>
    <t>5689-1</t>
  </si>
  <si>
    <t>5690-1</t>
  </si>
  <si>
    <t>5692-1</t>
  </si>
  <si>
    <t>5693-1</t>
  </si>
  <si>
    <t>Julia Barnett</t>
  </si>
  <si>
    <t>485 Crown St,Surry Hills</t>
  </si>
  <si>
    <t>5695-1</t>
  </si>
  <si>
    <t>5696-1</t>
  </si>
  <si>
    <t>Nicole Hansen</t>
  </si>
  <si>
    <t>184 King Street,Newtown</t>
  </si>
  <si>
    <t>5698-1</t>
  </si>
  <si>
    <t>5699-1</t>
  </si>
  <si>
    <t>Maurice Satty</t>
  </si>
  <si>
    <t>5701-1</t>
  </si>
  <si>
    <t>Lena Creighton</t>
  </si>
  <si>
    <t>5702-1</t>
  </si>
  <si>
    <t>5703-1</t>
  </si>
  <si>
    <t>5705-1</t>
  </si>
  <si>
    <t>Ed Braxton</t>
  </si>
  <si>
    <t>5706-1</t>
  </si>
  <si>
    <t>5708-1</t>
  </si>
  <si>
    <t>Vivek Gonzalez</t>
  </si>
  <si>
    <t>5710-1</t>
  </si>
  <si>
    <t>Robert Barroso</t>
  </si>
  <si>
    <t>5711-1</t>
  </si>
  <si>
    <t>Linda Southworth</t>
  </si>
  <si>
    <t>5712-1</t>
  </si>
  <si>
    <t>5713-1</t>
  </si>
  <si>
    <t>Marc Crier</t>
  </si>
  <si>
    <t>5715-1</t>
  </si>
  <si>
    <t>5717-1</t>
  </si>
  <si>
    <t>Harry Greene</t>
  </si>
  <si>
    <t>5718-1</t>
  </si>
  <si>
    <t>Theone Pippenger</t>
  </si>
  <si>
    <t>5719-1</t>
  </si>
  <si>
    <t>5720-1</t>
  </si>
  <si>
    <t>5721-1</t>
  </si>
  <si>
    <t>Greg Guthrie</t>
  </si>
  <si>
    <t>5722-1</t>
  </si>
  <si>
    <t>Matthew Grinstein</t>
  </si>
  <si>
    <t>105 Pitt St,Sydney</t>
  </si>
  <si>
    <t>5724-1</t>
  </si>
  <si>
    <t>Todd Boyes</t>
  </si>
  <si>
    <t>5724-2</t>
  </si>
  <si>
    <t>5728-1</t>
  </si>
  <si>
    <t>Charles Crestani</t>
  </si>
  <si>
    <t>5730-1</t>
  </si>
  <si>
    <t>Tim Taslimi</t>
  </si>
  <si>
    <t>5731-1</t>
  </si>
  <si>
    <t>Christine Sundaresam</t>
  </si>
  <si>
    <t>7 Khartoum Rd,Macquarie Park</t>
  </si>
  <si>
    <t>5732-1</t>
  </si>
  <si>
    <t>Michael Oakman</t>
  </si>
  <si>
    <t>Apex Design Stainless Steel Bent Scissors</t>
  </si>
  <si>
    <t>5734-1</t>
  </si>
  <si>
    <t>Ellis Ballard</t>
  </si>
  <si>
    <t>5736-1</t>
  </si>
  <si>
    <t>Dave Hallsten</t>
  </si>
  <si>
    <t>Col-Erase Pencils with Erasers</t>
  </si>
  <si>
    <t>5737-1</t>
  </si>
  <si>
    <t>5738-1</t>
  </si>
  <si>
    <t>5740-1</t>
  </si>
  <si>
    <t>Katrina Willman</t>
  </si>
  <si>
    <t>5741-1</t>
  </si>
  <si>
    <t>Max Jones</t>
  </si>
  <si>
    <t>5742-1</t>
  </si>
  <si>
    <t>5743-1</t>
  </si>
  <si>
    <t>Katherine Nockton</t>
  </si>
  <si>
    <t>5745-1</t>
  </si>
  <si>
    <t>5747-1</t>
  </si>
  <si>
    <t>Jim Sink</t>
  </si>
  <si>
    <t>5749-1</t>
  </si>
  <si>
    <t>5750-1</t>
  </si>
  <si>
    <t>5752-1</t>
  </si>
  <si>
    <t>5754-1</t>
  </si>
  <si>
    <t>5755-1</t>
  </si>
  <si>
    <t>Clay Rozendal</t>
  </si>
  <si>
    <t>5757-1</t>
  </si>
  <si>
    <t>5760-1</t>
  </si>
  <si>
    <t>Doug Jacobs</t>
  </si>
  <si>
    <t>5762-1</t>
  </si>
  <si>
    <t>5762-2</t>
  </si>
  <si>
    <t>5766-1</t>
  </si>
  <si>
    <t>Jennifer Braxton</t>
  </si>
  <si>
    <t>5768-1</t>
  </si>
  <si>
    <t>5768-2</t>
  </si>
  <si>
    <t>5773-1</t>
  </si>
  <si>
    <t>5775-1</t>
  </si>
  <si>
    <t>5777-1</t>
  </si>
  <si>
    <t>5778-1</t>
  </si>
  <si>
    <t>5779-1</t>
  </si>
  <si>
    <t>5781-1</t>
  </si>
  <si>
    <t>Cari Schnelling</t>
  </si>
  <si>
    <t>5782-1</t>
  </si>
  <si>
    <t>5784-1</t>
  </si>
  <si>
    <t>Ionia McGrath</t>
  </si>
  <si>
    <t>5786-1</t>
  </si>
  <si>
    <t>Claire Good</t>
  </si>
  <si>
    <t>5787-1</t>
  </si>
  <si>
    <t>Tom Stivers</t>
  </si>
  <si>
    <t>5788-1</t>
  </si>
  <si>
    <t>5790-1</t>
  </si>
  <si>
    <t>David Smith</t>
  </si>
  <si>
    <t>5791-1</t>
  </si>
  <si>
    <t>Carlos Soltero</t>
  </si>
  <si>
    <t>5793-1</t>
  </si>
  <si>
    <t>Doug Bickford</t>
  </si>
  <si>
    <t>5795-1</t>
  </si>
  <si>
    <t>5797-1</t>
  </si>
  <si>
    <t>5799-1</t>
  </si>
  <si>
    <t>5800-1</t>
  </si>
  <si>
    <t>Ralph Arnett</t>
  </si>
  <si>
    <t>5801-1</t>
  </si>
  <si>
    <t>5802-1</t>
  </si>
  <si>
    <t>5803-1</t>
  </si>
  <si>
    <t>Jeremy Pistek</t>
  </si>
  <si>
    <t>5804-1</t>
  </si>
  <si>
    <t>5804-2</t>
  </si>
  <si>
    <t>5805-1</t>
  </si>
  <si>
    <t>Brian Thompson</t>
  </si>
  <si>
    <t>154 Castlereagh St,Sydney</t>
  </si>
  <si>
    <t>5806-1</t>
  </si>
  <si>
    <t>5807-1</t>
  </si>
  <si>
    <t>Ann Blume</t>
  </si>
  <si>
    <t>33 Wellington Street, Perth</t>
  </si>
  <si>
    <t>5809-1</t>
  </si>
  <si>
    <t>Roy French</t>
  </si>
  <si>
    <t>5811-1</t>
  </si>
  <si>
    <t>Anne McFarland</t>
  </si>
  <si>
    <t>5813-1</t>
  </si>
  <si>
    <t>Sarah Bern</t>
  </si>
  <si>
    <t>Artisan Hole Reinforcements</t>
  </si>
  <si>
    <t>5814-1</t>
  </si>
  <si>
    <t>Thomas Thornton</t>
  </si>
  <si>
    <t>5815-1</t>
  </si>
  <si>
    <t>Nicole Brennan</t>
  </si>
  <si>
    <t>5816-1</t>
  </si>
  <si>
    <t>Tracy Poddar</t>
  </si>
  <si>
    <t>5818-1</t>
  </si>
  <si>
    <t>5819-1</t>
  </si>
  <si>
    <t>Anthony Garverick</t>
  </si>
  <si>
    <t>10 Lake Street, Perth</t>
  </si>
  <si>
    <t>5821-1</t>
  </si>
  <si>
    <t>Susan Pistek</t>
  </si>
  <si>
    <t>5822-1</t>
  </si>
  <si>
    <t>5824-1</t>
  </si>
  <si>
    <t>Keith Dawkins</t>
  </si>
  <si>
    <t>5826-1</t>
  </si>
  <si>
    <t>Harold Pawlan</t>
  </si>
  <si>
    <t>5829-1</t>
  </si>
  <si>
    <t>Jonathan Howell</t>
  </si>
  <si>
    <t>5831-1</t>
  </si>
  <si>
    <t>Erin Creighton</t>
  </si>
  <si>
    <t>5832-1</t>
  </si>
  <si>
    <t>Sibella Parks</t>
  </si>
  <si>
    <t>5833-1</t>
  </si>
  <si>
    <t>5834-1</t>
  </si>
  <si>
    <t>5835-1</t>
  </si>
  <si>
    <t>Tom Ashbrook</t>
  </si>
  <si>
    <t>5837-1</t>
  </si>
  <si>
    <t>Astrea Jones</t>
  </si>
  <si>
    <t>3/265 Stirling Street, Perth</t>
  </si>
  <si>
    <t>5838-1</t>
  </si>
  <si>
    <t>Brad Norvell</t>
  </si>
  <si>
    <t>5840-1</t>
  </si>
  <si>
    <t>5841-1</t>
  </si>
  <si>
    <t>5842-1</t>
  </si>
  <si>
    <t>5843-1</t>
  </si>
  <si>
    <t>Valerie Mitchum</t>
  </si>
  <si>
    <t>5845-1</t>
  </si>
  <si>
    <t>5847-1</t>
  </si>
  <si>
    <t>5848-1</t>
  </si>
  <si>
    <t>Craig Molinari</t>
  </si>
  <si>
    <t>5850-1</t>
  </si>
  <si>
    <t>Bradley Nguyen</t>
  </si>
  <si>
    <t>Alto Six-Outlet Power Strip, 4 Cord Length</t>
  </si>
  <si>
    <t>5852-1</t>
  </si>
  <si>
    <t>Katrina Edelman</t>
  </si>
  <si>
    <t>5854-1</t>
  </si>
  <si>
    <t>5856-1</t>
  </si>
  <si>
    <t>Alejandro Grove</t>
  </si>
  <si>
    <t>155 Oxford Street,Darlinghurst</t>
  </si>
  <si>
    <t>5857-1</t>
  </si>
  <si>
    <t>5859-1</t>
  </si>
  <si>
    <t>5861-1</t>
  </si>
  <si>
    <t>Trudy Schmidt</t>
  </si>
  <si>
    <t>333-339 Enmore Rd,Marrickville</t>
  </si>
  <si>
    <t>5863-1</t>
  </si>
  <si>
    <t>5865-1</t>
  </si>
  <si>
    <t>Art Ferguson</t>
  </si>
  <si>
    <t>5867-1</t>
  </si>
  <si>
    <t>5868-1</t>
  </si>
  <si>
    <t>5869-1</t>
  </si>
  <si>
    <t>Peter McVee</t>
  </si>
  <si>
    <t>5869-2</t>
  </si>
  <si>
    <t>5870-1</t>
  </si>
  <si>
    <t>Frank Carlisle</t>
  </si>
  <si>
    <t>5871-1</t>
  </si>
  <si>
    <t>5872-1</t>
  </si>
  <si>
    <t>Greg Tran</t>
  </si>
  <si>
    <t>5873-1</t>
  </si>
  <si>
    <t>Dianna Arnett</t>
  </si>
  <si>
    <t>5875-1</t>
  </si>
  <si>
    <t>Cindy Schnelling</t>
  </si>
  <si>
    <t>5877-1</t>
  </si>
  <si>
    <t>Chuck Clark</t>
  </si>
  <si>
    <t>5879-1</t>
  </si>
  <si>
    <t>5881-1</t>
  </si>
  <si>
    <t>5882-1</t>
  </si>
  <si>
    <t>Denny Blanton</t>
  </si>
  <si>
    <t>5884-1</t>
  </si>
  <si>
    <t>5885-1</t>
  </si>
  <si>
    <t>Guy Armstrong</t>
  </si>
  <si>
    <t>5886-1</t>
  </si>
  <si>
    <t>Michelle Lonsdale</t>
  </si>
  <si>
    <t>5887-1</t>
  </si>
  <si>
    <t>5888-1</t>
  </si>
  <si>
    <t>5888-2</t>
  </si>
  <si>
    <t>5891-1</t>
  </si>
  <si>
    <t>5893-1</t>
  </si>
  <si>
    <t>Ricardo Block</t>
  </si>
  <si>
    <t>5894-1</t>
  </si>
  <si>
    <t>Shui Tom</t>
  </si>
  <si>
    <t>5896-1</t>
  </si>
  <si>
    <t>Penelope Sewall</t>
  </si>
  <si>
    <t>96 Liverpool St,Sydney</t>
  </si>
  <si>
    <t>5898-1</t>
  </si>
  <si>
    <t>5899-1</t>
  </si>
  <si>
    <t>5900-1</t>
  </si>
  <si>
    <t>5902-1</t>
  </si>
  <si>
    <t>Brian DeCherney</t>
  </si>
  <si>
    <t>5904-1</t>
  </si>
  <si>
    <t>5906-1</t>
  </si>
  <si>
    <t>5907-1</t>
  </si>
  <si>
    <t>5908-1</t>
  </si>
  <si>
    <t>Alan Shonely</t>
  </si>
  <si>
    <t>5909-1</t>
  </si>
  <si>
    <t>5911-1</t>
  </si>
  <si>
    <t>5913-1</t>
  </si>
  <si>
    <t>5914-1</t>
  </si>
  <si>
    <t>Patrick Ryan</t>
  </si>
  <si>
    <t>Cnr Williams Road &amp; Lechlade Ave,South Yarra</t>
  </si>
  <si>
    <t>5916-1</t>
  </si>
  <si>
    <t>5917-1</t>
  </si>
  <si>
    <t>5919-1</t>
  </si>
  <si>
    <t>5921-1</t>
  </si>
  <si>
    <t>George Bell</t>
  </si>
  <si>
    <t>5923-1</t>
  </si>
  <si>
    <t>5925-1</t>
  </si>
  <si>
    <t>Lauren Leatherbury</t>
  </si>
  <si>
    <t>5927-1</t>
  </si>
  <si>
    <t>5928-1</t>
  </si>
  <si>
    <t>Michael Chen</t>
  </si>
  <si>
    <t>Shop 3/144 Waterloo Road,Greenacre</t>
  </si>
  <si>
    <t>5930-1</t>
  </si>
  <si>
    <t>5931-1</t>
  </si>
  <si>
    <t>Alan Schoenberger</t>
  </si>
  <si>
    <t>5932-1</t>
  </si>
  <si>
    <t>5933-1</t>
  </si>
  <si>
    <t>Tamara Chand</t>
  </si>
  <si>
    <t>5935-1</t>
  </si>
  <si>
    <t>5937-1</t>
  </si>
  <si>
    <t>5938-1</t>
  </si>
  <si>
    <t>Annie Cyprus</t>
  </si>
  <si>
    <t>5939-1</t>
  </si>
  <si>
    <t>Richard Bierner</t>
  </si>
  <si>
    <t>5941-1</t>
  </si>
  <si>
    <t>Erica Bern</t>
  </si>
  <si>
    <t>5943-1</t>
  </si>
  <si>
    <t>5943-2</t>
  </si>
  <si>
    <t>5944-1</t>
  </si>
  <si>
    <t>Beth Paige</t>
  </si>
  <si>
    <t>5947-1</t>
  </si>
  <si>
    <t>Stefania Perrino</t>
  </si>
  <si>
    <t>5949-1</t>
  </si>
  <si>
    <t>Arianne Irving</t>
  </si>
  <si>
    <t>5951-1</t>
  </si>
  <si>
    <t>5952-1</t>
  </si>
  <si>
    <t>5955-1</t>
  </si>
  <si>
    <t>Max Engle</t>
  </si>
  <si>
    <t>5956-1</t>
  </si>
  <si>
    <t>Michelle Huthwaite</t>
  </si>
  <si>
    <t>5960-1</t>
  </si>
  <si>
    <t>Karen Ferguson</t>
  </si>
  <si>
    <t>5962-1</t>
  </si>
  <si>
    <t>Ralph Kennedy</t>
  </si>
  <si>
    <t>53-55 Liverpool Street,Sydney</t>
  </si>
  <si>
    <t>5964-1</t>
  </si>
  <si>
    <t>5965-1</t>
  </si>
  <si>
    <t>5967-1</t>
  </si>
  <si>
    <t>5968-1</t>
  </si>
  <si>
    <t>5969-1</t>
  </si>
  <si>
    <t>Bryan Spruell</t>
  </si>
  <si>
    <t>5971-1</t>
  </si>
  <si>
    <t>5973-1</t>
  </si>
  <si>
    <t>Barry Gonzalez</t>
  </si>
  <si>
    <t>5974-1</t>
  </si>
  <si>
    <t>5976-1</t>
  </si>
  <si>
    <t>Barry Blumstein</t>
  </si>
  <si>
    <t>5977-1</t>
  </si>
  <si>
    <t>5978-1</t>
  </si>
  <si>
    <t>5980-1</t>
  </si>
  <si>
    <t>5982-1</t>
  </si>
  <si>
    <t>5983-1</t>
  </si>
  <si>
    <t>Magdelene Morse</t>
  </si>
  <si>
    <t>5984-1</t>
  </si>
  <si>
    <t>Frank Atkinson</t>
  </si>
  <si>
    <t>5985-1</t>
  </si>
  <si>
    <t>5987-1</t>
  </si>
  <si>
    <t>Christopher Conant</t>
  </si>
  <si>
    <t>5988-1</t>
  </si>
  <si>
    <t>5990-1</t>
  </si>
  <si>
    <t>Annie Thurman</t>
  </si>
  <si>
    <t>5990-2</t>
  </si>
  <si>
    <t>5993-1</t>
  </si>
  <si>
    <t>5994-1</t>
  </si>
  <si>
    <t>5996-1</t>
  </si>
  <si>
    <t>5997-1</t>
  </si>
  <si>
    <t>5997-2</t>
  </si>
  <si>
    <t>6000-1</t>
  </si>
  <si>
    <t>Jack Lebron</t>
  </si>
  <si>
    <t>6001-1</t>
  </si>
  <si>
    <t>Toby Grace</t>
  </si>
  <si>
    <t>324A King St,Newtown</t>
  </si>
  <si>
    <t>6002-1</t>
  </si>
  <si>
    <t>Lycoris Saunders</t>
  </si>
  <si>
    <t>6003-1</t>
  </si>
  <si>
    <t>6005-1</t>
  </si>
  <si>
    <t>6006-1</t>
  </si>
  <si>
    <t>Nora Pelletier</t>
  </si>
  <si>
    <t>5/250 Old Northern Road,Castle Hill</t>
  </si>
  <si>
    <t>6007-1</t>
  </si>
  <si>
    <t>Tracy Collins</t>
  </si>
  <si>
    <t>6009-1</t>
  </si>
  <si>
    <t>6011-1</t>
  </si>
  <si>
    <t>6012-1</t>
  </si>
  <si>
    <t>6014-1</t>
  </si>
  <si>
    <t>Nora Price</t>
  </si>
  <si>
    <t>6014-2</t>
  </si>
  <si>
    <t>6017-1</t>
  </si>
  <si>
    <t>6019-1</t>
  </si>
  <si>
    <t>6021-1</t>
  </si>
  <si>
    <t>Steve Carroll</t>
  </si>
  <si>
    <t>6023-1</t>
  </si>
  <si>
    <t>6025-1</t>
  </si>
  <si>
    <t>Nona Balk</t>
  </si>
  <si>
    <t>6027-1</t>
  </si>
  <si>
    <t>6029-1</t>
  </si>
  <si>
    <t>6030-1</t>
  </si>
  <si>
    <t>6032-1</t>
  </si>
  <si>
    <t>Fred McMath</t>
  </si>
  <si>
    <t>6034-1</t>
  </si>
  <si>
    <t>6036-1</t>
  </si>
  <si>
    <t>Eleni McCrary</t>
  </si>
  <si>
    <t>6037-1</t>
  </si>
  <si>
    <t>6038-1</t>
  </si>
  <si>
    <t>6039-1</t>
  </si>
  <si>
    <t>6042-1</t>
  </si>
  <si>
    <t>6044-1</t>
  </si>
  <si>
    <t>Maxwell Schwartz</t>
  </si>
  <si>
    <t>3 Orwell St,Potts Point</t>
  </si>
  <si>
    <t>6046-1</t>
  </si>
  <si>
    <t>Sally Knutson</t>
  </si>
  <si>
    <t>32/82 King Street</t>
  </si>
  <si>
    <t>6048-1</t>
  </si>
  <si>
    <t>Larry Hughes</t>
  </si>
  <si>
    <t>6050-1</t>
  </si>
  <si>
    <t>6052-1</t>
  </si>
  <si>
    <t>6054-1</t>
  </si>
  <si>
    <t>6056-1</t>
  </si>
  <si>
    <t>Victor Price</t>
  </si>
  <si>
    <t>6057-1</t>
  </si>
  <si>
    <t>6058-1</t>
  </si>
  <si>
    <t>Naresj Patel</t>
  </si>
  <si>
    <t>6059-1</t>
  </si>
  <si>
    <t>6061-1</t>
  </si>
  <si>
    <t>6063-1</t>
  </si>
  <si>
    <t>6065-1</t>
  </si>
  <si>
    <t>Cyra Reiten</t>
  </si>
  <si>
    <t>6066-1</t>
  </si>
  <si>
    <t>6067-1</t>
  </si>
  <si>
    <t>Ricardo Emerson</t>
  </si>
  <si>
    <t>6068-1</t>
  </si>
  <si>
    <t>6070-1</t>
  </si>
  <si>
    <t>6071-1</t>
  </si>
  <si>
    <t>6072-1</t>
  </si>
  <si>
    <t>Roy Phan</t>
  </si>
  <si>
    <t>6074-1</t>
  </si>
  <si>
    <t>6076-1</t>
  </si>
  <si>
    <t>Anthony Johnson</t>
  </si>
  <si>
    <t>6077-1</t>
  </si>
  <si>
    <t>6079-1</t>
  </si>
  <si>
    <t>Maria Bertelson</t>
  </si>
  <si>
    <t>6081-1</t>
  </si>
  <si>
    <t>6083-1</t>
  </si>
  <si>
    <t>Damala Kotsonis</t>
  </si>
  <si>
    <t>6085-1</t>
  </si>
  <si>
    <t>Janet Lee</t>
  </si>
  <si>
    <t>6086-1</t>
  </si>
  <si>
    <t>Bobby Trafton</t>
  </si>
  <si>
    <t>8/2 Edward Street, Perth</t>
  </si>
  <si>
    <t>6088-1</t>
  </si>
  <si>
    <t>6090-1</t>
  </si>
  <si>
    <t>Barbara Fisher</t>
  </si>
  <si>
    <t>6094-1</t>
  </si>
  <si>
    <t>Eva Jacobs</t>
  </si>
  <si>
    <t>6095-1</t>
  </si>
  <si>
    <t>6096-1</t>
  </si>
  <si>
    <t>Sung Shariari</t>
  </si>
  <si>
    <t>6098-1</t>
  </si>
  <si>
    <t>6099-1</t>
  </si>
  <si>
    <t>Shahid Hopkins</t>
  </si>
  <si>
    <t>6100-1</t>
  </si>
  <si>
    <t>6102-1</t>
  </si>
  <si>
    <t>Gary Zandusky</t>
  </si>
  <si>
    <t>6103-1</t>
  </si>
  <si>
    <t>Tamara Manning</t>
  </si>
  <si>
    <t>6104-1</t>
  </si>
  <si>
    <t>6104-2</t>
  </si>
  <si>
    <t>6108-1</t>
  </si>
  <si>
    <t>Vivek Grady</t>
  </si>
  <si>
    <t>6109-1</t>
  </si>
  <si>
    <t>6110-1</t>
  </si>
  <si>
    <t>6112-1</t>
  </si>
  <si>
    <t>6113-1</t>
  </si>
  <si>
    <t>6114-1</t>
  </si>
  <si>
    <t>6116-1</t>
  </si>
  <si>
    <t>6118-1</t>
  </si>
  <si>
    <t>Alan Hwang</t>
  </si>
  <si>
    <t>223 Barkly St,St Kilda</t>
  </si>
  <si>
    <t>Smiths Bulk Pack Metal Binder Clips</t>
  </si>
  <si>
    <t>6119-1</t>
  </si>
  <si>
    <t>6121-1</t>
  </si>
  <si>
    <t>Beth Fritzler</t>
  </si>
  <si>
    <t>6123-1</t>
  </si>
  <si>
    <t>6124-1</t>
  </si>
  <si>
    <t>6125-1</t>
  </si>
  <si>
    <t>6127-1</t>
  </si>
  <si>
    <t>6128-1</t>
  </si>
  <si>
    <t>Dennis Bolton</t>
  </si>
  <si>
    <t>6130-1</t>
  </si>
  <si>
    <t>6132-1</t>
  </si>
  <si>
    <t>Julie Creighton</t>
  </si>
  <si>
    <t>6134-1</t>
  </si>
  <si>
    <t>6135-1</t>
  </si>
  <si>
    <t>6136-1</t>
  </si>
  <si>
    <t>Dan Lawera</t>
  </si>
  <si>
    <t>6138-1</t>
  </si>
  <si>
    <t>6140-1</t>
  </si>
  <si>
    <t>6141-1</t>
  </si>
  <si>
    <t>Alliance Rubber Bands</t>
  </si>
  <si>
    <t>6143-1</t>
  </si>
  <si>
    <t>6143-2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</si>
  <si>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</si>
  <si>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</si>
  <si>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</si>
  <si>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</si>
  <si>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</si>
  <si>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</si>
  <si>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</si>
  <si>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</si>
  <si>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Gary McGarr</t>
  </si>
  <si>
    <t>6157-1</t>
  </si>
  <si>
    <t>6158-1</t>
  </si>
  <si>
    <t>6159-1</t>
  </si>
  <si>
    <t>6159-2</t>
  </si>
  <si>
    <t>6165-1</t>
  </si>
  <si>
    <t>Bart Folk</t>
  </si>
  <si>
    <t>10/145 Newcastle Street, Perth</t>
  </si>
  <si>
    <t>6166-1</t>
  </si>
  <si>
    <t>6167-1</t>
  </si>
  <si>
    <t>6168-1</t>
  </si>
  <si>
    <t>6169-1</t>
  </si>
  <si>
    <t>6170-1</t>
  </si>
  <si>
    <t>6172-1</t>
  </si>
  <si>
    <t>6174-1</t>
  </si>
  <si>
    <t>6175-1</t>
  </si>
  <si>
    <t>Sue Ann Reed</t>
  </si>
  <si>
    <t>6176-1</t>
  </si>
  <si>
    <t>Justin MacKendrick</t>
  </si>
  <si>
    <t>6177-1</t>
  </si>
  <si>
    <t>Joy Bell</t>
  </si>
  <si>
    <t>6179-1</t>
  </si>
  <si>
    <t>6181-1</t>
  </si>
  <si>
    <t>Patrick ODonnell</t>
  </si>
  <si>
    <t>6183-1</t>
  </si>
  <si>
    <t>Noel Staavos</t>
  </si>
  <si>
    <t>10/145 Newcastle Street</t>
  </si>
  <si>
    <t>6184-1</t>
  </si>
  <si>
    <t>6185-1</t>
  </si>
  <si>
    <t>Patrick Gardner</t>
  </si>
  <si>
    <t>6186-1</t>
  </si>
  <si>
    <t>Paul Knutson</t>
  </si>
  <si>
    <t>6187-1</t>
  </si>
  <si>
    <t>6189-1</t>
  </si>
  <si>
    <t>Cyma Kinney</t>
  </si>
  <si>
    <t>10 Lake Street</t>
  </si>
  <si>
    <t>6190-1</t>
  </si>
  <si>
    <t>6191-1</t>
  </si>
  <si>
    <t>6193-1</t>
  </si>
  <si>
    <t>6194-1</t>
  </si>
  <si>
    <t>6196-1</t>
  </si>
  <si>
    <t>6197-1</t>
  </si>
  <si>
    <t>6197-2</t>
  </si>
  <si>
    <t>6201-1</t>
  </si>
  <si>
    <t>6203-1</t>
  </si>
  <si>
    <t>Scot Coram</t>
  </si>
  <si>
    <t>2-4 College Street, Darlinghurst</t>
  </si>
  <si>
    <t>6204-1</t>
  </si>
  <si>
    <t>6206-1</t>
  </si>
  <si>
    <t>6208-1</t>
  </si>
  <si>
    <t>Don Jones</t>
  </si>
  <si>
    <t>6209-1</t>
  </si>
  <si>
    <t>6211-1</t>
  </si>
  <si>
    <t>29 Wellington Street, Perth</t>
  </si>
  <si>
    <t>6213-1</t>
  </si>
  <si>
    <t>Clay Cheatham</t>
  </si>
  <si>
    <t>6214-1</t>
  </si>
  <si>
    <t>Quincy Jones</t>
  </si>
  <si>
    <t>6215-1</t>
  </si>
  <si>
    <t>6217-1</t>
  </si>
  <si>
    <t>6219-1</t>
  </si>
  <si>
    <t>Steven Cartwright</t>
  </si>
  <si>
    <t>6220-1</t>
  </si>
  <si>
    <t>6221-1</t>
  </si>
  <si>
    <t>Robert Marley</t>
  </si>
  <si>
    <t>6222-1</t>
  </si>
  <si>
    <t>6223-1</t>
  </si>
  <si>
    <t>Shirley Schmidt</t>
  </si>
  <si>
    <t>6224-1</t>
  </si>
  <si>
    <t>6225-1</t>
  </si>
  <si>
    <t>6226-1</t>
  </si>
  <si>
    <t>6227-1</t>
  </si>
  <si>
    <t>Sandra Flanagan</t>
  </si>
  <si>
    <t>6228-1</t>
  </si>
  <si>
    <t>6230-1</t>
  </si>
  <si>
    <t>Carol Darley</t>
  </si>
  <si>
    <t>6231-1</t>
  </si>
  <si>
    <t>6232-1</t>
  </si>
  <si>
    <t>MaryBeth Skach</t>
  </si>
  <si>
    <t>6234-1</t>
  </si>
  <si>
    <t>Michael Kennedy</t>
  </si>
  <si>
    <t>6235-1</t>
  </si>
  <si>
    <t>Deanra Eno</t>
  </si>
  <si>
    <t>6237-1</t>
  </si>
  <si>
    <t>6238-1</t>
  </si>
  <si>
    <t>Nick Crebassa</t>
  </si>
  <si>
    <t>6240-1</t>
  </si>
  <si>
    <t>6242-1</t>
  </si>
  <si>
    <t>6243-1</t>
  </si>
  <si>
    <t>Deirdre Greer</t>
  </si>
  <si>
    <t>6244-1</t>
  </si>
  <si>
    <t>6246-1</t>
  </si>
  <si>
    <t>Alan Dominguez</t>
  </si>
  <si>
    <t>6248-1</t>
  </si>
  <si>
    <t>Ruben Dartt</t>
  </si>
  <si>
    <t>6250-1</t>
  </si>
  <si>
    <t>Hunter Glantz</t>
  </si>
  <si>
    <t>6252-1</t>
  </si>
  <si>
    <t>6254-1</t>
  </si>
  <si>
    <t>Adrian Shami</t>
  </si>
  <si>
    <t>6256-1</t>
  </si>
  <si>
    <t>Emily Grady</t>
  </si>
  <si>
    <t>6257-1</t>
  </si>
  <si>
    <t>6258-1</t>
  </si>
  <si>
    <t>6260-1</t>
  </si>
  <si>
    <t>6261-1</t>
  </si>
  <si>
    <t>Corey Lock</t>
  </si>
  <si>
    <t>6263-1</t>
  </si>
  <si>
    <t>6264-1</t>
  </si>
  <si>
    <t>6266-1</t>
  </si>
  <si>
    <t>Don Weiss</t>
  </si>
  <si>
    <t>6266-2</t>
  </si>
  <si>
    <t>6269-1</t>
  </si>
  <si>
    <t>6270-1</t>
  </si>
  <si>
    <t>Heather Kirkland</t>
  </si>
  <si>
    <t>6272-1</t>
  </si>
  <si>
    <t>6273-1</t>
  </si>
  <si>
    <t>Shahid Collister</t>
  </si>
  <si>
    <t>6274-1</t>
  </si>
  <si>
    <t>6275-1</t>
  </si>
  <si>
    <t>Stuart Van</t>
  </si>
  <si>
    <t>6276-1</t>
  </si>
  <si>
    <t>Valerie Takahito</t>
  </si>
  <si>
    <t>6278-1</t>
  </si>
  <si>
    <t>6278-2</t>
  </si>
  <si>
    <t>6280-1</t>
  </si>
  <si>
    <t>6280-2</t>
  </si>
  <si>
    <t>6281-1</t>
  </si>
  <si>
    <t>6285-1</t>
  </si>
  <si>
    <t>Shaun Weien</t>
  </si>
  <si>
    <t>6287-1</t>
  </si>
  <si>
    <t>6288-1</t>
  </si>
  <si>
    <t>6290-1</t>
  </si>
  <si>
    <t>6291-1</t>
  </si>
  <si>
    <t>6293-1</t>
  </si>
  <si>
    <t>6294-1</t>
  </si>
  <si>
    <t>6295-1</t>
  </si>
  <si>
    <t>Muhammed MacIntyre</t>
  </si>
  <si>
    <t>6296-1</t>
  </si>
  <si>
    <t>Frank Price</t>
  </si>
  <si>
    <t>6298-1</t>
  </si>
  <si>
    <t>Rose OBrian</t>
  </si>
  <si>
    <t>157 Norton St,Leichhardt</t>
  </si>
  <si>
    <t>6300-1</t>
  </si>
  <si>
    <t>Dana Kaydos</t>
  </si>
  <si>
    <t>6301-1</t>
  </si>
  <si>
    <t>6302-1</t>
  </si>
  <si>
    <t>6303-1</t>
  </si>
  <si>
    <t>6304-1</t>
  </si>
  <si>
    <t>6306-1</t>
  </si>
  <si>
    <t>Daniel Lacy</t>
  </si>
  <si>
    <t>6307-1</t>
  </si>
  <si>
    <t>Jim Karlsson</t>
  </si>
  <si>
    <t>6309-1</t>
  </si>
  <si>
    <t>Lela Donovan</t>
  </si>
  <si>
    <t>255 Devonshire St,Surry Hills</t>
  </si>
  <si>
    <t>6311-1</t>
  </si>
  <si>
    <t>Peter Buhler</t>
  </si>
  <si>
    <t>6313-1</t>
  </si>
  <si>
    <t>6315-1</t>
  </si>
  <si>
    <t>6316-1</t>
  </si>
  <si>
    <t>6317-1</t>
  </si>
  <si>
    <t>6319-1</t>
  </si>
  <si>
    <t>6320-1</t>
  </si>
  <si>
    <t>Jeremy Farry</t>
  </si>
  <si>
    <t>6321-1</t>
  </si>
  <si>
    <t>6322-1</t>
  </si>
  <si>
    <t>6324-1</t>
  </si>
  <si>
    <t>6325-1</t>
  </si>
  <si>
    <t>6325-2</t>
  </si>
  <si>
    <t>6327-1</t>
  </si>
  <si>
    <t>Christina Anderson</t>
  </si>
  <si>
    <t>6328-1</t>
  </si>
  <si>
    <t>6329-1</t>
  </si>
  <si>
    <t>6330-1</t>
  </si>
  <si>
    <t>6332-1</t>
  </si>
  <si>
    <t>6333-1</t>
  </si>
  <si>
    <t>John Huston</t>
  </si>
  <si>
    <t>6335-1</t>
  </si>
  <si>
    <t>Clay Ludtke</t>
  </si>
  <si>
    <t>6336-1</t>
  </si>
  <si>
    <t>6336-2</t>
  </si>
  <si>
    <t>6337-1</t>
  </si>
  <si>
    <t>6338-1</t>
  </si>
  <si>
    <t>6339-1</t>
  </si>
  <si>
    <t>6339-2</t>
  </si>
  <si>
    <t>6340-1</t>
  </si>
  <si>
    <t>6342-1</t>
  </si>
  <si>
    <t>Matthew Clasen</t>
  </si>
  <si>
    <t>6343-1</t>
  </si>
  <si>
    <t>6345-1</t>
  </si>
  <si>
    <t>6346-1</t>
  </si>
  <si>
    <t>6347-1</t>
  </si>
  <si>
    <t>Randy Ferguson</t>
  </si>
  <si>
    <t>6348-1</t>
  </si>
  <si>
    <t>6349-1</t>
  </si>
  <si>
    <t>6351-1</t>
  </si>
  <si>
    <t>Thea Hendricks</t>
  </si>
  <si>
    <t>6352-1</t>
  </si>
  <si>
    <t>Katherine Murray</t>
  </si>
  <si>
    <t>6353-1</t>
  </si>
  <si>
    <t>Debra Catini</t>
  </si>
  <si>
    <t>6354-1</t>
  </si>
  <si>
    <t>6355-1</t>
  </si>
  <si>
    <t>6356-1</t>
  </si>
  <si>
    <t>HFX 610 Color Digital Copier / Printer</t>
  </si>
  <si>
    <t>6358-1</t>
  </si>
  <si>
    <t>6359-1</t>
  </si>
  <si>
    <t>6361-1</t>
  </si>
  <si>
    <t>Michael Stewart</t>
  </si>
  <si>
    <t>6362-1</t>
  </si>
  <si>
    <t>Bruce Stewart</t>
  </si>
  <si>
    <t>6364-1</t>
  </si>
  <si>
    <t>6365-1</t>
  </si>
  <si>
    <t>Maureen Gastineau</t>
  </si>
  <si>
    <t>6367-1</t>
  </si>
  <si>
    <t>Michelle Arnett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</si>
  <si>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</si>
  <si>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</si>
  <si>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</si>
  <si>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</si>
  <si>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</si>
  <si>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</si>
  <si>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</si>
  <si>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</si>
  <si>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</si>
  <si>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</si>
  <si>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6384-1</t>
  </si>
  <si>
    <t>6384-2</t>
  </si>
  <si>
    <t>6387-1</t>
  </si>
  <si>
    <t>6388-1</t>
  </si>
  <si>
    <t>6389-1</t>
  </si>
  <si>
    <t>6390-1</t>
  </si>
  <si>
    <t>6391-1</t>
  </si>
  <si>
    <t>Cynthia Voltz</t>
  </si>
  <si>
    <t>6392-1</t>
  </si>
  <si>
    <t>Meg Tillman</t>
  </si>
  <si>
    <t>6393-1</t>
  </si>
  <si>
    <t>6394-1</t>
  </si>
  <si>
    <t>6395-1</t>
  </si>
  <si>
    <t>6396-1</t>
  </si>
  <si>
    <t>6397-1</t>
  </si>
  <si>
    <t>Nathan Gelder</t>
  </si>
  <si>
    <t>6399-1</t>
  </si>
  <si>
    <t>6401-1</t>
  </si>
  <si>
    <t>6402-1</t>
  </si>
  <si>
    <t>6403-1</t>
  </si>
  <si>
    <t>6403-2</t>
  </si>
  <si>
    <t>6407-1</t>
  </si>
  <si>
    <t>6409-1</t>
  </si>
  <si>
    <t>6411-1</t>
  </si>
  <si>
    <t>6413-1</t>
  </si>
  <si>
    <t>6414-1</t>
  </si>
  <si>
    <t>Christine Phan</t>
  </si>
  <si>
    <t>6415-1</t>
  </si>
  <si>
    <t>6417-1</t>
  </si>
  <si>
    <t>30 Wellington Street</t>
  </si>
  <si>
    <t>6417-2</t>
  </si>
  <si>
    <t>31 Wellington Street</t>
  </si>
  <si>
    <t>6418-1</t>
  </si>
  <si>
    <t>6422-1</t>
  </si>
  <si>
    <t>6423-1</t>
  </si>
  <si>
    <t>6425-1</t>
  </si>
  <si>
    <t>6426-1</t>
  </si>
  <si>
    <t>David Flashing</t>
  </si>
  <si>
    <t>6427-1</t>
  </si>
  <si>
    <t>6429-1</t>
  </si>
  <si>
    <t>6430-1</t>
  </si>
  <si>
    <t>6432-1</t>
  </si>
  <si>
    <t>6433-1</t>
  </si>
  <si>
    <t>6434-1</t>
  </si>
  <si>
    <t>6436-1</t>
  </si>
  <si>
    <t>6437-1</t>
  </si>
  <si>
    <t>Lisa DeCherney</t>
  </si>
  <si>
    <t>6437-2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</si>
  <si>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</si>
  <si>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</si>
  <si>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</si>
  <si>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</si>
  <si>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</si>
  <si>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</si>
  <si>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</si>
  <si>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</si>
  <si>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</si>
  <si>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</si>
  <si>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</si>
  <si>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</si>
  <si>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</si>
  <si>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Joni Sundaresam</t>
  </si>
  <si>
    <t>6461-1</t>
  </si>
  <si>
    <t>6463-1</t>
  </si>
  <si>
    <t>Pierre Wener</t>
  </si>
  <si>
    <t>6465-1</t>
  </si>
  <si>
    <t>Rick Wilson</t>
  </si>
  <si>
    <t>6467-1</t>
  </si>
  <si>
    <t>6469-1</t>
  </si>
  <si>
    <t>6471-1</t>
  </si>
  <si>
    <t>6472-1</t>
  </si>
  <si>
    <t>Cassandra Brandow</t>
  </si>
  <si>
    <t>6473-1</t>
  </si>
  <si>
    <t>6475-1</t>
  </si>
  <si>
    <t>6477-1</t>
  </si>
  <si>
    <t>Sheri Gordon</t>
  </si>
  <si>
    <t>6479-1</t>
  </si>
  <si>
    <t>Bill Shonely</t>
  </si>
  <si>
    <t>6480-1</t>
  </si>
  <si>
    <t>Ken Black</t>
  </si>
  <si>
    <t>6482-1</t>
  </si>
  <si>
    <t>6483-1</t>
  </si>
  <si>
    <t>6484-1</t>
  </si>
  <si>
    <t>Luke Foster</t>
  </si>
  <si>
    <t>6485-1</t>
  </si>
  <si>
    <t>6487-1</t>
  </si>
  <si>
    <t>6489-1</t>
  </si>
  <si>
    <t>Ryan Crowe</t>
  </si>
  <si>
    <t>6491-1</t>
  </si>
  <si>
    <t>Alan Barnes</t>
  </si>
  <si>
    <t>99 Glebe Point Rd,Glebe</t>
  </si>
  <si>
    <t>6493-1</t>
  </si>
  <si>
    <t>Jonathan Doherty</t>
  </si>
  <si>
    <t>6495-1</t>
  </si>
  <si>
    <t>6496-1</t>
  </si>
  <si>
    <t>6497-1</t>
  </si>
  <si>
    <t>6498-1</t>
  </si>
  <si>
    <t>Becky Pak</t>
  </si>
  <si>
    <t>6499-1</t>
  </si>
  <si>
    <t>Matt Connell</t>
  </si>
  <si>
    <t>6500-1</t>
  </si>
  <si>
    <t>6502-1</t>
  </si>
  <si>
    <t>Laurel Elliston</t>
  </si>
  <si>
    <t>6503-1</t>
  </si>
  <si>
    <t>6504-1</t>
  </si>
  <si>
    <t>6505-1</t>
  </si>
  <si>
    <t>6506-1</t>
  </si>
  <si>
    <t>6507-1</t>
  </si>
  <si>
    <t>6508-1</t>
  </si>
  <si>
    <t>6509-1</t>
  </si>
  <si>
    <t>6510-1</t>
  </si>
  <si>
    <t>6511-1</t>
  </si>
  <si>
    <t>Jennifer Jackson</t>
  </si>
  <si>
    <t>6512-1</t>
  </si>
  <si>
    <t>6514-1</t>
  </si>
  <si>
    <t>6515-1</t>
  </si>
  <si>
    <t>6515-2</t>
  </si>
  <si>
    <t>6517-1</t>
  </si>
  <si>
    <t>Amy Hunt</t>
  </si>
  <si>
    <t>6521-1</t>
  </si>
  <si>
    <t>6523-1</t>
  </si>
  <si>
    <t>6525-1</t>
  </si>
  <si>
    <t>6526-1</t>
  </si>
  <si>
    <t>6527-1</t>
  </si>
  <si>
    <t>6528-1</t>
  </si>
  <si>
    <t>6529-1</t>
  </si>
  <si>
    <t>6530-1</t>
  </si>
  <si>
    <t>6531-1</t>
  </si>
  <si>
    <t>Theresa Coyne</t>
  </si>
  <si>
    <t>6532-1</t>
  </si>
  <si>
    <t>29 Wellington Street</t>
  </si>
  <si>
    <t>6534-1</t>
  </si>
  <si>
    <t>6535-1</t>
  </si>
  <si>
    <t>Benjamin Farhat</t>
  </si>
  <si>
    <t>6536-1</t>
  </si>
  <si>
    <t>6538-1</t>
  </si>
  <si>
    <t>Lisa Hazard</t>
  </si>
  <si>
    <t>6540-1</t>
  </si>
  <si>
    <t>6541-1</t>
  </si>
  <si>
    <t>6542-1</t>
  </si>
  <si>
    <t>Tracy Zic</t>
  </si>
  <si>
    <t>6543-1</t>
  </si>
  <si>
    <t>6544-1</t>
  </si>
  <si>
    <t>6546-1</t>
  </si>
  <si>
    <t>6548-1</t>
  </si>
  <si>
    <t>6550-1</t>
  </si>
  <si>
    <t>6552-1</t>
  </si>
  <si>
    <t>Stephanie Phelps</t>
  </si>
  <si>
    <t>6553-1</t>
  </si>
  <si>
    <t>6555-1</t>
  </si>
  <si>
    <t>6557-1</t>
  </si>
  <si>
    <t>6558-1</t>
  </si>
  <si>
    <t>Ann Steele</t>
  </si>
  <si>
    <t>6560-1</t>
  </si>
  <si>
    <t>6561-1</t>
  </si>
  <si>
    <t>6562-1</t>
  </si>
  <si>
    <t>Laurel Workman</t>
  </si>
  <si>
    <t>6564-1</t>
  </si>
  <si>
    <t>6565-1</t>
  </si>
  <si>
    <t>6567-1</t>
  </si>
  <si>
    <t>6569-1</t>
  </si>
  <si>
    <t>Ken Heidel</t>
  </si>
  <si>
    <t>6571-1</t>
  </si>
  <si>
    <t>6572-1</t>
  </si>
  <si>
    <t>6574-1</t>
  </si>
  <si>
    <t>6576-1</t>
  </si>
  <si>
    <t>Joy Daniels</t>
  </si>
  <si>
    <t>6577-1</t>
  </si>
  <si>
    <t>6579-1</t>
  </si>
  <si>
    <t>76 Lindsay Street, Perth</t>
  </si>
  <si>
    <t>6581-1</t>
  </si>
  <si>
    <t>Roland Black</t>
  </si>
  <si>
    <t>6582-1</t>
  </si>
  <si>
    <t>6584-1</t>
  </si>
  <si>
    <t>6586-1</t>
  </si>
  <si>
    <t>Theresa Swint</t>
  </si>
  <si>
    <t>Sales Dashboard</t>
  </si>
  <si>
    <t>Number of Orders by State</t>
  </si>
  <si>
    <t>Number of Orders by Customer Type</t>
  </si>
  <si>
    <t>Orders Quantity Over 40</t>
  </si>
  <si>
    <t>Sales by Account Manager</t>
  </si>
  <si>
    <t>Trend</t>
  </si>
  <si>
    <t xml:space="preserve"> </t>
  </si>
  <si>
    <t>Orders by Year and State</t>
  </si>
  <si>
    <t>Sales Total</t>
  </si>
  <si>
    <t>Pension</t>
  </si>
  <si>
    <t>Carol</t>
  </si>
  <si>
    <t>Chung</t>
  </si>
  <si>
    <t>Flanders</t>
  </si>
  <si>
    <t>Barry</t>
  </si>
  <si>
    <t>Ferris</t>
  </si>
  <si>
    <t>Filosa</t>
  </si>
  <si>
    <t>Comuntzis</t>
  </si>
  <si>
    <t>Chu</t>
  </si>
  <si>
    <t>Chaudri</t>
  </si>
  <si>
    <t>Desiato</t>
  </si>
  <si>
    <t>Decker</t>
  </si>
  <si>
    <t>Cole</t>
  </si>
  <si>
    <t>Chaffee</t>
  </si>
  <si>
    <t>Boller</t>
  </si>
  <si>
    <t>Clark</t>
  </si>
  <si>
    <t>Anna</t>
  </si>
  <si>
    <t>Donnell</t>
  </si>
  <si>
    <t>Martinez</t>
  </si>
  <si>
    <t>Carlos</t>
  </si>
  <si>
    <t>Ellis</t>
  </si>
  <si>
    <t>Sanders</t>
  </si>
  <si>
    <t>Wang</t>
  </si>
  <si>
    <t>Total Staff:</t>
  </si>
  <si>
    <t>Longest Service:</t>
  </si>
  <si>
    <t>Most Recent Start Date:</t>
  </si>
  <si>
    <t>Total Staff</t>
  </si>
  <si>
    <t>Male</t>
  </si>
  <si>
    <t>Female</t>
  </si>
  <si>
    <t>Total Salary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</si>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</sst>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dddd"/>
    <numFmt numFmtId="166" formatCode="&quot;$&quot;#,##0.00_);\(&quot;$&quot;#,##0.00\)"/>
  </numFmts>
  <fonts count="18" x14ac:knownFonts="1">
    <font>
      <sz val="9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7"/>
      <color theme="0"/>
      <name val="Calibri Light"/>
      <family val="2"/>
      <scheme val="major"/>
    </font>
    <font>
      <sz val="36"/>
      <color theme="0"/>
      <name val="Calibri Light"/>
      <family val="2"/>
      <scheme val="major"/>
    </font>
    <font>
      <sz val="10"/>
      <color theme="3" tint="0.39997558519241921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0"/>
      <color theme="3" tint="0.39994506668294322"/>
      <name val="Calibri Light"/>
      <family val="1"/>
      <scheme val="major"/>
    </font>
    <font>
      <b/>
      <sz val="11"/>
      <color theme="3" tint="0.39994506668294322"/>
      <name val="Calibri Light"/>
      <family val="1"/>
      <scheme val="maj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 Light"/>
      <family val="1"/>
      <scheme val="major"/>
    </font>
    <font>
      <sz val="10"/>
      <color theme="3"/>
      <name val="Calibri"/>
      <family val="2"/>
      <scheme val="minor"/>
    </font>
    <font>
      <b/>
      <sz val="9"/>
      <color theme="0"/>
      <name val="Calibri Light"/>
      <family val="1"/>
      <scheme val="maj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3" tint="0.59996337778862885"/>
      </left>
      <right/>
      <top style="thin">
        <color theme="3" tint="0.59996337778862885"/>
      </top>
      <bottom/>
      <diagonal/>
    </border>
    <border>
      <left style="thin">
        <color theme="3" tint="0.59996337778862885"/>
      </left>
      <right/>
      <top style="dotted">
        <color theme="3" tint="0.59996337778862885"/>
      </top>
      <bottom/>
      <diagonal/>
    </border>
    <border>
      <left style="thin">
        <color theme="3" tint="0.59996337778862885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/>
      <diagonal/>
    </border>
  </borders>
  <cellStyleXfs count="13">
    <xf numFmtId="0" fontId="0" fillId="0" borderId="0" applyNumberFormat="0" applyFill="0" applyBorder="0" applyProtection="0">
      <alignment vertical="center"/>
    </xf>
    <xf numFmtId="0" fontId="2" fillId="6" borderId="0" applyNumberFormat="0" applyBorder="0" applyProtection="0">
      <alignment horizontal="left" vertical="center" indent="1"/>
    </xf>
    <xf numFmtId="0" fontId="7" fillId="0" borderId="0" applyNumberFormat="0" applyFill="0" applyBorder="0" applyProtection="0">
      <alignment vertical="center"/>
    </xf>
    <xf numFmtId="0" fontId="9" fillId="6" borderId="0" applyNumberFormat="0" applyAlignment="0" applyProtection="0"/>
    <xf numFmtId="0" fontId="5" fillId="0" borderId="0" applyNumberFormat="0" applyFill="0" applyBorder="0" applyProtection="0">
      <alignment horizontal="left" vertical="center"/>
    </xf>
    <xf numFmtId="166" fontId="15" fillId="9" borderId="5" applyProtection="0">
      <alignment vertical="center"/>
    </xf>
    <xf numFmtId="0" fontId="1" fillId="0" borderId="0" applyNumberFormat="0" applyFill="0" applyBorder="0" applyAlignment="0" applyProtection="0"/>
    <xf numFmtId="0" fontId="16" fillId="0" borderId="0"/>
    <xf numFmtId="0" fontId="10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2" borderId="1" applyNumberFormat="0" applyAlignment="0" applyProtection="0"/>
    <xf numFmtId="0" fontId="10" fillId="5" borderId="0" applyNumberFormat="0" applyBorder="0" applyAlignment="0" applyProtection="0"/>
    <xf numFmtId="9" fontId="16" fillId="0" borderId="0" applyFont="0" applyFill="0" applyBorder="0" applyAlignment="0" applyProtection="0"/>
  </cellStyleXfs>
  <cellXfs count="27">
    <xf numFmtId="0" fontId="0" fillId="0" borderId="0" xfId="0">
      <alignment vertical="center"/>
    </xf>
    <xf numFmtId="0" fontId="3" fillId="6" borderId="0" xfId="1" applyFont="1">
      <alignment horizontal="left" vertical="center" indent="1"/>
    </xf>
    <xf numFmtId="0" fontId="2" fillId="6" borderId="0" xfId="1">
      <alignment horizontal="left" vertical="center" indent="1"/>
    </xf>
    <xf numFmtId="0" fontId="3" fillId="6" borderId="0" xfId="1" applyFont="1" applyAlignment="1">
      <alignment horizontal="right" vertical="center" indent="1"/>
    </xf>
    <xf numFmtId="0" fontId="2" fillId="0" borderId="0" xfId="1" applyFill="1">
      <alignment horizontal="left" vertical="center" indent="1"/>
    </xf>
    <xf numFmtId="0" fontId="0" fillId="7" borderId="0" xfId="0" applyFill="1">
      <alignment vertical="center"/>
    </xf>
    <xf numFmtId="0" fontId="4" fillId="0" borderId="0" xfId="0" applyFont="1" applyAlignment="1">
      <alignment horizontal="left" vertical="center"/>
    </xf>
    <xf numFmtId="14" fontId="6" fillId="0" borderId="0" xfId="4" applyNumberFormat="1" applyFont="1">
      <alignment horizontal="left" vertical="center"/>
    </xf>
    <xf numFmtId="164" fontId="6" fillId="0" borderId="0" xfId="4" applyNumberFormat="1" applyFont="1">
      <alignment horizontal="left" vertical="center"/>
    </xf>
    <xf numFmtId="0" fontId="8" fillId="0" borderId="0" xfId="2" applyFont="1">
      <alignment vertical="center"/>
    </xf>
    <xf numFmtId="165" fontId="10" fillId="6" borderId="0" xfId="3" applyNumberFormat="1" applyFont="1" applyAlignment="1">
      <alignment horizontal="center" vertical="center"/>
    </xf>
    <xf numFmtId="0" fontId="8" fillId="0" borderId="0" xfId="2" applyFont="1" applyAlignment="1">
      <alignment horizontal="right" vertical="center"/>
    </xf>
    <xf numFmtId="0" fontId="11" fillId="0" borderId="2" xfId="0" applyFont="1" applyBorder="1" applyAlignment="1">
      <alignment horizontal="left" vertical="center" indent="1"/>
    </xf>
    <xf numFmtId="37" fontId="12" fillId="0" borderId="2" xfId="0" applyNumberFormat="1" applyFont="1" applyBorder="1">
      <alignment vertical="center"/>
    </xf>
    <xf numFmtId="37" fontId="11" fillId="0" borderId="2" xfId="0" applyNumberFormat="1" applyFont="1" applyBorder="1">
      <alignment vertical="center"/>
    </xf>
    <xf numFmtId="39" fontId="11" fillId="8" borderId="2" xfId="0" applyNumberFormat="1" applyFont="1" applyFill="1" applyBorder="1">
      <alignment vertical="center"/>
    </xf>
    <xf numFmtId="0" fontId="11" fillId="0" borderId="3" xfId="0" applyFont="1" applyBorder="1" applyAlignment="1">
      <alignment horizontal="left" vertical="center" indent="1"/>
    </xf>
    <xf numFmtId="166" fontId="11" fillId="0" borderId="3" xfId="0" applyNumberFormat="1" applyFont="1" applyBorder="1" applyAlignment="1"/>
    <xf numFmtId="166" fontId="11" fillId="8" borderId="3" xfId="0" applyNumberFormat="1" applyFont="1" applyFill="1" applyBorder="1">
      <alignment vertical="center"/>
    </xf>
    <xf numFmtId="166" fontId="13" fillId="9" borderId="4" xfId="0" applyNumberFormat="1" applyFont="1" applyFill="1" applyBorder="1" applyAlignment="1">
      <alignment horizontal="left" vertical="center" indent="1"/>
    </xf>
    <xf numFmtId="166" fontId="13" fillId="9" borderId="4" xfId="0" applyNumberFormat="1" applyFont="1" applyFill="1" applyBorder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166" fontId="11" fillId="0" borderId="2" xfId="0" applyNumberFormat="1" applyFont="1" applyBorder="1">
      <alignment vertical="center"/>
    </xf>
    <xf numFmtId="166" fontId="11" fillId="0" borderId="3" xfId="0" applyNumberFormat="1" applyFont="1" applyBorder="1">
      <alignment vertical="center"/>
    </xf>
    <xf numFmtId="166" fontId="13" fillId="9" borderId="6" xfId="5" applyFont="1" applyBorder="1" applyAlignment="1">
      <alignment horizontal="left" vertical="center" indent="1"/>
    </xf>
    <xf numFmtId="166" fontId="13" fillId="9" borderId="6" xfId="5" applyFont="1" applyBorder="1">
      <alignment vertical="center"/>
    </xf>
  </cellXfs>
  <cellStyles count="13">
    <cellStyle name="20% - Accent1 2" xfId="9" xr:uid="{006E5DE6-B57B-4F9E-87F2-E514DE577602}"/>
    <cellStyle name="Accent1 2" xfId="8" xr:uid="{23803505-E159-41B4-920B-FFE9204E57EF}"/>
    <cellStyle name="Accent5 2" xfId="11" xr:uid="{4B97551C-8E2B-4998-BA0C-B97FAE9F62BD}"/>
    <cellStyle name="Heading 2" xfId="2" builtinId="17"/>
    <cellStyle name="Heading 3" xfId="3" builtinId="18"/>
    <cellStyle name="Input Custom" xfId="4" xr:uid="{D32858F1-850A-41C5-933B-07008912A43F}"/>
    <cellStyle name="Normal" xfId="0" builtinId="0"/>
    <cellStyle name="Normal 2" xfId="7" xr:uid="{DB8C31D3-FAE3-4C10-A0B5-8C02400660AB}"/>
    <cellStyle name="Output 2" xfId="10" xr:uid="{FBEAB523-C386-49AA-AF10-51FBF1F330FD}"/>
    <cellStyle name="Percent 2" xfId="12" xr:uid="{F1993849-541B-4581-8E2C-47CF724520DE}"/>
    <cellStyle name="Table Totals" xfId="5" xr:uid="{B4B32EE4-7D86-4A84-883C-D2410D92BDDA}"/>
    <cellStyle name="Title" xfId="1" builtinId="15"/>
    <cellStyle name="Title 2" xfId="6" xr:uid="{F4EAD014-7AB4-417C-8502-F79A953AB7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 (2)'!$B$37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(2)'!$B$38:$B$42</c15:sqref>
                  </c15:fullRef>
                </c:ext>
              </c:extLst>
              <c:f>'Sales Dash (2)'!$B$38:$B$41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A-4C99-87D2-03DE763E8F9E}"/>
            </c:ext>
          </c:extLst>
        </c:ser>
        <c:ser>
          <c:idx val="2"/>
          <c:order val="2"/>
          <c:tx>
            <c:strRef>
              <c:f>'Sales Dash (2)'!$C$37</c:f>
              <c:strCache>
                <c:ptCount val="1"/>
                <c:pt idx="0">
                  <c:v>VIC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(2)'!$C$38:$C$42</c15:sqref>
                  </c15:fullRef>
                </c:ext>
              </c:extLst>
              <c:f>'Sales Dash (2)'!$C$38:$C$41</c:f>
              <c:numCache>
                <c:formatCode>General</c:formatCode>
                <c:ptCount val="4"/>
                <c:pt idx="0">
                  <c:v>66</c:v>
                </c:pt>
                <c:pt idx="1">
                  <c:v>70</c:v>
                </c:pt>
                <c:pt idx="2">
                  <c:v>89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EA-4C99-87D2-03DE763E8F9E}"/>
            </c:ext>
          </c:extLst>
        </c:ser>
        <c:ser>
          <c:idx val="3"/>
          <c:order val="3"/>
          <c:tx>
            <c:strRef>
              <c:f>'Sales Dash (2)'!$D$37</c:f>
              <c:strCache>
                <c:ptCount val="1"/>
                <c:pt idx="0">
                  <c:v>WA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(2)'!$D$38:$D$42</c15:sqref>
                  </c15:fullRef>
                </c:ext>
              </c:extLst>
              <c:f>'Sales Dash (2)'!$D$38:$D$41</c:f>
              <c:numCache>
                <c:formatCode>General</c:formatCode>
                <c:ptCount val="4"/>
                <c:pt idx="0">
                  <c:v>17</c:v>
                </c:pt>
                <c:pt idx="1">
                  <c:v>25</c:v>
                </c:pt>
                <c:pt idx="2">
                  <c:v>27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EA-4C99-87D2-03DE763E8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 (2)'!$A$37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E7EA-4C99-87D2-03DE763E8F9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'Sales Dash (2)'!$E$37</c:f>
              <c:strCache>
                <c:ptCount val="1"/>
                <c:pt idx="0">
                  <c:v>Sales 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(2)'!$E$38:$E$42</c15:sqref>
                  </c15:fullRef>
                </c:ext>
              </c:extLst>
              <c:f>'Sales Dash (2)'!$E$38:$E$41</c:f>
              <c:numCache>
                <c:formatCode>General</c:formatCode>
                <c:ptCount val="4"/>
                <c:pt idx="0">
                  <c:v>171750.79886199994</c:v>
                </c:pt>
                <c:pt idx="1">
                  <c:v>319231.65950000001</c:v>
                </c:pt>
                <c:pt idx="2">
                  <c:v>352762.94619999995</c:v>
                </c:pt>
                <c:pt idx="3">
                  <c:v>272288.69620000001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EA-4C99-87D2-03DE763E8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'Sales Dash (2)'!$B$37</c:f>
              <c:strCache>
                <c:ptCount val="1"/>
                <c:pt idx="0">
                  <c:v>NSW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forward val="1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'Sales Dash (2)'!$A$38:$A$42</c15:sqref>
                  </c15:fullRef>
                </c:ext>
              </c:extLst>
              <c:f>'Sales Dash (2)'!$A$38:$A$41</c:f>
              <c:numCache>
                <c:formatCode>General</c:formatCode>
                <c:ptCount val="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Dash (2)'!$B$38:$B$42</c15:sqref>
                  </c15:fullRef>
                </c:ext>
              </c:extLst>
              <c:f>'Sales Dash (2)'!$B$38:$B$41</c:f>
              <c:numCache>
                <c:formatCode>General</c:formatCode>
                <c:ptCount val="4"/>
                <c:pt idx="0">
                  <c:v>138</c:v>
                </c:pt>
                <c:pt idx="1">
                  <c:v>147</c:v>
                </c:pt>
                <c:pt idx="2">
                  <c:v>162</c:v>
                </c:pt>
                <c:pt idx="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F-415D-BB07-B4C304FB6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00824"/>
        <c:axId val="545112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'Sales Dash (2)'!$A$37</c15:sqref>
                        </c15:formulaRef>
                      </c:ext>
                    </c:extLst>
                    <c:strCache>
                      <c:ptCount val="1"/>
                      <c:pt idx="0">
                        <c:v>Orders by Year and State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23F-415D-BB07-B4C304FB6D7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 (2)'!$C$37</c15:sqref>
                        </c15:formulaRef>
                      </c:ext>
                    </c:extLst>
                    <c:strCache>
                      <c:ptCount val="1"/>
                      <c:pt idx="0">
                        <c:v>VIC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(2)'!$C$38:$C$42</c15:sqref>
                        </c15:fullRef>
                        <c15:formulaRef>
                          <c15:sqref>'Sales Dash (2)'!$C$38:$C$41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66</c:v>
                      </c:pt>
                      <c:pt idx="1">
                        <c:v>70</c:v>
                      </c:pt>
                      <c:pt idx="2">
                        <c:v>89</c:v>
                      </c:pt>
                      <c:pt idx="3">
                        <c:v>59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23F-415D-BB07-B4C304FB6D7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'Sales Dash (2)'!$D$37</c15:sqref>
                        </c15:formulaRef>
                      </c:ext>
                    </c:extLst>
                    <c:strCache>
                      <c:ptCount val="1"/>
                      <c:pt idx="0">
                        <c:v>WA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'Sales Dash (2)'!$D$38:$D$42</c15:sqref>
                        </c15:fullRef>
                        <c15:formulaRef>
                          <c15:sqref>'Sales Dash (2)'!$D$38:$D$41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</c:v>
                      </c:pt>
                      <c:pt idx="1">
                        <c:v>25</c:v>
                      </c:pt>
                      <c:pt idx="2">
                        <c:v>27</c:v>
                      </c:pt>
                      <c:pt idx="3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23F-415D-BB07-B4C304FB6D7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0708824"/>
        <c:axId val="380706856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'Sales Dash (2)'!$E$37</c15:sqref>
                        </c15:formulaRef>
                      </c:ext>
                    </c:extLst>
                    <c:strCache>
                      <c:ptCount val="1"/>
                      <c:pt idx="0">
                        <c:v>Sales Total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'Sales Dash (2)'!$A$38:$A$42</c15:sqref>
                        </c15:fullRef>
                        <c15:formulaRef>
                          <c15:sqref>'Sales Dash (2)'!$A$38:$A$41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'Sales Dash (2)'!$E$38:$E$42</c15:sqref>
                        </c15:fullRef>
                        <c15:formulaRef>
                          <c15:sqref>'Sales Dash (2)'!$E$38:$E$41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171750.79886199994</c:v>
                      </c:pt>
                      <c:pt idx="1">
                        <c:v>319231.65950000001</c:v>
                      </c:pt>
                      <c:pt idx="2">
                        <c:v>352762.94619999995</c:v>
                      </c:pt>
                      <c:pt idx="3">
                        <c:v>272288.69620000001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523F-415D-BB07-B4C304FB6D76}"/>
                  </c:ext>
                </c:extLst>
              </c15:ser>
            </c15:filteredLineSeries>
          </c:ext>
        </c:extLst>
      </c:lineChart>
      <c:catAx>
        <c:axId val="4620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12208"/>
        <c:crosses val="autoZero"/>
        <c:auto val="1"/>
        <c:lblAlgn val="ctr"/>
        <c:lblOffset val="100"/>
        <c:noMultiLvlLbl val="0"/>
      </c:catAx>
      <c:valAx>
        <c:axId val="545112208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00824"/>
        <c:crosses val="autoZero"/>
        <c:crossBetween val="between"/>
      </c:valAx>
      <c:valAx>
        <c:axId val="3807068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08824"/>
        <c:crosses val="max"/>
        <c:crossBetween val="between"/>
      </c:valAx>
      <c:catAx>
        <c:axId val="380708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0706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2720</xdr:rowOff>
    </xdr:from>
    <xdr:to>
      <xdr:col>3</xdr:col>
      <xdr:colOff>827314</xdr:colOff>
      <xdr:row>57</xdr:row>
      <xdr:rowOff>155120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89B062-15AA-450C-9E6F-2759308A7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1034142</xdr:colOff>
      <xdr:row>43</xdr:row>
      <xdr:rowOff>2720</xdr:rowOff>
    </xdr:from>
    <xdr:to>
      <xdr:col>8</xdr:col>
      <xdr:colOff>391885</xdr:colOff>
      <xdr:row>57</xdr:row>
      <xdr:rowOff>155120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1ECD75-6705-4C93-BCF6-CE63D25AA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2cf3b37d42de646/STUDIES/Excel%20Course/Excel%20Skills%20for%20Business-Intermediate%201/Week%201/Week%201/W1_V2%203DFormulas.xlsx" TargetMode="External"/><Relationship Id="rId1" Type="http://schemas.openxmlformats.org/officeDocument/2006/relationships/externalLinkPath" Target="/82cf3b37d42de646/STUDIES/Excel%20Course/Excel%20Skills%20for%20Business-Intermediate%201/Week%201/Week%201/W1_V2%203DFormu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an"/>
      <sheetName val="Uma"/>
      <sheetName val="Carlos"/>
      <sheetName val="HR Q3"/>
    </sheetNames>
    <sheetDataSet>
      <sheetData sheetId="0">
        <row r="4">
          <cell r="C4">
            <v>0.67</v>
          </cell>
        </row>
      </sheetData>
      <sheetData sheetId="1" refreshError="1"/>
      <sheetData sheetId="2" refreshError="1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5F96-B2C9-4EBB-9353-7F5C8E3A67E3}">
  <sheetPr>
    <tabColor theme="4"/>
    <pageSetUpPr autoPageBreaks="0" fitToPage="1"/>
  </sheetPr>
  <dimension ref="A1:F32"/>
  <sheetViews>
    <sheetView showGridLines="0" zoomScaleNormal="100" workbookViewId="0">
      <selection activeCell="C7" sqref="C7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4" customFormat="1" ht="54.45" customHeight="1" x14ac:dyDescent="0.25">
      <c r="A1" s="1" t="s">
        <v>31</v>
      </c>
      <c r="B1" s="2"/>
      <c r="C1" s="2"/>
      <c r="D1" s="2"/>
      <c r="E1" s="2"/>
      <c r="F1" s="3" t="s">
        <v>1</v>
      </c>
    </row>
    <row r="2" spans="1:6" s="5" customFormat="1" ht="12" x14ac:dyDescent="0.25"/>
    <row r="3" spans="1:6" ht="16.5" customHeight="1" x14ac:dyDescent="0.25">
      <c r="B3" s="6" t="s">
        <v>32</v>
      </c>
      <c r="C3" s="7" t="s">
        <v>33</v>
      </c>
    </row>
    <row r="4" spans="1:6" ht="16.5" customHeight="1" x14ac:dyDescent="0.25">
      <c r="B4" s="6" t="s">
        <v>4</v>
      </c>
      <c r="C4" s="8">
        <v>0.67</v>
      </c>
    </row>
    <row r="6" spans="1:6" ht="16.5" customHeight="1" x14ac:dyDescent="0.25">
      <c r="B6" s="9" t="s">
        <v>5</v>
      </c>
      <c r="C6" s="10" t="s">
        <v>6</v>
      </c>
      <c r="D6" s="10" t="s">
        <v>7</v>
      </c>
      <c r="E6" s="10" t="s">
        <v>8</v>
      </c>
      <c r="F6" s="11" t="s">
        <v>9</v>
      </c>
    </row>
    <row r="7" spans="1:6" ht="16.5" customHeight="1" x14ac:dyDescent="0.25">
      <c r="B7" s="12" t="s">
        <v>10</v>
      </c>
      <c r="C7" s="13"/>
      <c r="D7" s="13"/>
      <c r="E7" s="13"/>
      <c r="F7" s="15">
        <f t="shared" ref="F7:F13" si="0">SUM(C7:E7)</f>
        <v>0</v>
      </c>
    </row>
    <row r="8" spans="1:6" ht="16.5" customHeight="1" x14ac:dyDescent="0.25">
      <c r="B8" s="16" t="s">
        <v>11</v>
      </c>
      <c r="C8" s="13"/>
      <c r="D8" s="13"/>
      <c r="E8" s="13"/>
      <c r="F8" s="18">
        <f t="shared" si="0"/>
        <v>0</v>
      </c>
    </row>
    <row r="9" spans="1:6" ht="16.5" customHeight="1" x14ac:dyDescent="0.25">
      <c r="B9" s="16" t="s">
        <v>12</v>
      </c>
      <c r="C9" s="13"/>
      <c r="D9" s="13"/>
      <c r="E9" s="13"/>
      <c r="F9" s="18">
        <f t="shared" si="0"/>
        <v>0</v>
      </c>
    </row>
    <row r="10" spans="1:6" ht="16.5" customHeight="1" x14ac:dyDescent="0.25">
      <c r="B10" s="16" t="s">
        <v>13</v>
      </c>
      <c r="C10" s="13"/>
      <c r="D10" s="13"/>
      <c r="E10" s="13"/>
      <c r="F10" s="18">
        <f t="shared" si="0"/>
        <v>0</v>
      </c>
    </row>
    <row r="11" spans="1:6" ht="16.5" customHeight="1" x14ac:dyDescent="0.25">
      <c r="B11" s="16" t="s">
        <v>14</v>
      </c>
      <c r="C11" s="13"/>
      <c r="D11" s="13"/>
      <c r="E11" s="13"/>
      <c r="F11" s="18">
        <f t="shared" si="0"/>
        <v>0</v>
      </c>
    </row>
    <row r="12" spans="1:6" ht="16.5" customHeight="1" x14ac:dyDescent="0.25">
      <c r="B12" s="16" t="s">
        <v>15</v>
      </c>
      <c r="C12" s="13"/>
      <c r="D12" s="13"/>
      <c r="E12" s="13"/>
      <c r="F12" s="18">
        <f t="shared" si="0"/>
        <v>0</v>
      </c>
    </row>
    <row r="13" spans="1:6" ht="16.5" customHeight="1" x14ac:dyDescent="0.25">
      <c r="B13" s="16" t="s">
        <v>16</v>
      </c>
      <c r="C13" s="13"/>
      <c r="D13" s="13"/>
      <c r="E13" s="13"/>
      <c r="F13" s="18">
        <f t="shared" si="0"/>
        <v>0</v>
      </c>
    </row>
    <row r="14" spans="1:6" ht="16.5" customHeight="1" x14ac:dyDescent="0.25">
      <c r="B14" s="19" t="s">
        <v>9</v>
      </c>
      <c r="C14" s="20">
        <f>SUM(C8:C13)</f>
        <v>0</v>
      </c>
      <c r="D14" s="20">
        <f t="shared" ref="D14:F14" si="1">SUM(D8:D13)</f>
        <v>0</v>
      </c>
      <c r="E14" s="20">
        <f t="shared" si="1"/>
        <v>0</v>
      </c>
      <c r="F14" s="20">
        <f t="shared" si="1"/>
        <v>0</v>
      </c>
    </row>
    <row r="15" spans="1:6" ht="16.5" customHeight="1" x14ac:dyDescent="0.25">
      <c r="B15" s="21"/>
      <c r="C15" s="21"/>
      <c r="D15" s="21"/>
      <c r="E15" s="21"/>
      <c r="F15" s="21"/>
    </row>
    <row r="16" spans="1:6" ht="16.5" customHeight="1" x14ac:dyDescent="0.25">
      <c r="B16" s="9" t="s">
        <v>17</v>
      </c>
      <c r="C16" s="22"/>
      <c r="D16" s="22"/>
      <c r="E16" s="22"/>
      <c r="F16" s="22"/>
    </row>
    <row r="17" spans="2:6" ht="16.5" customHeight="1" x14ac:dyDescent="0.25">
      <c r="B17" s="12" t="s">
        <v>18</v>
      </c>
      <c r="C17" s="23"/>
      <c r="D17" s="23"/>
      <c r="E17" s="23"/>
      <c r="F17" s="18">
        <f t="shared" ref="F17:F20" si="2">SUM(C17:E17)</f>
        <v>0</v>
      </c>
    </row>
    <row r="18" spans="2:6" ht="16.5" customHeight="1" x14ac:dyDescent="0.25">
      <c r="B18" s="16" t="s">
        <v>19</v>
      </c>
      <c r="C18" s="23"/>
      <c r="D18" s="23"/>
      <c r="E18" s="23"/>
      <c r="F18" s="18">
        <f t="shared" si="2"/>
        <v>0</v>
      </c>
    </row>
    <row r="19" spans="2:6" ht="16.5" customHeight="1" x14ac:dyDescent="0.25">
      <c r="B19" s="16" t="s">
        <v>20</v>
      </c>
      <c r="C19" s="23"/>
      <c r="D19" s="23"/>
      <c r="E19" s="23"/>
      <c r="F19" s="18">
        <f t="shared" si="2"/>
        <v>0</v>
      </c>
    </row>
    <row r="20" spans="2:6" ht="16.5" customHeight="1" x14ac:dyDescent="0.25">
      <c r="B20" s="16" t="s">
        <v>21</v>
      </c>
      <c r="C20" s="23"/>
      <c r="D20" s="23"/>
      <c r="E20" s="23"/>
      <c r="F20" s="18">
        <f t="shared" si="2"/>
        <v>0</v>
      </c>
    </row>
    <row r="21" spans="2:6" ht="16.5" customHeight="1" x14ac:dyDescent="0.25">
      <c r="B21" s="19" t="s">
        <v>9</v>
      </c>
      <c r="C21" s="20">
        <f>SUM(C17:C20)</f>
        <v>0</v>
      </c>
      <c r="D21" s="20">
        <f>SUM(D17:D20)</f>
        <v>0</v>
      </c>
      <c r="E21" s="20">
        <f>SUM(E17:E20)</f>
        <v>0</v>
      </c>
      <c r="F21" s="20">
        <f>SUM(F17:F20)</f>
        <v>0</v>
      </c>
    </row>
    <row r="22" spans="2:6" ht="16.5" customHeight="1" x14ac:dyDescent="0.25">
      <c r="B22" s="21"/>
      <c r="C22" s="21"/>
      <c r="D22" s="21"/>
      <c r="E22" s="21"/>
      <c r="F22" s="21"/>
    </row>
    <row r="23" spans="2:6" ht="16.5" customHeight="1" x14ac:dyDescent="0.25">
      <c r="B23" s="9" t="s">
        <v>22</v>
      </c>
      <c r="C23" s="22"/>
      <c r="D23" s="22"/>
      <c r="E23" s="22"/>
      <c r="F23" s="22"/>
    </row>
    <row r="24" spans="2:6" ht="16.5" customHeight="1" x14ac:dyDescent="0.25">
      <c r="B24" s="12" t="s">
        <v>23</v>
      </c>
      <c r="C24" s="23"/>
      <c r="D24" s="23"/>
      <c r="E24" s="23"/>
      <c r="F24" s="18">
        <f t="shared" ref="F24:F27" si="3">SUM(C24:E24)</f>
        <v>0</v>
      </c>
    </row>
    <row r="25" spans="2:6" ht="16.5" customHeight="1" x14ac:dyDescent="0.25">
      <c r="B25" s="16" t="s">
        <v>24</v>
      </c>
      <c r="C25" s="23"/>
      <c r="D25" s="23"/>
      <c r="E25" s="23"/>
      <c r="F25" s="18">
        <f t="shared" si="3"/>
        <v>0</v>
      </c>
    </row>
    <row r="26" spans="2:6" ht="16.5" customHeight="1" x14ac:dyDescent="0.25">
      <c r="B26" s="16" t="s">
        <v>25</v>
      </c>
      <c r="C26" s="23"/>
      <c r="D26" s="23"/>
      <c r="E26" s="23"/>
      <c r="F26" s="18">
        <f t="shared" si="3"/>
        <v>0</v>
      </c>
    </row>
    <row r="27" spans="2:6" ht="16.5" customHeight="1" x14ac:dyDescent="0.25">
      <c r="B27" s="16" t="s">
        <v>27</v>
      </c>
      <c r="C27" s="23"/>
      <c r="D27" s="23"/>
      <c r="E27" s="23"/>
      <c r="F27" s="18">
        <f t="shared" si="3"/>
        <v>0</v>
      </c>
    </row>
    <row r="28" spans="2:6" ht="16.5" customHeight="1" x14ac:dyDescent="0.25">
      <c r="B28" s="19" t="s">
        <v>9</v>
      </c>
      <c r="C28" s="20">
        <f>SUM(C24:C27)</f>
        <v>0</v>
      </c>
      <c r="D28" s="20">
        <f>SUM(D24:D27)</f>
        <v>0</v>
      </c>
      <c r="E28" s="20">
        <f>SUM(E24:E27)</f>
        <v>0</v>
      </c>
      <c r="F28" s="20">
        <f>SUM(F24:F27)</f>
        <v>0</v>
      </c>
    </row>
    <row r="29" spans="2:6" ht="19.5" customHeight="1" x14ac:dyDescent="0.25">
      <c r="B29" s="21"/>
      <c r="C29" s="21"/>
      <c r="D29" s="21"/>
      <c r="E29" s="21"/>
      <c r="F29" s="21"/>
    </row>
    <row r="30" spans="2:6" ht="19.5" customHeight="1" x14ac:dyDescent="0.25">
      <c r="B30" s="25" t="s">
        <v>28</v>
      </c>
      <c r="C30" s="26">
        <f>SUM(C14,C21,C28)</f>
        <v>0</v>
      </c>
      <c r="D30" s="26">
        <f>SUM(D14,D21,D28)</f>
        <v>0</v>
      </c>
      <c r="E30" s="26">
        <f>SUM(E14,E21,E28)</f>
        <v>0</v>
      </c>
      <c r="F30" s="26">
        <f>SUM(F14,F21,F28)</f>
        <v>0</v>
      </c>
    </row>
    <row r="31" spans="2:6" ht="19.5" customHeight="1" x14ac:dyDescent="0.25">
      <c r="B31" s="22"/>
      <c r="C31" s="22"/>
      <c r="D31" s="22"/>
      <c r="E31" s="22"/>
      <c r="F31" s="22"/>
    </row>
    <row r="32" spans="2:6" ht="16.5" customHeight="1" x14ac:dyDescent="0.25">
      <c r="B32" s="22"/>
      <c r="C32" s="22"/>
      <c r="D32" s="22"/>
      <c r="E32" s="22"/>
      <c r="F32" s="2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0C4F-F4B8-420A-8BB3-000E1A9A9C41}">
  <sheetPr>
    <pageSetUpPr autoPageBreaks="0" fitToPage="1"/>
  </sheetPr>
  <dimension ref="A1:F33"/>
  <sheetViews>
    <sheetView showGridLines="0" zoomScaleNormal="100" workbookViewId="0">
      <selection activeCell="N24" sqref="N24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s="4" customFormat="1" ht="54.45" customHeight="1" x14ac:dyDescent="0.25">
      <c r="A1" s="1" t="s">
        <v>0</v>
      </c>
      <c r="B1" s="2"/>
      <c r="C1" s="2"/>
      <c r="D1" s="2"/>
      <c r="E1" s="2"/>
      <c r="F1" s="3" t="s">
        <v>1</v>
      </c>
    </row>
    <row r="2" spans="1:6" s="5" customFormat="1" ht="12" x14ac:dyDescent="0.25"/>
    <row r="3" spans="1:6" ht="16.5" customHeight="1" x14ac:dyDescent="0.25">
      <c r="B3" s="6" t="s">
        <v>2</v>
      </c>
      <c r="C3" s="7" t="s">
        <v>29</v>
      </c>
    </row>
    <row r="4" spans="1:6" ht="16.5" customHeight="1" x14ac:dyDescent="0.25">
      <c r="B4" s="6" t="s">
        <v>4</v>
      </c>
      <c r="C4" s="8">
        <v>0.67</v>
      </c>
    </row>
    <row r="6" spans="1:6" ht="16.5" customHeight="1" x14ac:dyDescent="0.25">
      <c r="B6" s="9" t="s">
        <v>5</v>
      </c>
      <c r="C6" s="10" t="s">
        <v>6</v>
      </c>
      <c r="D6" s="10" t="s">
        <v>7</v>
      </c>
      <c r="E6" s="10" t="s">
        <v>8</v>
      </c>
      <c r="F6" s="11" t="s">
        <v>9</v>
      </c>
    </row>
    <row r="7" spans="1:6" ht="16.5" customHeight="1" x14ac:dyDescent="0.25">
      <c r="B7" s="12" t="s">
        <v>10</v>
      </c>
      <c r="C7" s="13"/>
      <c r="D7" s="14"/>
      <c r="E7" s="14"/>
      <c r="F7" s="15">
        <f t="shared" ref="F7:F13" si="0">SUM(C7:E7)</f>
        <v>0</v>
      </c>
    </row>
    <row r="8" spans="1:6" ht="16.5" customHeight="1" x14ac:dyDescent="0.3">
      <c r="B8" s="16" t="s">
        <v>11</v>
      </c>
      <c r="C8" s="17"/>
      <c r="D8" s="17"/>
      <c r="E8" s="17"/>
      <c r="F8" s="18">
        <f t="shared" si="0"/>
        <v>0</v>
      </c>
    </row>
    <row r="9" spans="1:6" ht="16.5" customHeight="1" x14ac:dyDescent="0.3">
      <c r="B9" s="16" t="s">
        <v>12</v>
      </c>
      <c r="C9" s="17"/>
      <c r="D9" s="17"/>
      <c r="E9" s="17"/>
      <c r="F9" s="18">
        <f t="shared" si="0"/>
        <v>0</v>
      </c>
    </row>
    <row r="10" spans="1:6" ht="16.5" customHeight="1" x14ac:dyDescent="0.3">
      <c r="B10" s="16" t="s">
        <v>13</v>
      </c>
      <c r="C10" s="17"/>
      <c r="D10" s="17"/>
      <c r="E10" s="17"/>
      <c r="F10" s="18">
        <f t="shared" si="0"/>
        <v>0</v>
      </c>
    </row>
    <row r="11" spans="1:6" ht="16.5" customHeight="1" x14ac:dyDescent="0.3">
      <c r="B11" s="16" t="s">
        <v>14</v>
      </c>
      <c r="C11" s="17"/>
      <c r="D11" s="17"/>
      <c r="E11" s="17"/>
      <c r="F11" s="18">
        <f t="shared" si="0"/>
        <v>0</v>
      </c>
    </row>
    <row r="12" spans="1:6" ht="16.5" customHeight="1" x14ac:dyDescent="0.3">
      <c r="B12" s="16" t="s">
        <v>15</v>
      </c>
      <c r="C12" s="17">
        <v>125</v>
      </c>
      <c r="D12" s="17">
        <v>125</v>
      </c>
      <c r="E12" s="17">
        <v>125</v>
      </c>
      <c r="F12" s="18">
        <f t="shared" si="0"/>
        <v>375</v>
      </c>
    </row>
    <row r="13" spans="1:6" ht="16.5" customHeight="1" x14ac:dyDescent="0.3">
      <c r="B13" s="16" t="s">
        <v>16</v>
      </c>
      <c r="C13" s="17"/>
      <c r="D13" s="17"/>
      <c r="E13" s="17"/>
      <c r="F13" s="18">
        <f t="shared" si="0"/>
        <v>0</v>
      </c>
    </row>
    <row r="14" spans="1:6" ht="16.5" customHeight="1" x14ac:dyDescent="0.25">
      <c r="B14" s="19" t="s">
        <v>9</v>
      </c>
      <c r="C14" s="20">
        <f>SUM(C8:C13)</f>
        <v>125</v>
      </c>
      <c r="D14" s="20">
        <f t="shared" ref="D14:F14" si="1">SUM(D8:D13)</f>
        <v>125</v>
      </c>
      <c r="E14" s="20">
        <f t="shared" si="1"/>
        <v>125</v>
      </c>
      <c r="F14" s="20">
        <f t="shared" si="1"/>
        <v>375</v>
      </c>
    </row>
    <row r="15" spans="1:6" ht="16.5" customHeight="1" x14ac:dyDescent="0.25">
      <c r="B15" s="21"/>
      <c r="C15" s="21"/>
      <c r="D15" s="21"/>
      <c r="E15" s="21"/>
      <c r="F15" s="21"/>
    </row>
    <row r="16" spans="1:6" ht="16.5" customHeight="1" x14ac:dyDescent="0.25">
      <c r="B16" s="9" t="s">
        <v>17</v>
      </c>
      <c r="C16" s="22"/>
      <c r="D16" s="22"/>
      <c r="E16" s="22"/>
      <c r="F16" s="22"/>
    </row>
    <row r="17" spans="2:6" ht="16.5" customHeight="1" x14ac:dyDescent="0.25">
      <c r="B17" s="12" t="s">
        <v>18</v>
      </c>
      <c r="C17" s="23"/>
      <c r="D17" s="23"/>
      <c r="E17" s="23"/>
      <c r="F17" s="18">
        <f t="shared" ref="F17:F20" si="2">SUM(D17:E17)</f>
        <v>0</v>
      </c>
    </row>
    <row r="18" spans="2:6" ht="16.5" customHeight="1" x14ac:dyDescent="0.25">
      <c r="B18" s="16" t="s">
        <v>19</v>
      </c>
      <c r="C18" s="24"/>
      <c r="D18" s="24"/>
      <c r="E18" s="24"/>
      <c r="F18" s="18">
        <f t="shared" si="2"/>
        <v>0</v>
      </c>
    </row>
    <row r="19" spans="2:6" ht="16.5" customHeight="1" x14ac:dyDescent="0.25">
      <c r="B19" s="16" t="s">
        <v>20</v>
      </c>
      <c r="C19" s="24"/>
      <c r="D19" s="24"/>
      <c r="E19" s="24">
        <v>248.95</v>
      </c>
      <c r="F19" s="18">
        <f t="shared" si="2"/>
        <v>248.95</v>
      </c>
    </row>
    <row r="20" spans="2:6" ht="16.5" customHeight="1" x14ac:dyDescent="0.25">
      <c r="B20" s="16" t="s">
        <v>21</v>
      </c>
      <c r="C20" s="24"/>
      <c r="D20" s="24"/>
      <c r="E20" s="24"/>
      <c r="F20" s="18">
        <f t="shared" si="2"/>
        <v>0</v>
      </c>
    </row>
    <row r="21" spans="2:6" ht="16.5" customHeight="1" x14ac:dyDescent="0.25">
      <c r="B21" s="19" t="s">
        <v>9</v>
      </c>
      <c r="C21" s="20">
        <f>SUM(C17:C20)</f>
        <v>0</v>
      </c>
      <c r="D21" s="20">
        <f t="shared" ref="D21:F21" si="3">SUM(D17:D20)</f>
        <v>0</v>
      </c>
      <c r="E21" s="20">
        <f t="shared" si="3"/>
        <v>248.95</v>
      </c>
      <c r="F21" s="20">
        <f t="shared" si="3"/>
        <v>248.95</v>
      </c>
    </row>
    <row r="22" spans="2:6" ht="16.5" customHeight="1" x14ac:dyDescent="0.25">
      <c r="B22" s="21"/>
      <c r="C22" s="21"/>
      <c r="D22" s="21"/>
      <c r="E22" s="21"/>
      <c r="F22" s="21"/>
    </row>
    <row r="23" spans="2:6" ht="16.5" customHeight="1" x14ac:dyDescent="0.25">
      <c r="B23" s="9" t="s">
        <v>22</v>
      </c>
      <c r="C23" s="22"/>
      <c r="D23" s="22"/>
      <c r="E23" s="22"/>
      <c r="F23" s="22"/>
    </row>
    <row r="24" spans="2:6" ht="16.5" customHeight="1" x14ac:dyDescent="0.25">
      <c r="B24" s="12" t="s">
        <v>23</v>
      </c>
      <c r="C24" s="23"/>
      <c r="D24" s="23"/>
      <c r="E24" s="23">
        <v>86.64</v>
      </c>
      <c r="F24" s="18">
        <f>SUM(C24:E24)</f>
        <v>86.64</v>
      </c>
    </row>
    <row r="25" spans="2:6" ht="16.5" customHeight="1" x14ac:dyDescent="0.25">
      <c r="B25" s="16" t="s">
        <v>24</v>
      </c>
      <c r="C25" s="24"/>
      <c r="D25" s="24">
        <v>52.33</v>
      </c>
      <c r="E25" s="24">
        <v>112.77</v>
      </c>
      <c r="F25" s="18">
        <f t="shared" ref="F25:F28" si="4">SUM(C25:E25)</f>
        <v>165.1</v>
      </c>
    </row>
    <row r="26" spans="2:6" ht="16.5" customHeight="1" x14ac:dyDescent="0.25">
      <c r="B26" s="16" t="s">
        <v>25</v>
      </c>
      <c r="C26" s="24">
        <v>75.900000000000006</v>
      </c>
      <c r="D26" s="24">
        <v>75.900000000000006</v>
      </c>
      <c r="E26" s="24">
        <v>75.900000000000006</v>
      </c>
      <c r="F26" s="18">
        <f t="shared" si="4"/>
        <v>227.70000000000002</v>
      </c>
    </row>
    <row r="27" spans="2:6" ht="16.5" customHeight="1" x14ac:dyDescent="0.25">
      <c r="B27" s="16" t="s">
        <v>26</v>
      </c>
      <c r="C27" s="24"/>
      <c r="D27" s="24"/>
      <c r="E27" s="24"/>
      <c r="F27" s="18">
        <f t="shared" si="4"/>
        <v>0</v>
      </c>
    </row>
    <row r="28" spans="2:6" ht="16.5" customHeight="1" x14ac:dyDescent="0.25">
      <c r="B28" s="16" t="s">
        <v>27</v>
      </c>
      <c r="C28" s="24"/>
      <c r="D28" s="24"/>
      <c r="E28" s="24"/>
      <c r="F28" s="18">
        <f t="shared" si="4"/>
        <v>0</v>
      </c>
    </row>
    <row r="29" spans="2:6" ht="16.5" customHeight="1" x14ac:dyDescent="0.25">
      <c r="B29" s="19" t="s">
        <v>9</v>
      </c>
      <c r="C29" s="20">
        <f>SUM(C24:C28)</f>
        <v>75.900000000000006</v>
      </c>
      <c r="D29" s="20">
        <f>SUM(D24:D28)</f>
        <v>128.23000000000002</v>
      </c>
      <c r="E29" s="20">
        <f>SUM(E24:E28)</f>
        <v>275.31</v>
      </c>
      <c r="F29" s="20">
        <f>SUM(F24:F28)</f>
        <v>479.44000000000005</v>
      </c>
    </row>
    <row r="30" spans="2:6" ht="19.5" customHeight="1" x14ac:dyDescent="0.25">
      <c r="B30" s="21"/>
      <c r="C30" s="21"/>
      <c r="D30" s="21"/>
      <c r="E30" s="21"/>
      <c r="F30" s="21"/>
    </row>
    <row r="31" spans="2:6" ht="19.5" customHeight="1" x14ac:dyDescent="0.25">
      <c r="B31" s="25" t="s">
        <v>28</v>
      </c>
      <c r="C31" s="26">
        <f>SUM(C14,C21,C29)</f>
        <v>200.9</v>
      </c>
      <c r="D31" s="26">
        <f>SUM(D14,D21,D29)</f>
        <v>253.23000000000002</v>
      </c>
      <c r="E31" s="26">
        <f>SUM(E14,E21,E29)</f>
        <v>649.26</v>
      </c>
      <c r="F31" s="26">
        <f>SUM(F14,F21,F29)</f>
        <v>1103.3900000000001</v>
      </c>
    </row>
    <row r="32" spans="2:6" ht="19.5" customHeight="1" x14ac:dyDescent="0.25">
      <c r="B32" s="22"/>
      <c r="C32" s="22"/>
      <c r="D32" s="22"/>
      <c r="E32" s="22"/>
      <c r="F32" s="22"/>
    </row>
    <row r="33" spans="2:6" ht="16.5" customHeight="1" x14ac:dyDescent="0.25">
      <c r="B33" s="22"/>
      <c r="C33" s="22"/>
      <c r="D33" s="22"/>
      <c r="E33" s="22"/>
      <c r="F33" s="22"/>
    </row>
  </sheetData>
  <printOptions horizontalCentered="1"/>
  <pageMargins left="0.7" right="0.7" top="0.75" bottom="0.75" header="0.3" footer="0.3"/>
  <pageSetup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F98C-6AD1-474D-9A9F-31F9C40AE7E7}">
  <sheetPr>
    <pageSetUpPr autoPageBreaks="0" fitToPage="1"/>
  </sheetPr>
  <dimension ref="A1:F32"/>
  <sheetViews>
    <sheetView showGridLines="0" zoomScaleNormal="100" workbookViewId="0">
      <selection activeCell="B24" sqref="A1:XFD1048576"/>
    </sheetView>
  </sheetViews>
  <sheetFormatPr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ht="54.45" customHeight="1" x14ac:dyDescent="0.25">
      <c r="A1" t="s">
        <v>0</v>
      </c>
      <c r="F1" t="s">
        <v>1</v>
      </c>
    </row>
    <row r="2" spans="1:6" ht="12" x14ac:dyDescent="0.25"/>
    <row r="3" spans="1:6" ht="16.5" customHeight="1" x14ac:dyDescent="0.25">
      <c r="B3" t="s">
        <v>2</v>
      </c>
      <c r="C3" t="s">
        <v>3</v>
      </c>
    </row>
    <row r="4" spans="1:6" ht="16.5" customHeight="1" x14ac:dyDescent="0.25">
      <c r="B4" t="s">
        <v>4</v>
      </c>
      <c r="C4">
        <v>0.67</v>
      </c>
    </row>
    <row r="6" spans="1:6" ht="16.5" customHeight="1" x14ac:dyDescent="0.25">
      <c r="B6" t="s">
        <v>5</v>
      </c>
      <c r="C6" t="s">
        <v>6</v>
      </c>
      <c r="D6" t="s">
        <v>7</v>
      </c>
      <c r="E6" t="s">
        <v>8</v>
      </c>
      <c r="F6" t="s">
        <v>9</v>
      </c>
    </row>
    <row r="7" spans="1:6" ht="16.5" customHeight="1" x14ac:dyDescent="0.25">
      <c r="B7" t="s">
        <v>10</v>
      </c>
      <c r="C7">
        <f>22*10</f>
        <v>220</v>
      </c>
      <c r="D7">
        <f>22*8</f>
        <v>176</v>
      </c>
      <c r="E7">
        <f>22*10</f>
        <v>220</v>
      </c>
      <c r="F7">
        <f t="shared" ref="F7:F13" si="0">SUM(C7:E7)</f>
        <v>616</v>
      </c>
    </row>
    <row r="8" spans="1:6" ht="16.5" customHeight="1" x14ac:dyDescent="0.25">
      <c r="B8" t="s">
        <v>11</v>
      </c>
      <c r="C8">
        <f t="shared" ref="C8:E8" si="1">C7*MileageRate</f>
        <v>147.4</v>
      </c>
      <c r="D8">
        <f t="shared" si="1"/>
        <v>117.92</v>
      </c>
      <c r="E8">
        <f t="shared" si="1"/>
        <v>147.4</v>
      </c>
      <c r="F8">
        <f t="shared" si="0"/>
        <v>412.72</v>
      </c>
    </row>
    <row r="9" spans="1:6" ht="16.5" customHeight="1" x14ac:dyDescent="0.25">
      <c r="B9" t="s">
        <v>12</v>
      </c>
      <c r="C9">
        <v>33</v>
      </c>
      <c r="D9">
        <v>26.4</v>
      </c>
      <c r="E9">
        <v>33</v>
      </c>
      <c r="F9">
        <f t="shared" si="0"/>
        <v>92.4</v>
      </c>
    </row>
    <row r="10" spans="1:6" ht="16.5" customHeight="1" x14ac:dyDescent="0.25">
      <c r="B10" t="s">
        <v>13</v>
      </c>
      <c r="F10">
        <f t="shared" si="0"/>
        <v>0</v>
      </c>
    </row>
    <row r="11" spans="1:6" ht="16.5" customHeight="1" x14ac:dyDescent="0.25">
      <c r="B11" t="s">
        <v>14</v>
      </c>
      <c r="D11">
        <v>78</v>
      </c>
      <c r="F11">
        <f t="shared" si="0"/>
        <v>78</v>
      </c>
    </row>
    <row r="12" spans="1:6" ht="16.5" customHeight="1" x14ac:dyDescent="0.25">
      <c r="B12" t="s">
        <v>15</v>
      </c>
      <c r="F12">
        <f t="shared" si="0"/>
        <v>0</v>
      </c>
    </row>
    <row r="13" spans="1:6" ht="16.5" customHeight="1" x14ac:dyDescent="0.25">
      <c r="B13" t="s">
        <v>16</v>
      </c>
      <c r="D13">
        <v>560</v>
      </c>
      <c r="F13">
        <f t="shared" si="0"/>
        <v>560</v>
      </c>
    </row>
    <row r="14" spans="1:6" ht="16.5" customHeight="1" x14ac:dyDescent="0.25">
      <c r="B14" t="s">
        <v>9</v>
      </c>
      <c r="C14">
        <f>SUM(C8:C13)</f>
        <v>180.4</v>
      </c>
      <c r="D14">
        <f t="shared" ref="D14:F14" si="2">SUM(D8:D13)</f>
        <v>782.31999999999994</v>
      </c>
      <c r="E14">
        <f t="shared" si="2"/>
        <v>180.4</v>
      </c>
      <c r="F14">
        <f t="shared" si="2"/>
        <v>1143.1199999999999</v>
      </c>
    </row>
    <row r="16" spans="1:6" ht="16.5" customHeight="1" x14ac:dyDescent="0.25">
      <c r="B16" t="s">
        <v>17</v>
      </c>
    </row>
    <row r="17" spans="2:6" ht="16.5" customHeight="1" x14ac:dyDescent="0.25">
      <c r="B17" t="s">
        <v>18</v>
      </c>
      <c r="D17">
        <v>695</v>
      </c>
      <c r="F17">
        <f t="shared" ref="F17:F20" si="3">SUM(D17:E17)</f>
        <v>695</v>
      </c>
    </row>
    <row r="18" spans="2:6" ht="16.5" customHeight="1" x14ac:dyDescent="0.25">
      <c r="B18" t="s">
        <v>19</v>
      </c>
      <c r="F18">
        <f t="shared" si="3"/>
        <v>0</v>
      </c>
    </row>
    <row r="19" spans="2:6" ht="16.5" customHeight="1" x14ac:dyDescent="0.25">
      <c r="B19" t="s">
        <v>20</v>
      </c>
      <c r="D19">
        <v>68.67</v>
      </c>
      <c r="F19">
        <f t="shared" si="3"/>
        <v>68.67</v>
      </c>
    </row>
    <row r="20" spans="2:6" ht="16.5" customHeight="1" x14ac:dyDescent="0.25">
      <c r="B20" t="s">
        <v>21</v>
      </c>
      <c r="D20">
        <v>145.80000000000001</v>
      </c>
      <c r="F20">
        <f t="shared" si="3"/>
        <v>145.80000000000001</v>
      </c>
    </row>
    <row r="21" spans="2:6" ht="16.5" customHeight="1" x14ac:dyDescent="0.25">
      <c r="B21" t="s">
        <v>9</v>
      </c>
      <c r="C21">
        <f>SUM(C17:C20)</f>
        <v>0</v>
      </c>
      <c r="D21">
        <f t="shared" ref="D21:F21" si="4">SUM(D17:D20)</f>
        <v>909.47</v>
      </c>
      <c r="E21">
        <f t="shared" si="4"/>
        <v>0</v>
      </c>
      <c r="F21">
        <f t="shared" si="4"/>
        <v>909.47</v>
      </c>
    </row>
    <row r="23" spans="2:6" ht="16.5" customHeight="1" x14ac:dyDescent="0.25">
      <c r="B23" t="s">
        <v>22</v>
      </c>
    </row>
    <row r="24" spans="2:6" ht="16.5" customHeight="1" x14ac:dyDescent="0.25">
      <c r="B24" t="s">
        <v>23</v>
      </c>
      <c r="C24">
        <v>158.96</v>
      </c>
      <c r="F24">
        <f>SUM(C24:E24)</f>
        <v>158.96</v>
      </c>
    </row>
    <row r="25" spans="2:6" ht="16.5" customHeight="1" x14ac:dyDescent="0.25">
      <c r="B25" t="s">
        <v>24</v>
      </c>
      <c r="C25">
        <v>2690</v>
      </c>
      <c r="F25">
        <f t="shared" ref="F25:F28" si="5">SUM(C25:E25)</f>
        <v>2690</v>
      </c>
    </row>
    <row r="26" spans="2:6" ht="16.5" customHeight="1" x14ac:dyDescent="0.25">
      <c r="B26" t="s">
        <v>25</v>
      </c>
      <c r="F26">
        <f t="shared" si="5"/>
        <v>0</v>
      </c>
    </row>
    <row r="27" spans="2:6" ht="16.5" customHeight="1" x14ac:dyDescent="0.25">
      <c r="B27" t="s">
        <v>26</v>
      </c>
      <c r="F27">
        <f t="shared" si="5"/>
        <v>0</v>
      </c>
    </row>
    <row r="28" spans="2:6" ht="16.5" customHeight="1" x14ac:dyDescent="0.25">
      <c r="B28" t="s">
        <v>27</v>
      </c>
      <c r="F28">
        <f t="shared" si="5"/>
        <v>0</v>
      </c>
    </row>
    <row r="29" spans="2:6" ht="16.5" customHeight="1" x14ac:dyDescent="0.25">
      <c r="B29" t="s">
        <v>9</v>
      </c>
      <c r="C29">
        <f>SUM(C24:C28)</f>
        <v>2848.96</v>
      </c>
      <c r="D29">
        <f>SUM(D24:D28)</f>
        <v>0</v>
      </c>
      <c r="E29">
        <f>SUM(E24:E28)</f>
        <v>0</v>
      </c>
      <c r="F29">
        <f>SUM(F24:F28)</f>
        <v>2848.96</v>
      </c>
    </row>
    <row r="30" spans="2:6" ht="19.5" customHeight="1" x14ac:dyDescent="0.25"/>
    <row r="31" spans="2:6" ht="19.5" customHeight="1" x14ac:dyDescent="0.25">
      <c r="B31" t="s">
        <v>28</v>
      </c>
      <c r="C31">
        <f>SUM(C14,C21,C29)</f>
        <v>3029.36</v>
      </c>
      <c r="D31">
        <f>SUM(D14,D21,D29)</f>
        <v>1691.79</v>
      </c>
      <c r="E31">
        <f>SUM(E14,E21,E29)</f>
        <v>180.4</v>
      </c>
      <c r="F31">
        <f>SUM(F14,F21,F29)</f>
        <v>4901.55</v>
      </c>
    </row>
    <row r="32" spans="2:6" ht="19.5" customHeight="1" x14ac:dyDescent="0.25"/>
  </sheetData>
  <printOptions horizontalCentered="1"/>
  <pageMargins left="0.7" right="0.7" top="0.75" bottom="0.75" header="0.3" footer="0.3"/>
  <pageSetup scale="9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132D-51B7-4DE8-BF8D-92F302389FFD}">
  <sheetPr>
    <pageSetUpPr autoPageBreaks="0" fitToPage="1"/>
  </sheetPr>
  <dimension ref="A1:F32"/>
  <sheetViews>
    <sheetView showGridLines="0" zoomScaleNormal="100" workbookViewId="0">
      <selection activeCell="C26" sqref="A1:XFD1048576"/>
    </sheetView>
  </sheetViews>
  <sheetFormatPr defaultColWidth="8.7109375" defaultRowHeight="16.5" customHeight="1" x14ac:dyDescent="0.25"/>
  <cols>
    <col min="1" max="1" width="2.140625" customWidth="1"/>
    <col min="2" max="2" width="33.28515625" customWidth="1"/>
    <col min="3" max="6" width="17.140625" customWidth="1"/>
    <col min="7" max="7" width="1.42578125" customWidth="1"/>
  </cols>
  <sheetData>
    <row r="1" spans="1:6" ht="54.45" customHeight="1" x14ac:dyDescent="0.25">
      <c r="A1" t="s">
        <v>0</v>
      </c>
      <c r="F1" t="s">
        <v>1</v>
      </c>
    </row>
    <row r="2" spans="1:6" ht="12" x14ac:dyDescent="0.25"/>
    <row r="3" spans="1:6" ht="16.5" customHeight="1" x14ac:dyDescent="0.25">
      <c r="B3" t="s">
        <v>2</v>
      </c>
      <c r="C3" t="s">
        <v>30</v>
      </c>
    </row>
    <row r="4" spans="1:6" ht="16.5" customHeight="1" x14ac:dyDescent="0.25">
      <c r="B4" t="s">
        <v>4</v>
      </c>
      <c r="C4">
        <v>0.67</v>
      </c>
    </row>
    <row r="6" spans="1:6" ht="16.5" customHeight="1" x14ac:dyDescent="0.25">
      <c r="B6" t="s">
        <v>5</v>
      </c>
      <c r="C6" t="s">
        <v>6</v>
      </c>
      <c r="D6" t="s">
        <v>7</v>
      </c>
      <c r="E6" t="s">
        <v>8</v>
      </c>
      <c r="F6" t="s">
        <v>9</v>
      </c>
    </row>
    <row r="7" spans="1:6" ht="16.5" customHeight="1" x14ac:dyDescent="0.25">
      <c r="B7" t="s">
        <v>10</v>
      </c>
      <c r="C7">
        <f>16*20</f>
        <v>320</v>
      </c>
      <c r="D7">
        <f>16*22</f>
        <v>352</v>
      </c>
      <c r="E7">
        <f>16*27</f>
        <v>432</v>
      </c>
      <c r="F7">
        <f t="shared" ref="F7:F13" si="0">SUM(C7:E7)</f>
        <v>1104</v>
      </c>
    </row>
    <row r="8" spans="1:6" ht="16.5" customHeight="1" x14ac:dyDescent="0.25">
      <c r="B8" t="s">
        <v>11</v>
      </c>
      <c r="C8">
        <f t="shared" ref="C8:E8" si="1">C7*MileageRate</f>
        <v>214.4</v>
      </c>
      <c r="D8">
        <f t="shared" si="1"/>
        <v>235.84</v>
      </c>
      <c r="E8">
        <f t="shared" si="1"/>
        <v>289.44</v>
      </c>
      <c r="F8">
        <f t="shared" si="0"/>
        <v>739.68000000000006</v>
      </c>
    </row>
    <row r="9" spans="1:6" ht="16.5" customHeight="1" x14ac:dyDescent="0.25">
      <c r="B9" t="s">
        <v>12</v>
      </c>
      <c r="C9">
        <v>50</v>
      </c>
      <c r="D9">
        <v>50</v>
      </c>
      <c r="E9">
        <v>50</v>
      </c>
      <c r="F9">
        <f t="shared" si="0"/>
        <v>150</v>
      </c>
    </row>
    <row r="10" spans="1:6" ht="16.5" customHeight="1" x14ac:dyDescent="0.25">
      <c r="B10" t="s">
        <v>13</v>
      </c>
      <c r="F10">
        <f t="shared" si="0"/>
        <v>0</v>
      </c>
    </row>
    <row r="11" spans="1:6" ht="16.5" customHeight="1" x14ac:dyDescent="0.25">
      <c r="B11" t="s">
        <v>14</v>
      </c>
      <c r="C11">
        <v>23.43</v>
      </c>
      <c r="E11">
        <v>5.95</v>
      </c>
      <c r="F11">
        <f t="shared" si="0"/>
        <v>29.38</v>
      </c>
    </row>
    <row r="12" spans="1:6" ht="16.5" customHeight="1" x14ac:dyDescent="0.25">
      <c r="B12" t="s">
        <v>15</v>
      </c>
      <c r="F12">
        <f t="shared" si="0"/>
        <v>0</v>
      </c>
    </row>
    <row r="13" spans="1:6" ht="16.5" customHeight="1" x14ac:dyDescent="0.25">
      <c r="B13" t="s">
        <v>16</v>
      </c>
      <c r="F13">
        <f t="shared" si="0"/>
        <v>0</v>
      </c>
    </row>
    <row r="14" spans="1:6" ht="16.5" customHeight="1" x14ac:dyDescent="0.25">
      <c r="B14" t="s">
        <v>9</v>
      </c>
      <c r="C14">
        <f>SUM(C8:C13)</f>
        <v>287.83</v>
      </c>
      <c r="D14">
        <f t="shared" ref="D14:F14" si="2">SUM(D8:D13)</f>
        <v>285.84000000000003</v>
      </c>
      <c r="E14">
        <f t="shared" si="2"/>
        <v>345.39</v>
      </c>
      <c r="F14">
        <f t="shared" si="2"/>
        <v>919.06000000000006</v>
      </c>
    </row>
    <row r="16" spans="1:6" ht="16.5" customHeight="1" x14ac:dyDescent="0.25">
      <c r="B16" t="s">
        <v>17</v>
      </c>
    </row>
    <row r="17" spans="2:6" ht="16.5" customHeight="1" x14ac:dyDescent="0.25">
      <c r="B17" t="s">
        <v>18</v>
      </c>
      <c r="F17">
        <f t="shared" ref="F17:F20" si="3">SUM(C17:E17)</f>
        <v>0</v>
      </c>
    </row>
    <row r="18" spans="2:6" ht="16.5" customHeight="1" x14ac:dyDescent="0.25">
      <c r="B18" t="s">
        <v>19</v>
      </c>
      <c r="F18">
        <f t="shared" si="3"/>
        <v>0</v>
      </c>
    </row>
    <row r="19" spans="2:6" ht="16.5" customHeight="1" x14ac:dyDescent="0.25">
      <c r="B19" t="s">
        <v>20</v>
      </c>
      <c r="C19">
        <v>349.56</v>
      </c>
      <c r="F19">
        <f t="shared" si="3"/>
        <v>349.56</v>
      </c>
    </row>
    <row r="20" spans="2:6" ht="16.5" customHeight="1" x14ac:dyDescent="0.25">
      <c r="B20" t="s">
        <v>21</v>
      </c>
      <c r="F20">
        <f t="shared" si="3"/>
        <v>0</v>
      </c>
    </row>
    <row r="21" spans="2:6" ht="16.5" customHeight="1" x14ac:dyDescent="0.25">
      <c r="B21" t="s">
        <v>9</v>
      </c>
      <c r="C21">
        <f>SUM(C17:C20)</f>
        <v>349.56</v>
      </c>
      <c r="D21">
        <f t="shared" ref="D21:F21" si="4">SUM(D17:D20)</f>
        <v>0</v>
      </c>
      <c r="E21">
        <f t="shared" si="4"/>
        <v>0</v>
      </c>
      <c r="F21">
        <f t="shared" si="4"/>
        <v>349.56</v>
      </c>
    </row>
    <row r="23" spans="2:6" ht="16.5" customHeight="1" x14ac:dyDescent="0.25">
      <c r="B23" t="s">
        <v>22</v>
      </c>
    </row>
    <row r="24" spans="2:6" ht="16.5" customHeight="1" x14ac:dyDescent="0.25">
      <c r="B24" t="s">
        <v>23</v>
      </c>
      <c r="F24">
        <f>SUM(C24:E24)</f>
        <v>0</v>
      </c>
    </row>
    <row r="25" spans="2:6" ht="16.5" customHeight="1" x14ac:dyDescent="0.25">
      <c r="B25" t="s">
        <v>24</v>
      </c>
      <c r="F25">
        <f t="shared" ref="F25:F28" si="5">SUM(C25:E25)</f>
        <v>0</v>
      </c>
    </row>
    <row r="26" spans="2:6" ht="16.5" customHeight="1" x14ac:dyDescent="0.25">
      <c r="B26" t="s">
        <v>25</v>
      </c>
      <c r="C26">
        <v>89.6</v>
      </c>
      <c r="D26">
        <v>89.6</v>
      </c>
      <c r="E26">
        <v>89.6</v>
      </c>
      <c r="F26">
        <f t="shared" si="5"/>
        <v>268.79999999999995</v>
      </c>
    </row>
    <row r="27" spans="2:6" ht="16.5" customHeight="1" x14ac:dyDescent="0.25">
      <c r="B27" t="s">
        <v>26</v>
      </c>
      <c r="F27">
        <f t="shared" si="5"/>
        <v>0</v>
      </c>
    </row>
    <row r="28" spans="2:6" ht="16.5" customHeight="1" x14ac:dyDescent="0.25">
      <c r="B28" t="s">
        <v>27</v>
      </c>
      <c r="D28">
        <v>85.48</v>
      </c>
      <c r="F28">
        <f t="shared" si="5"/>
        <v>85.48</v>
      </c>
    </row>
    <row r="29" spans="2:6" ht="16.5" customHeight="1" x14ac:dyDescent="0.25">
      <c r="B29" t="s">
        <v>9</v>
      </c>
      <c r="C29">
        <f>SUM(C24:C28)</f>
        <v>89.6</v>
      </c>
      <c r="D29">
        <f>SUM(D24:D28)</f>
        <v>175.07999999999998</v>
      </c>
      <c r="E29">
        <f>SUM(E24:E28)</f>
        <v>89.6</v>
      </c>
      <c r="F29">
        <f>SUM(F24:F28)</f>
        <v>354.28</v>
      </c>
    </row>
    <row r="30" spans="2:6" ht="19.5" customHeight="1" x14ac:dyDescent="0.25"/>
    <row r="31" spans="2:6" ht="19.5" customHeight="1" x14ac:dyDescent="0.25">
      <c r="B31" t="s">
        <v>28</v>
      </c>
      <c r="C31">
        <f>SUM(C14,C21,C29)</f>
        <v>726.99</v>
      </c>
      <c r="D31">
        <f>SUM(D14,D21,D29)</f>
        <v>460.92</v>
      </c>
      <c r="E31">
        <f>SUM(E14,E21,E29)</f>
        <v>434.99</v>
      </c>
      <c r="F31">
        <f>SUM(F14,F21,F29)</f>
        <v>1622.9</v>
      </c>
    </row>
    <row r="32" spans="2:6" ht="19.5" customHeight="1" x14ac:dyDescent="0.25"/>
  </sheetData>
  <printOptions horizontalCentered="1"/>
  <pageMargins left="0.7" right="0.7" top="0.75" bottom="0.75" header="0.3" footer="0.3"/>
  <pageSetup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9E70-D21A-49B3-AB92-5CBEB76E4EC2}">
  <dimension ref="A1:N38"/>
  <sheetViews>
    <sheetView zoomScale="90" zoomScaleNormal="90" workbookViewId="0">
      <selection activeCell="F53" activeCellId="1" sqref="P12 F53"/>
    </sheetView>
  </sheetViews>
  <sheetFormatPr defaultRowHeight="12" x14ac:dyDescent="0.25"/>
  <cols>
    <col min="1" max="1" width="13.140625" customWidth="1"/>
    <col min="2" max="3" width="16.7109375" customWidth="1"/>
    <col min="4" max="4" width="24.28515625" customWidth="1"/>
    <col min="5" max="5" width="38.7109375" customWidth="1"/>
    <col min="6" max="6" width="18" customWidth="1"/>
    <col min="7" max="7" width="17.140625" customWidth="1"/>
    <col min="8" max="9" width="17.5703125" customWidth="1"/>
    <col min="10" max="10" width="22.7109375" customWidth="1"/>
    <col min="11" max="11" width="20.7109375" customWidth="1"/>
    <col min="12" max="12" width="13.42578125" customWidth="1"/>
    <col min="13" max="13" width="16.42578125" customWidth="1"/>
    <col min="14" max="14" width="20.7109375" customWidth="1"/>
    <col min="15" max="15" width="14.5703125" bestFit="1" customWidth="1"/>
  </cols>
  <sheetData>
    <row r="1" spans="1:14" x14ac:dyDescent="0.25">
      <c r="A1" t="s">
        <v>34</v>
      </c>
      <c r="M1" t="s">
        <v>35</v>
      </c>
    </row>
    <row r="3" spans="1:14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</row>
    <row r="4" spans="1:14" x14ac:dyDescent="0.25">
      <c r="A4" t="s">
        <v>50</v>
      </c>
      <c r="B4" t="s">
        <v>51</v>
      </c>
      <c r="C4" t="s">
        <v>52</v>
      </c>
      <c r="F4">
        <v>39556</v>
      </c>
      <c r="H4">
        <v>42552</v>
      </c>
      <c r="J4" t="s">
        <v>53</v>
      </c>
      <c r="K4" t="s">
        <v>54</v>
      </c>
    </row>
    <row r="5" spans="1:14" x14ac:dyDescent="0.25">
      <c r="A5" t="s">
        <v>55</v>
      </c>
      <c r="B5" t="s">
        <v>56</v>
      </c>
      <c r="C5" t="s">
        <v>57</v>
      </c>
      <c r="F5">
        <v>38104</v>
      </c>
      <c r="H5">
        <v>42825</v>
      </c>
      <c r="J5" t="s">
        <v>58</v>
      </c>
      <c r="K5" t="s">
        <v>59</v>
      </c>
    </row>
    <row r="6" spans="1:14" x14ac:dyDescent="0.25">
      <c r="A6" t="s">
        <v>60</v>
      </c>
      <c r="B6" t="s">
        <v>61</v>
      </c>
      <c r="C6" t="s">
        <v>62</v>
      </c>
      <c r="F6">
        <v>41961</v>
      </c>
      <c r="H6">
        <v>42656</v>
      </c>
      <c r="J6" t="s">
        <v>53</v>
      </c>
      <c r="K6" t="s">
        <v>63</v>
      </c>
    </row>
    <row r="7" spans="1:14" x14ac:dyDescent="0.25">
      <c r="A7" t="s">
        <v>64</v>
      </c>
      <c r="B7" t="s">
        <v>65</v>
      </c>
      <c r="C7" t="s">
        <v>66</v>
      </c>
      <c r="F7">
        <v>42234</v>
      </c>
      <c r="H7">
        <v>42804</v>
      </c>
      <c r="J7" t="s">
        <v>67</v>
      </c>
      <c r="K7" t="s">
        <v>68</v>
      </c>
    </row>
    <row r="8" spans="1:14" x14ac:dyDescent="0.25">
      <c r="A8" t="s">
        <v>69</v>
      </c>
      <c r="B8" t="s">
        <v>70</v>
      </c>
      <c r="C8" t="s">
        <v>71</v>
      </c>
      <c r="F8">
        <v>42389</v>
      </c>
      <c r="H8">
        <v>42566</v>
      </c>
      <c r="J8" t="s">
        <v>53</v>
      </c>
      <c r="K8" t="s">
        <v>72</v>
      </c>
    </row>
    <row r="9" spans="1:14" x14ac:dyDescent="0.25">
      <c r="A9" t="s">
        <v>73</v>
      </c>
      <c r="B9" t="s">
        <v>74</v>
      </c>
      <c r="C9" t="s">
        <v>75</v>
      </c>
      <c r="F9">
        <v>41898</v>
      </c>
      <c r="H9">
        <v>42551</v>
      </c>
      <c r="J9" t="s">
        <v>76</v>
      </c>
      <c r="K9" t="s">
        <v>77</v>
      </c>
    </row>
    <row r="10" spans="1:14" x14ac:dyDescent="0.25">
      <c r="A10" t="s">
        <v>78</v>
      </c>
      <c r="B10" t="s">
        <v>79</v>
      </c>
      <c r="C10" t="s">
        <v>80</v>
      </c>
      <c r="F10">
        <v>41908</v>
      </c>
      <c r="H10">
        <v>42619</v>
      </c>
      <c r="J10" t="s">
        <v>53</v>
      </c>
      <c r="K10" t="s">
        <v>81</v>
      </c>
    </row>
    <row r="11" spans="1:14" x14ac:dyDescent="0.25">
      <c r="A11" t="s">
        <v>82</v>
      </c>
      <c r="B11" t="s">
        <v>83</v>
      </c>
      <c r="C11" t="s">
        <v>84</v>
      </c>
      <c r="F11">
        <v>38803</v>
      </c>
      <c r="H11">
        <v>42761</v>
      </c>
      <c r="J11" t="s">
        <v>53</v>
      </c>
      <c r="K11" t="s">
        <v>85</v>
      </c>
    </row>
    <row r="12" spans="1:14" x14ac:dyDescent="0.25">
      <c r="A12" t="s">
        <v>86</v>
      </c>
      <c r="B12" t="s">
        <v>87</v>
      </c>
      <c r="C12" t="s">
        <v>88</v>
      </c>
      <c r="F12">
        <v>36928</v>
      </c>
      <c r="H12">
        <v>42596</v>
      </c>
      <c r="J12" t="s">
        <v>89</v>
      </c>
      <c r="K12" t="s">
        <v>90</v>
      </c>
    </row>
    <row r="13" spans="1:14" x14ac:dyDescent="0.25">
      <c r="A13" t="s">
        <v>91</v>
      </c>
      <c r="B13" t="s">
        <v>92</v>
      </c>
      <c r="C13" t="s">
        <v>75</v>
      </c>
      <c r="F13">
        <v>41792</v>
      </c>
      <c r="H13">
        <v>42544</v>
      </c>
      <c r="J13" t="s">
        <v>93</v>
      </c>
      <c r="K13" t="s">
        <v>94</v>
      </c>
    </row>
    <row r="14" spans="1:14" x14ac:dyDescent="0.25">
      <c r="A14" t="s">
        <v>95</v>
      </c>
      <c r="B14" t="s">
        <v>96</v>
      </c>
      <c r="C14" t="s">
        <v>97</v>
      </c>
      <c r="F14">
        <v>40595</v>
      </c>
      <c r="H14">
        <v>42629</v>
      </c>
      <c r="J14" t="s">
        <v>53</v>
      </c>
      <c r="K14" t="s">
        <v>98</v>
      </c>
    </row>
    <row r="15" spans="1:14" x14ac:dyDescent="0.25">
      <c r="A15" t="s">
        <v>99</v>
      </c>
      <c r="B15" t="s">
        <v>100</v>
      </c>
      <c r="C15" t="s">
        <v>101</v>
      </c>
      <c r="F15">
        <v>40994</v>
      </c>
      <c r="H15">
        <v>42848</v>
      </c>
      <c r="J15" t="s">
        <v>67</v>
      </c>
      <c r="K15" t="s">
        <v>102</v>
      </c>
    </row>
    <row r="16" spans="1:14" x14ac:dyDescent="0.25">
      <c r="A16" t="s">
        <v>103</v>
      </c>
      <c r="B16" t="s">
        <v>104</v>
      </c>
      <c r="C16" t="s">
        <v>105</v>
      </c>
      <c r="F16">
        <v>40225</v>
      </c>
      <c r="H16">
        <v>42860</v>
      </c>
      <c r="J16" t="s">
        <v>106</v>
      </c>
      <c r="K16" t="s">
        <v>107</v>
      </c>
    </row>
    <row r="17" spans="1:11" x14ac:dyDescent="0.25">
      <c r="A17" t="s">
        <v>108</v>
      </c>
      <c r="B17" t="s">
        <v>109</v>
      </c>
      <c r="C17" t="s">
        <v>110</v>
      </c>
      <c r="F17">
        <v>36955</v>
      </c>
      <c r="H17">
        <v>42540</v>
      </c>
      <c r="J17" t="s">
        <v>106</v>
      </c>
      <c r="K17" t="s">
        <v>111</v>
      </c>
    </row>
    <row r="18" spans="1:11" x14ac:dyDescent="0.25">
      <c r="A18" t="s">
        <v>112</v>
      </c>
      <c r="B18" t="s">
        <v>113</v>
      </c>
      <c r="C18" t="s">
        <v>114</v>
      </c>
      <c r="F18">
        <v>42912</v>
      </c>
      <c r="H18">
        <v>42828</v>
      </c>
      <c r="J18" t="s">
        <v>58</v>
      </c>
      <c r="K18" t="s">
        <v>115</v>
      </c>
    </row>
    <row r="19" spans="1:11" x14ac:dyDescent="0.25">
      <c r="A19" t="s">
        <v>116</v>
      </c>
      <c r="B19" t="s">
        <v>113</v>
      </c>
      <c r="C19" t="s">
        <v>117</v>
      </c>
      <c r="F19">
        <v>41995</v>
      </c>
      <c r="H19">
        <v>42731</v>
      </c>
      <c r="J19" t="s">
        <v>76</v>
      </c>
      <c r="K19" t="s">
        <v>118</v>
      </c>
    </row>
    <row r="20" spans="1:11" x14ac:dyDescent="0.25">
      <c r="A20" t="s">
        <v>119</v>
      </c>
      <c r="B20" t="s">
        <v>120</v>
      </c>
      <c r="C20" t="s">
        <v>121</v>
      </c>
      <c r="F20">
        <v>41407</v>
      </c>
      <c r="H20">
        <v>42720</v>
      </c>
      <c r="J20" t="s">
        <v>58</v>
      </c>
      <c r="K20" t="s">
        <v>122</v>
      </c>
    </row>
    <row r="21" spans="1:11" x14ac:dyDescent="0.25">
      <c r="A21" t="s">
        <v>123</v>
      </c>
      <c r="B21" t="s">
        <v>124</v>
      </c>
      <c r="C21" t="s">
        <v>125</v>
      </c>
      <c r="F21">
        <v>39692</v>
      </c>
      <c r="H21">
        <v>42598</v>
      </c>
      <c r="J21" t="s">
        <v>58</v>
      </c>
      <c r="K21" t="s">
        <v>126</v>
      </c>
    </row>
    <row r="22" spans="1:11" x14ac:dyDescent="0.25">
      <c r="A22" t="s">
        <v>127</v>
      </c>
      <c r="B22" t="s">
        <v>128</v>
      </c>
      <c r="C22" t="s">
        <v>129</v>
      </c>
      <c r="F22">
        <v>41214</v>
      </c>
      <c r="H22">
        <v>42566</v>
      </c>
      <c r="J22" t="s">
        <v>106</v>
      </c>
      <c r="K22" t="s">
        <v>130</v>
      </c>
    </row>
    <row r="23" spans="1:11" x14ac:dyDescent="0.25">
      <c r="A23" t="s">
        <v>131</v>
      </c>
      <c r="B23" t="s">
        <v>132</v>
      </c>
      <c r="C23" t="s">
        <v>84</v>
      </c>
      <c r="F23">
        <v>41176</v>
      </c>
      <c r="H23">
        <v>42835</v>
      </c>
      <c r="J23" t="s">
        <v>106</v>
      </c>
      <c r="K23" t="s">
        <v>133</v>
      </c>
    </row>
    <row r="24" spans="1:11" x14ac:dyDescent="0.25">
      <c r="A24" t="s">
        <v>134</v>
      </c>
      <c r="B24" t="s">
        <v>135</v>
      </c>
      <c r="C24" t="s">
        <v>136</v>
      </c>
      <c r="F24">
        <v>42233</v>
      </c>
      <c r="H24">
        <v>42658</v>
      </c>
      <c r="J24" t="s">
        <v>76</v>
      </c>
      <c r="K24" t="s">
        <v>137</v>
      </c>
    </row>
    <row r="25" spans="1:11" x14ac:dyDescent="0.25">
      <c r="A25" t="s">
        <v>138</v>
      </c>
      <c r="B25" t="s">
        <v>139</v>
      </c>
      <c r="C25" t="s">
        <v>140</v>
      </c>
      <c r="F25">
        <v>42376</v>
      </c>
      <c r="H25">
        <v>42614</v>
      </c>
      <c r="J25" t="s">
        <v>106</v>
      </c>
      <c r="K25" t="s">
        <v>141</v>
      </c>
    </row>
    <row r="26" spans="1:11" x14ac:dyDescent="0.25">
      <c r="A26" t="s">
        <v>142</v>
      </c>
      <c r="B26" t="s">
        <v>143</v>
      </c>
      <c r="C26" t="s">
        <v>144</v>
      </c>
      <c r="F26">
        <v>39028</v>
      </c>
      <c r="H26">
        <v>42817</v>
      </c>
      <c r="J26" t="s">
        <v>76</v>
      </c>
      <c r="K26" t="s">
        <v>145</v>
      </c>
    </row>
    <row r="27" spans="1:11" x14ac:dyDescent="0.25">
      <c r="A27" t="s">
        <v>146</v>
      </c>
      <c r="B27" t="s">
        <v>147</v>
      </c>
      <c r="C27" t="s">
        <v>148</v>
      </c>
      <c r="F27">
        <v>38553</v>
      </c>
      <c r="H27">
        <v>42845</v>
      </c>
      <c r="J27" t="s">
        <v>53</v>
      </c>
      <c r="K27" t="s">
        <v>149</v>
      </c>
    </row>
    <row r="28" spans="1:11" x14ac:dyDescent="0.25">
      <c r="A28" t="s">
        <v>150</v>
      </c>
      <c r="B28" t="s">
        <v>151</v>
      </c>
      <c r="C28" t="s">
        <v>152</v>
      </c>
      <c r="F28">
        <v>38749</v>
      </c>
      <c r="H28">
        <v>42776</v>
      </c>
      <c r="J28" t="s">
        <v>58</v>
      </c>
      <c r="K28" t="s">
        <v>153</v>
      </c>
    </row>
    <row r="29" spans="1:11" x14ac:dyDescent="0.25">
      <c r="A29" t="s">
        <v>154</v>
      </c>
      <c r="B29" t="s">
        <v>155</v>
      </c>
      <c r="C29" t="s">
        <v>156</v>
      </c>
      <c r="F29">
        <v>37515</v>
      </c>
      <c r="H29">
        <v>42586</v>
      </c>
      <c r="J29" t="s">
        <v>53</v>
      </c>
      <c r="K29" t="s">
        <v>157</v>
      </c>
    </row>
    <row r="30" spans="1:11" x14ac:dyDescent="0.25">
      <c r="A30" t="s">
        <v>158</v>
      </c>
      <c r="B30" t="s">
        <v>159</v>
      </c>
      <c r="C30" t="s">
        <v>160</v>
      </c>
      <c r="F30">
        <v>42125</v>
      </c>
      <c r="H30">
        <v>42710</v>
      </c>
      <c r="J30" t="s">
        <v>53</v>
      </c>
      <c r="K30" t="s">
        <v>161</v>
      </c>
    </row>
    <row r="31" spans="1:11" x14ac:dyDescent="0.25">
      <c r="A31" t="s">
        <v>162</v>
      </c>
      <c r="B31" t="s">
        <v>163</v>
      </c>
      <c r="C31" t="s">
        <v>164</v>
      </c>
      <c r="F31">
        <v>42726</v>
      </c>
      <c r="H31">
        <v>42539</v>
      </c>
      <c r="J31" t="s">
        <v>53</v>
      </c>
      <c r="K31" t="s">
        <v>165</v>
      </c>
    </row>
    <row r="32" spans="1:11" x14ac:dyDescent="0.25">
      <c r="A32" t="s">
        <v>166</v>
      </c>
      <c r="B32" t="s">
        <v>167</v>
      </c>
      <c r="C32" t="s">
        <v>168</v>
      </c>
      <c r="F32">
        <v>40162</v>
      </c>
      <c r="H32">
        <v>42563</v>
      </c>
      <c r="J32" t="s">
        <v>53</v>
      </c>
      <c r="K32" t="s">
        <v>169</v>
      </c>
    </row>
    <row r="33" spans="1:11" x14ac:dyDescent="0.25">
      <c r="A33" t="s">
        <v>170</v>
      </c>
      <c r="B33" t="s">
        <v>171</v>
      </c>
      <c r="C33" t="s">
        <v>172</v>
      </c>
      <c r="F33">
        <v>42892</v>
      </c>
      <c r="H33">
        <v>42731</v>
      </c>
      <c r="J33" t="s">
        <v>67</v>
      </c>
      <c r="K33" t="s">
        <v>173</v>
      </c>
    </row>
    <row r="34" spans="1:11" x14ac:dyDescent="0.25">
      <c r="A34" t="s">
        <v>174</v>
      </c>
      <c r="B34" t="s">
        <v>175</v>
      </c>
      <c r="C34" t="s">
        <v>176</v>
      </c>
      <c r="F34">
        <v>42325</v>
      </c>
      <c r="H34">
        <v>42590</v>
      </c>
      <c r="J34" t="s">
        <v>53</v>
      </c>
      <c r="K34" t="s">
        <v>177</v>
      </c>
    </row>
    <row r="35" spans="1:11" x14ac:dyDescent="0.25">
      <c r="A35" t="s">
        <v>178</v>
      </c>
      <c r="B35" t="s">
        <v>179</v>
      </c>
      <c r="C35" t="s">
        <v>180</v>
      </c>
      <c r="F35">
        <v>40714</v>
      </c>
      <c r="H35">
        <v>42507</v>
      </c>
      <c r="J35" t="s">
        <v>53</v>
      </c>
      <c r="K35" t="s">
        <v>181</v>
      </c>
    </row>
    <row r="36" spans="1:11" x14ac:dyDescent="0.25">
      <c r="A36" t="s">
        <v>182</v>
      </c>
      <c r="B36" t="s">
        <v>183</v>
      </c>
      <c r="C36" t="s">
        <v>184</v>
      </c>
      <c r="F36">
        <v>42326</v>
      </c>
      <c r="H36">
        <v>42801</v>
      </c>
      <c r="J36" t="s">
        <v>53</v>
      </c>
      <c r="K36" t="s">
        <v>185</v>
      </c>
    </row>
    <row r="37" spans="1:11" x14ac:dyDescent="0.25">
      <c r="A37" t="s">
        <v>186</v>
      </c>
      <c r="B37" t="s">
        <v>187</v>
      </c>
      <c r="C37" t="s">
        <v>188</v>
      </c>
      <c r="F37">
        <v>40189</v>
      </c>
      <c r="H37">
        <v>42839</v>
      </c>
      <c r="J37" t="s">
        <v>89</v>
      </c>
      <c r="K37" t="s">
        <v>189</v>
      </c>
    </row>
    <row r="38" spans="1:11" x14ac:dyDescent="0.25">
      <c r="A38" t="s">
        <v>190</v>
      </c>
      <c r="B38" t="s">
        <v>191</v>
      </c>
      <c r="C38" t="s">
        <v>192</v>
      </c>
      <c r="F38">
        <v>42009</v>
      </c>
      <c r="H38">
        <v>42652</v>
      </c>
      <c r="J38" t="s">
        <v>53</v>
      </c>
      <c r="K38" t="s">
        <v>193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632EF-6598-49AE-AF70-733AEDF1B59F}">
  <dimension ref="A1:P38"/>
  <sheetViews>
    <sheetView topLeftCell="C3" workbookViewId="0">
      <selection activeCell="F53" activeCellId="1" sqref="P12 F53"/>
    </sheetView>
  </sheetViews>
  <sheetFormatPr defaultRowHeight="12" x14ac:dyDescent="0.25"/>
  <cols>
    <col min="1" max="1" width="11.42578125" customWidth="1"/>
    <col min="2" max="2" width="16.7109375" customWidth="1"/>
    <col min="3" max="3" width="15.140625" customWidth="1"/>
    <col min="4" max="4" width="11.5703125" customWidth="1"/>
    <col min="5" max="5" width="38.7109375" customWidth="1"/>
    <col min="6" max="6" width="18" customWidth="1"/>
    <col min="7" max="7" width="11.85546875" customWidth="1"/>
    <col min="8" max="8" width="22.7109375" customWidth="1"/>
    <col min="9" max="9" width="20.7109375" customWidth="1"/>
    <col min="10" max="10" width="13.42578125" customWidth="1"/>
    <col min="11" max="11" width="16.42578125" customWidth="1"/>
    <col min="12" max="13" width="18.140625" customWidth="1"/>
    <col min="14" max="14" width="16" customWidth="1"/>
    <col min="15" max="15" width="14.28515625" customWidth="1"/>
  </cols>
  <sheetData>
    <row r="1" spans="1:16" x14ac:dyDescent="0.25">
      <c r="A1" t="s">
        <v>34</v>
      </c>
      <c r="O1" t="s">
        <v>194</v>
      </c>
      <c r="P1">
        <v>0.09</v>
      </c>
    </row>
    <row r="3" spans="1:16" x14ac:dyDescent="0.25">
      <c r="A3" t="s">
        <v>36</v>
      </c>
      <c r="B3" t="s">
        <v>37</v>
      </c>
      <c r="C3" t="s">
        <v>38</v>
      </c>
      <c r="D3" t="s">
        <v>195</v>
      </c>
      <c r="E3" t="s">
        <v>40</v>
      </c>
      <c r="F3" t="s">
        <v>41</v>
      </c>
      <c r="G3" t="s">
        <v>42</v>
      </c>
      <c r="H3" t="s">
        <v>45</v>
      </c>
      <c r="I3" t="s">
        <v>46</v>
      </c>
      <c r="J3" t="s">
        <v>47</v>
      </c>
      <c r="K3" t="s">
        <v>48</v>
      </c>
      <c r="L3" t="s">
        <v>43</v>
      </c>
      <c r="M3" t="s">
        <v>44</v>
      </c>
      <c r="N3" t="s">
        <v>196</v>
      </c>
      <c r="O3" t="s">
        <v>197</v>
      </c>
    </row>
    <row r="4" spans="1:16" x14ac:dyDescent="0.25">
      <c r="A4" t="s">
        <v>86</v>
      </c>
      <c r="B4" t="s">
        <v>87</v>
      </c>
      <c r="C4" t="s">
        <v>88</v>
      </c>
      <c r="D4" t="s">
        <v>198</v>
      </c>
      <c r="E4" t="str">
        <f t="shared" ref="E4:E38" si="0">LOWER(C4&amp;"."&amp;B4&amp;"@pushpin.com")</f>
        <v>joe.carol@pushpin.com</v>
      </c>
      <c r="F4">
        <v>36923</v>
      </c>
      <c r="G4">
        <f t="shared" ref="G4:G38" ca="1" si="1">YEARFRAC(F4,TODAY())</f>
        <v>24.941666666666666</v>
      </c>
      <c r="H4" t="s">
        <v>89</v>
      </c>
      <c r="I4" t="s">
        <v>90</v>
      </c>
      <c r="J4" t="str">
        <f t="shared" ref="J4:J38" si="2">LEFT(I4,2)</f>
        <v>01</v>
      </c>
      <c r="K4" t="str">
        <f t="shared" ref="K4:K38" si="3">RIGHT(I4,4)</f>
        <v>2321</v>
      </c>
      <c r="L4">
        <v>42817</v>
      </c>
      <c r="M4">
        <f t="shared" ref="M4:M38" si="4">L4+365</f>
        <v>43182</v>
      </c>
      <c r="N4">
        <v>101400</v>
      </c>
    </row>
    <row r="5" spans="1:16" x14ac:dyDescent="0.25">
      <c r="A5" t="s">
        <v>108</v>
      </c>
      <c r="B5" t="s">
        <v>109</v>
      </c>
      <c r="C5" t="s">
        <v>110</v>
      </c>
      <c r="D5" t="s">
        <v>198</v>
      </c>
      <c r="E5" t="str">
        <f t="shared" si="0"/>
        <v>eric.chung@pushpin.com</v>
      </c>
      <c r="F5">
        <v>36949</v>
      </c>
      <c r="G5">
        <f t="shared" ca="1" si="1"/>
        <v>24.869444444444444</v>
      </c>
      <c r="H5" t="s">
        <v>106</v>
      </c>
      <c r="I5" t="s">
        <v>111</v>
      </c>
      <c r="J5" t="str">
        <f t="shared" si="2"/>
        <v>03</v>
      </c>
      <c r="K5" t="str">
        <f t="shared" si="3"/>
        <v>2796</v>
      </c>
      <c r="L5">
        <v>42731</v>
      </c>
      <c r="M5">
        <f t="shared" si="4"/>
        <v>43096</v>
      </c>
      <c r="N5">
        <v>70300</v>
      </c>
    </row>
    <row r="6" spans="1:16" x14ac:dyDescent="0.25">
      <c r="A6" t="s">
        <v>154</v>
      </c>
      <c r="B6" t="s">
        <v>155</v>
      </c>
      <c r="C6" t="s">
        <v>156</v>
      </c>
      <c r="D6" t="s">
        <v>198</v>
      </c>
      <c r="E6" t="str">
        <f t="shared" si="0"/>
        <v>daniel.flanders@pushpin.com</v>
      </c>
      <c r="F6">
        <v>37510</v>
      </c>
      <c r="G6">
        <f t="shared" ca="1" si="1"/>
        <v>23.330555555555556</v>
      </c>
      <c r="H6" t="s">
        <v>53</v>
      </c>
      <c r="I6" t="s">
        <v>157</v>
      </c>
      <c r="J6" t="str">
        <f t="shared" si="2"/>
        <v>02</v>
      </c>
      <c r="K6" t="str">
        <f t="shared" si="3"/>
        <v>2639</v>
      </c>
      <c r="L6">
        <v>42590</v>
      </c>
      <c r="M6">
        <f t="shared" si="4"/>
        <v>42955</v>
      </c>
      <c r="N6">
        <v>68800</v>
      </c>
    </row>
    <row r="7" spans="1:16" x14ac:dyDescent="0.25">
      <c r="A7" t="s">
        <v>55</v>
      </c>
      <c r="B7" t="s">
        <v>56</v>
      </c>
      <c r="C7" t="s">
        <v>57</v>
      </c>
      <c r="D7" t="s">
        <v>198</v>
      </c>
      <c r="E7" t="str">
        <f t="shared" si="0"/>
        <v>adam.barry@pushpin.com</v>
      </c>
      <c r="F7">
        <v>38099</v>
      </c>
      <c r="G7">
        <f t="shared" ca="1" si="1"/>
        <v>21.716666666666665</v>
      </c>
      <c r="H7" t="s">
        <v>58</v>
      </c>
      <c r="I7" t="s">
        <v>59</v>
      </c>
      <c r="J7" t="str">
        <f t="shared" si="2"/>
        <v>02</v>
      </c>
      <c r="K7" t="str">
        <f t="shared" si="3"/>
        <v>2018</v>
      </c>
      <c r="L7">
        <v>42860</v>
      </c>
      <c r="M7">
        <f t="shared" si="4"/>
        <v>43225</v>
      </c>
      <c r="N7">
        <v>59200</v>
      </c>
    </row>
    <row r="8" spans="1:16" x14ac:dyDescent="0.25">
      <c r="A8" t="s">
        <v>146</v>
      </c>
      <c r="B8" t="s">
        <v>147</v>
      </c>
      <c r="C8" t="s">
        <v>148</v>
      </c>
      <c r="D8" t="s">
        <v>199</v>
      </c>
      <c r="E8" t="str">
        <f t="shared" si="0"/>
        <v>mary.ferris@pushpin.com</v>
      </c>
      <c r="F8">
        <v>38548</v>
      </c>
      <c r="G8">
        <f t="shared" ca="1" si="1"/>
        <v>20.486111111111111</v>
      </c>
      <c r="H8" t="s">
        <v>53</v>
      </c>
      <c r="I8" t="s">
        <v>149</v>
      </c>
      <c r="J8" t="str">
        <f t="shared" si="2"/>
        <v>03</v>
      </c>
      <c r="K8" t="str">
        <f t="shared" si="3"/>
        <v>2392</v>
      </c>
      <c r="L8">
        <v>42598</v>
      </c>
      <c r="M8">
        <f t="shared" si="4"/>
        <v>42963</v>
      </c>
      <c r="N8">
        <v>62900</v>
      </c>
    </row>
    <row r="9" spans="1:16" x14ac:dyDescent="0.25">
      <c r="A9" t="s">
        <v>150</v>
      </c>
      <c r="B9" t="s">
        <v>151</v>
      </c>
      <c r="C9" t="s">
        <v>152</v>
      </c>
      <c r="D9" t="s">
        <v>199</v>
      </c>
      <c r="E9" t="str">
        <f t="shared" si="0"/>
        <v>susan.filosa@pushpin.com</v>
      </c>
      <c r="F9">
        <v>38744</v>
      </c>
      <c r="G9">
        <f t="shared" ca="1" si="1"/>
        <v>19.952777777777779</v>
      </c>
      <c r="H9" t="s">
        <v>58</v>
      </c>
      <c r="I9" t="s">
        <v>153</v>
      </c>
      <c r="J9" t="str">
        <f t="shared" si="2"/>
        <v>02</v>
      </c>
      <c r="K9" t="str">
        <f t="shared" si="3"/>
        <v>2279</v>
      </c>
      <c r="L9">
        <v>42596</v>
      </c>
      <c r="M9">
        <f t="shared" si="4"/>
        <v>42961</v>
      </c>
      <c r="N9">
        <v>58400</v>
      </c>
    </row>
    <row r="10" spans="1:16" x14ac:dyDescent="0.25">
      <c r="A10" t="s">
        <v>82</v>
      </c>
      <c r="B10" t="s">
        <v>83</v>
      </c>
      <c r="C10" t="s">
        <v>200</v>
      </c>
      <c r="D10" t="s">
        <v>199</v>
      </c>
      <c r="E10" t="str">
        <f t="shared" si="0"/>
        <v>barbara.carlton@pushpin.com</v>
      </c>
      <c r="F10">
        <v>38798</v>
      </c>
      <c r="G10">
        <f t="shared" ca="1" si="1"/>
        <v>19.8</v>
      </c>
      <c r="H10" t="s">
        <v>53</v>
      </c>
      <c r="I10" t="s">
        <v>85</v>
      </c>
      <c r="J10" t="str">
        <f t="shared" si="2"/>
        <v>02</v>
      </c>
      <c r="K10" t="str">
        <f t="shared" si="3"/>
        <v>2699</v>
      </c>
      <c r="L10">
        <v>42825</v>
      </c>
      <c r="M10">
        <f t="shared" si="4"/>
        <v>43190</v>
      </c>
      <c r="N10">
        <v>59200</v>
      </c>
    </row>
    <row r="11" spans="1:16" x14ac:dyDescent="0.25">
      <c r="A11" t="s">
        <v>142</v>
      </c>
      <c r="B11" t="s">
        <v>143</v>
      </c>
      <c r="C11" t="s">
        <v>144</v>
      </c>
      <c r="D11" t="s">
        <v>198</v>
      </c>
      <c r="E11" t="str">
        <f t="shared" si="0"/>
        <v>nicholas.fernandes@pushpin.com</v>
      </c>
      <c r="F11">
        <v>39023</v>
      </c>
      <c r="G11">
        <f t="shared" ca="1" si="1"/>
        <v>19.18888888888889</v>
      </c>
      <c r="H11" t="s">
        <v>76</v>
      </c>
      <c r="I11" t="s">
        <v>145</v>
      </c>
      <c r="J11" t="str">
        <f t="shared" si="2"/>
        <v>02</v>
      </c>
      <c r="K11" t="str">
        <f t="shared" si="3"/>
        <v>2372</v>
      </c>
      <c r="L11">
        <v>42614</v>
      </c>
      <c r="M11">
        <f t="shared" si="4"/>
        <v>42979</v>
      </c>
      <c r="N11">
        <v>51600</v>
      </c>
    </row>
    <row r="12" spans="1:16" x14ac:dyDescent="0.25">
      <c r="A12" t="s">
        <v>50</v>
      </c>
      <c r="B12" t="s">
        <v>51</v>
      </c>
      <c r="C12" t="s">
        <v>52</v>
      </c>
      <c r="D12" t="s">
        <v>198</v>
      </c>
      <c r="E12" t="str">
        <f t="shared" si="0"/>
        <v>stevie.bacata@pushpin.com</v>
      </c>
      <c r="F12">
        <v>39551</v>
      </c>
      <c r="G12">
        <f t="shared" ca="1" si="1"/>
        <v>17.741666666666667</v>
      </c>
      <c r="H12" t="s">
        <v>53</v>
      </c>
      <c r="I12" t="s">
        <v>54</v>
      </c>
      <c r="J12" t="str">
        <f t="shared" si="2"/>
        <v>02</v>
      </c>
      <c r="K12" t="str">
        <f t="shared" si="3"/>
        <v>2635</v>
      </c>
      <c r="L12">
        <v>42507</v>
      </c>
      <c r="M12">
        <f t="shared" si="4"/>
        <v>42872</v>
      </c>
      <c r="N12">
        <v>58200</v>
      </c>
    </row>
    <row r="13" spans="1:16" x14ac:dyDescent="0.25">
      <c r="A13" t="s">
        <v>123</v>
      </c>
      <c r="B13" t="s">
        <v>124</v>
      </c>
      <c r="C13" t="s">
        <v>125</v>
      </c>
      <c r="D13" t="s">
        <v>199</v>
      </c>
      <c r="E13" t="str">
        <f t="shared" si="0"/>
        <v>janet.comuntzis@pushpin.com</v>
      </c>
      <c r="F13">
        <v>39686</v>
      </c>
      <c r="G13">
        <f t="shared" ca="1" si="1"/>
        <v>17.372222222222224</v>
      </c>
      <c r="H13" t="s">
        <v>58</v>
      </c>
      <c r="I13" t="s">
        <v>126</v>
      </c>
      <c r="J13" t="str">
        <f t="shared" si="2"/>
        <v>02</v>
      </c>
      <c r="K13" t="str">
        <f t="shared" si="3"/>
        <v>2286</v>
      </c>
      <c r="L13">
        <v>42658</v>
      </c>
      <c r="M13">
        <f t="shared" si="4"/>
        <v>43023</v>
      </c>
      <c r="N13">
        <v>55800</v>
      </c>
    </row>
    <row r="14" spans="1:16" x14ac:dyDescent="0.25">
      <c r="A14" t="s">
        <v>166</v>
      </c>
      <c r="B14" t="s">
        <v>167</v>
      </c>
      <c r="C14" t="s">
        <v>168</v>
      </c>
      <c r="D14" t="s">
        <v>198</v>
      </c>
      <c r="E14" t="str">
        <f t="shared" si="0"/>
        <v>mihael.khan@pushpin.com</v>
      </c>
      <c r="F14">
        <v>40160</v>
      </c>
      <c r="G14">
        <f t="shared" ca="1" si="1"/>
        <v>16.074999999999999</v>
      </c>
      <c r="H14" t="s">
        <v>53</v>
      </c>
      <c r="I14" t="s">
        <v>169</v>
      </c>
      <c r="J14" t="str">
        <f t="shared" si="2"/>
        <v>02</v>
      </c>
      <c r="K14" t="str">
        <f t="shared" si="3"/>
        <v>2294</v>
      </c>
      <c r="L14">
        <v>42566</v>
      </c>
      <c r="M14">
        <f t="shared" si="4"/>
        <v>42931</v>
      </c>
      <c r="N14">
        <v>55500</v>
      </c>
    </row>
    <row r="15" spans="1:16" x14ac:dyDescent="0.25">
      <c r="A15" t="s">
        <v>103</v>
      </c>
      <c r="B15" t="s">
        <v>104</v>
      </c>
      <c r="C15" t="s">
        <v>105</v>
      </c>
      <c r="D15" t="s">
        <v>199</v>
      </c>
      <c r="E15" t="str">
        <f t="shared" si="0"/>
        <v>elizabeth.chu@pushpin.com</v>
      </c>
      <c r="F15">
        <v>40220</v>
      </c>
      <c r="G15">
        <f t="shared" ca="1" si="1"/>
        <v>15.91388888888889</v>
      </c>
      <c r="H15" t="s">
        <v>106</v>
      </c>
      <c r="I15" t="s">
        <v>107</v>
      </c>
      <c r="J15" t="str">
        <f t="shared" si="2"/>
        <v>01</v>
      </c>
      <c r="K15" t="str">
        <f t="shared" si="3"/>
        <v>2425</v>
      </c>
      <c r="L15">
        <v>42761</v>
      </c>
      <c r="M15">
        <f t="shared" si="4"/>
        <v>43126</v>
      </c>
      <c r="N15">
        <v>48400</v>
      </c>
    </row>
    <row r="16" spans="1:16" x14ac:dyDescent="0.25">
      <c r="A16" t="s">
        <v>95</v>
      </c>
      <c r="B16" t="s">
        <v>96</v>
      </c>
      <c r="C16" t="s">
        <v>97</v>
      </c>
      <c r="D16" t="s">
        <v>199</v>
      </c>
      <c r="E16" t="str">
        <f t="shared" si="0"/>
        <v>samantha.chairs@pushpin.com</v>
      </c>
      <c r="F16">
        <v>40595</v>
      </c>
      <c r="G16">
        <f t="shared" ca="1" si="1"/>
        <v>14.886111111111111</v>
      </c>
      <c r="H16" t="s">
        <v>53</v>
      </c>
      <c r="I16" t="s">
        <v>98</v>
      </c>
      <c r="J16" t="str">
        <f t="shared" si="2"/>
        <v>02</v>
      </c>
      <c r="K16" t="str">
        <f t="shared" si="3"/>
        <v>2962</v>
      </c>
      <c r="L16">
        <v>42801</v>
      </c>
      <c r="M16">
        <f t="shared" si="4"/>
        <v>43166</v>
      </c>
      <c r="N16">
        <v>59300</v>
      </c>
    </row>
    <row r="17" spans="1:14" x14ac:dyDescent="0.25">
      <c r="A17" t="s">
        <v>178</v>
      </c>
      <c r="B17" t="s">
        <v>179</v>
      </c>
      <c r="C17" t="s">
        <v>180</v>
      </c>
      <c r="D17" t="s">
        <v>199</v>
      </c>
      <c r="E17" t="str">
        <f t="shared" si="0"/>
        <v>natasha.song@pushpin.com</v>
      </c>
      <c r="F17">
        <v>40713</v>
      </c>
      <c r="G17">
        <f t="shared" ca="1" si="1"/>
        <v>14.558333333333334</v>
      </c>
      <c r="H17" t="s">
        <v>53</v>
      </c>
      <c r="I17" t="s">
        <v>201</v>
      </c>
      <c r="J17" t="str">
        <f t="shared" si="2"/>
        <v>02</v>
      </c>
      <c r="K17" t="str">
        <f t="shared" si="3"/>
        <v>2578</v>
      </c>
      <c r="L17">
        <v>42552</v>
      </c>
      <c r="M17">
        <f t="shared" si="4"/>
        <v>42917</v>
      </c>
      <c r="N17">
        <v>56000</v>
      </c>
    </row>
    <row r="18" spans="1:14" x14ac:dyDescent="0.25">
      <c r="A18" t="s">
        <v>99</v>
      </c>
      <c r="B18" t="s">
        <v>100</v>
      </c>
      <c r="C18" t="s">
        <v>101</v>
      </c>
      <c r="D18" t="s">
        <v>199</v>
      </c>
      <c r="E18" t="str">
        <f t="shared" si="0"/>
        <v>uma.chaudri@pushpin.com</v>
      </c>
      <c r="F18">
        <v>40994</v>
      </c>
      <c r="G18">
        <f t="shared" ca="1" si="1"/>
        <v>13.78888888888889</v>
      </c>
      <c r="H18" t="s">
        <v>67</v>
      </c>
      <c r="I18" t="s">
        <v>102</v>
      </c>
      <c r="J18" t="str">
        <f t="shared" si="2"/>
        <v>03</v>
      </c>
      <c r="K18" t="str">
        <f t="shared" si="3"/>
        <v>2134</v>
      </c>
      <c r="L18">
        <v>42776</v>
      </c>
      <c r="M18">
        <f t="shared" si="4"/>
        <v>43141</v>
      </c>
      <c r="N18">
        <v>63200</v>
      </c>
    </row>
    <row r="19" spans="1:14" x14ac:dyDescent="0.25">
      <c r="A19" t="s">
        <v>131</v>
      </c>
      <c r="B19" t="s">
        <v>132</v>
      </c>
      <c r="C19" t="s">
        <v>84</v>
      </c>
      <c r="D19" t="s">
        <v>199</v>
      </c>
      <c r="E19" t="str">
        <f t="shared" si="0"/>
        <v>tina.desiato@pushpin.com</v>
      </c>
      <c r="F19">
        <v>41175</v>
      </c>
      <c r="G19">
        <f t="shared" ca="1" si="1"/>
        <v>13.297222222222222</v>
      </c>
      <c r="H19" t="s">
        <v>106</v>
      </c>
      <c r="I19" t="s">
        <v>133</v>
      </c>
      <c r="J19" t="str">
        <f t="shared" si="2"/>
        <v>01</v>
      </c>
      <c r="K19" t="str">
        <f t="shared" si="3"/>
        <v>2358</v>
      </c>
      <c r="L19">
        <v>42652</v>
      </c>
      <c r="M19">
        <f t="shared" si="4"/>
        <v>43017</v>
      </c>
      <c r="N19">
        <v>51700</v>
      </c>
    </row>
    <row r="20" spans="1:14" x14ac:dyDescent="0.25">
      <c r="A20" t="s">
        <v>127</v>
      </c>
      <c r="B20" t="s">
        <v>128</v>
      </c>
      <c r="C20" t="s">
        <v>129</v>
      </c>
      <c r="D20" t="s">
        <v>198</v>
      </c>
      <c r="E20" t="str">
        <f t="shared" si="0"/>
        <v>bob.decker@pushpin.com</v>
      </c>
      <c r="F20">
        <v>41210</v>
      </c>
      <c r="G20">
        <f t="shared" ca="1" si="1"/>
        <v>13.2</v>
      </c>
      <c r="H20" t="s">
        <v>106</v>
      </c>
      <c r="I20" t="s">
        <v>130</v>
      </c>
      <c r="J20" t="str">
        <f t="shared" si="2"/>
        <v>01</v>
      </c>
      <c r="K20" t="str">
        <f t="shared" si="3"/>
        <v>2086</v>
      </c>
      <c r="L20">
        <v>42656</v>
      </c>
      <c r="M20">
        <f t="shared" si="4"/>
        <v>43021</v>
      </c>
      <c r="N20">
        <v>49600</v>
      </c>
    </row>
    <row r="21" spans="1:14" x14ac:dyDescent="0.25">
      <c r="A21" t="s">
        <v>119</v>
      </c>
      <c r="B21" t="s">
        <v>120</v>
      </c>
      <c r="C21" t="s">
        <v>121</v>
      </c>
      <c r="D21" t="s">
        <v>199</v>
      </c>
      <c r="E21" t="str">
        <f t="shared" si="0"/>
        <v>sabrina.cole@pushpin.com</v>
      </c>
      <c r="F21">
        <v>41401</v>
      </c>
      <c r="G21">
        <f t="shared" ca="1" si="1"/>
        <v>12.675000000000001</v>
      </c>
      <c r="H21" t="s">
        <v>58</v>
      </c>
      <c r="I21" t="s">
        <v>122</v>
      </c>
      <c r="J21" t="str">
        <f t="shared" si="2"/>
        <v>02</v>
      </c>
      <c r="K21" t="str">
        <f t="shared" si="3"/>
        <v>2537</v>
      </c>
      <c r="L21">
        <v>42710</v>
      </c>
      <c r="M21">
        <f t="shared" si="4"/>
        <v>43075</v>
      </c>
      <c r="N21">
        <v>45100</v>
      </c>
    </row>
    <row r="22" spans="1:14" x14ac:dyDescent="0.25">
      <c r="A22" t="s">
        <v>91</v>
      </c>
      <c r="B22" t="s">
        <v>92</v>
      </c>
      <c r="C22" t="s">
        <v>75</v>
      </c>
      <c r="D22" t="s">
        <v>198</v>
      </c>
      <c r="E22" t="str">
        <f t="shared" si="0"/>
        <v>jim.chaffee@pushpin.com</v>
      </c>
      <c r="F22">
        <v>41787</v>
      </c>
      <c r="G22">
        <f t="shared" ca="1" si="1"/>
        <v>11.616666666666667</v>
      </c>
      <c r="H22" t="s">
        <v>93</v>
      </c>
      <c r="I22" t="s">
        <v>94</v>
      </c>
      <c r="J22" t="str">
        <f t="shared" si="2"/>
        <v>03</v>
      </c>
      <c r="K22" t="str">
        <f t="shared" si="3"/>
        <v>2432</v>
      </c>
      <c r="L22">
        <v>42804</v>
      </c>
      <c r="M22">
        <f t="shared" si="4"/>
        <v>43169</v>
      </c>
      <c r="N22">
        <v>42100</v>
      </c>
    </row>
    <row r="23" spans="1:14" x14ac:dyDescent="0.25">
      <c r="A23" t="s">
        <v>73</v>
      </c>
      <c r="B23" t="s">
        <v>74</v>
      </c>
      <c r="C23" t="s">
        <v>75</v>
      </c>
      <c r="D23" t="s">
        <v>198</v>
      </c>
      <c r="E23" t="str">
        <f t="shared" si="0"/>
        <v>jim.boller@pushpin.com</v>
      </c>
      <c r="F23">
        <v>41893</v>
      </c>
      <c r="G23">
        <f t="shared" ca="1" si="1"/>
        <v>11.330555555555556</v>
      </c>
      <c r="H23" t="s">
        <v>76</v>
      </c>
      <c r="I23" t="s">
        <v>77</v>
      </c>
      <c r="J23" t="str">
        <f t="shared" si="2"/>
        <v>03</v>
      </c>
      <c r="K23" t="str">
        <f t="shared" si="3"/>
        <v>2318</v>
      </c>
      <c r="L23">
        <v>42835</v>
      </c>
      <c r="M23">
        <f t="shared" si="4"/>
        <v>43200</v>
      </c>
      <c r="N23">
        <v>62800</v>
      </c>
    </row>
    <row r="24" spans="1:14" x14ac:dyDescent="0.25">
      <c r="A24" t="s">
        <v>78</v>
      </c>
      <c r="B24" t="s">
        <v>79</v>
      </c>
      <c r="C24" t="s">
        <v>80</v>
      </c>
      <c r="D24" t="s">
        <v>198</v>
      </c>
      <c r="E24" t="str">
        <f t="shared" si="0"/>
        <v>charlie.bui@pushpin.com</v>
      </c>
      <c r="F24">
        <v>41903</v>
      </c>
      <c r="G24">
        <f t="shared" ca="1" si="1"/>
        <v>11.302777777777777</v>
      </c>
      <c r="H24" t="s">
        <v>53</v>
      </c>
      <c r="I24" t="s">
        <v>81</v>
      </c>
      <c r="J24" t="str">
        <f t="shared" si="2"/>
        <v>02</v>
      </c>
      <c r="K24" t="str">
        <f t="shared" si="3"/>
        <v>2694</v>
      </c>
      <c r="L24">
        <v>42828</v>
      </c>
      <c r="M24">
        <f t="shared" si="4"/>
        <v>43193</v>
      </c>
      <c r="N24">
        <v>54700</v>
      </c>
    </row>
    <row r="25" spans="1:14" x14ac:dyDescent="0.25">
      <c r="A25" t="s">
        <v>60</v>
      </c>
      <c r="B25" t="s">
        <v>61</v>
      </c>
      <c r="C25" t="s">
        <v>62</v>
      </c>
      <c r="D25" t="s">
        <v>198</v>
      </c>
      <c r="E25" t="str">
        <f t="shared" si="0"/>
        <v>connor.betts@pushpin.com</v>
      </c>
      <c r="F25">
        <v>41956</v>
      </c>
      <c r="G25">
        <f t="shared" ca="1" si="1"/>
        <v>11.158333333333333</v>
      </c>
      <c r="H25" t="s">
        <v>53</v>
      </c>
      <c r="I25" t="s">
        <v>63</v>
      </c>
      <c r="J25" t="str">
        <f t="shared" si="2"/>
        <v>02</v>
      </c>
      <c r="K25" t="str">
        <f t="shared" si="3"/>
        <v>2347</v>
      </c>
      <c r="L25">
        <v>42848</v>
      </c>
      <c r="M25">
        <f t="shared" si="4"/>
        <v>43213</v>
      </c>
      <c r="N25">
        <v>52600</v>
      </c>
    </row>
    <row r="26" spans="1:14" x14ac:dyDescent="0.25">
      <c r="A26" t="s">
        <v>116</v>
      </c>
      <c r="B26" t="s">
        <v>113</v>
      </c>
      <c r="C26" t="s">
        <v>117</v>
      </c>
      <c r="D26" t="s">
        <v>199</v>
      </c>
      <c r="E26" t="str">
        <f t="shared" si="0"/>
        <v>anna.clark@pushpin.com</v>
      </c>
      <c r="F26">
        <v>41989</v>
      </c>
      <c r="G26">
        <f t="shared" ca="1" si="1"/>
        <v>11.066666666666666</v>
      </c>
      <c r="H26" t="s">
        <v>76</v>
      </c>
      <c r="I26" t="s">
        <v>118</v>
      </c>
      <c r="J26" t="str">
        <f t="shared" si="2"/>
        <v>03</v>
      </c>
      <c r="K26" t="str">
        <f t="shared" si="3"/>
        <v>2601</v>
      </c>
      <c r="L26">
        <v>42731</v>
      </c>
      <c r="M26">
        <f t="shared" si="4"/>
        <v>43096</v>
      </c>
      <c r="N26">
        <v>58500</v>
      </c>
    </row>
    <row r="27" spans="1:14" x14ac:dyDescent="0.25">
      <c r="A27" t="s">
        <v>190</v>
      </c>
      <c r="B27" t="s">
        <v>191</v>
      </c>
      <c r="C27" t="s">
        <v>192</v>
      </c>
      <c r="D27" t="s">
        <v>199</v>
      </c>
      <c r="E27" t="str">
        <f t="shared" si="0"/>
        <v>aanya.zhang@pushpin.com</v>
      </c>
      <c r="F27">
        <v>42002</v>
      </c>
      <c r="G27">
        <f t="shared" ca="1" si="1"/>
        <v>11.030555555555555</v>
      </c>
      <c r="H27" t="s">
        <v>53</v>
      </c>
      <c r="I27" t="s">
        <v>193</v>
      </c>
      <c r="J27" t="str">
        <f t="shared" si="2"/>
        <v>02</v>
      </c>
      <c r="K27" t="str">
        <f t="shared" si="3"/>
        <v>2793</v>
      </c>
      <c r="L27">
        <v>42540</v>
      </c>
      <c r="M27">
        <f t="shared" si="4"/>
        <v>42905</v>
      </c>
      <c r="N27">
        <v>46500</v>
      </c>
    </row>
    <row r="28" spans="1:14" x14ac:dyDescent="0.25">
      <c r="A28" t="s">
        <v>158</v>
      </c>
      <c r="B28" t="s">
        <v>159</v>
      </c>
      <c r="C28" t="s">
        <v>160</v>
      </c>
      <c r="D28" t="s">
        <v>198</v>
      </c>
      <c r="E28" t="str">
        <f t="shared" si="0"/>
        <v>leighton.forrest@pushpin.com</v>
      </c>
      <c r="F28">
        <v>42120</v>
      </c>
      <c r="G28">
        <f t="shared" ca="1" si="1"/>
        <v>10.705555555555556</v>
      </c>
      <c r="H28" t="s">
        <v>53</v>
      </c>
      <c r="I28" t="s">
        <v>161</v>
      </c>
      <c r="J28" t="str">
        <f t="shared" si="2"/>
        <v>02</v>
      </c>
      <c r="K28" t="str">
        <f t="shared" si="3"/>
        <v>2284</v>
      </c>
      <c r="L28">
        <v>42586</v>
      </c>
      <c r="M28">
        <f t="shared" si="4"/>
        <v>42951</v>
      </c>
      <c r="N28">
        <v>56200</v>
      </c>
    </row>
    <row r="29" spans="1:14" x14ac:dyDescent="0.25">
      <c r="A29" t="s">
        <v>134</v>
      </c>
      <c r="B29" t="s">
        <v>135</v>
      </c>
      <c r="C29" t="s">
        <v>136</v>
      </c>
      <c r="D29" t="s">
        <v>199</v>
      </c>
      <c r="E29" t="str">
        <f t="shared" si="0"/>
        <v>alexandra.donnell@pushpin.com</v>
      </c>
      <c r="F29">
        <v>42228</v>
      </c>
      <c r="G29">
        <f t="shared" ca="1" si="1"/>
        <v>10.411111111111111</v>
      </c>
      <c r="H29" t="s">
        <v>76</v>
      </c>
      <c r="I29" t="s">
        <v>137</v>
      </c>
      <c r="J29" t="str">
        <f t="shared" si="2"/>
        <v>03</v>
      </c>
      <c r="K29" t="str">
        <f t="shared" si="3"/>
        <v>2082</v>
      </c>
      <c r="L29">
        <v>42629</v>
      </c>
      <c r="M29">
        <f t="shared" si="4"/>
        <v>42994</v>
      </c>
      <c r="N29">
        <v>54900</v>
      </c>
    </row>
    <row r="30" spans="1:14" x14ac:dyDescent="0.25">
      <c r="A30" t="s">
        <v>64</v>
      </c>
      <c r="B30" t="s">
        <v>65</v>
      </c>
      <c r="C30" t="s">
        <v>66</v>
      </c>
      <c r="D30" t="s">
        <v>198</v>
      </c>
      <c r="E30" t="str">
        <f t="shared" si="0"/>
        <v>carlos.martinez@pushpin.com</v>
      </c>
      <c r="F30">
        <v>42229</v>
      </c>
      <c r="G30">
        <f t="shared" ca="1" si="1"/>
        <v>10.408333333333333</v>
      </c>
      <c r="H30" t="s">
        <v>67</v>
      </c>
      <c r="I30" t="s">
        <v>68</v>
      </c>
      <c r="J30" t="str">
        <f t="shared" si="2"/>
        <v>03</v>
      </c>
      <c r="K30" t="str">
        <f t="shared" si="3"/>
        <v>2764</v>
      </c>
      <c r="L30">
        <v>42845</v>
      </c>
      <c r="M30">
        <f t="shared" si="4"/>
        <v>43210</v>
      </c>
      <c r="N30">
        <v>47900</v>
      </c>
    </row>
    <row r="31" spans="1:14" x14ac:dyDescent="0.25">
      <c r="A31" t="s">
        <v>182</v>
      </c>
      <c r="B31" t="s">
        <v>175</v>
      </c>
      <c r="C31" t="s">
        <v>202</v>
      </c>
      <c r="D31" t="s">
        <v>198</v>
      </c>
      <c r="E31" t="str">
        <f t="shared" si="0"/>
        <v>peter.staples@pushpin.com</v>
      </c>
      <c r="F31">
        <v>42321</v>
      </c>
      <c r="G31">
        <f t="shared" ca="1" si="1"/>
        <v>10.158333333333333</v>
      </c>
      <c r="H31" t="s">
        <v>53</v>
      </c>
      <c r="I31" t="s">
        <v>185</v>
      </c>
      <c r="J31" t="str">
        <f t="shared" si="2"/>
        <v>02</v>
      </c>
      <c r="K31" t="str">
        <f t="shared" si="3"/>
        <v>2654</v>
      </c>
      <c r="L31">
        <v>42551</v>
      </c>
      <c r="M31">
        <f t="shared" si="4"/>
        <v>42916</v>
      </c>
      <c r="N31">
        <v>49600</v>
      </c>
    </row>
    <row r="32" spans="1:14" x14ac:dyDescent="0.25">
      <c r="A32" t="s">
        <v>174</v>
      </c>
      <c r="B32" t="s">
        <v>183</v>
      </c>
      <c r="C32" t="s">
        <v>176</v>
      </c>
      <c r="D32" t="s">
        <v>199</v>
      </c>
      <c r="E32" t="str">
        <f t="shared" si="0"/>
        <v>radhya.senome@pushpin.com</v>
      </c>
      <c r="F32">
        <v>42324</v>
      </c>
      <c r="G32">
        <f t="shared" ca="1" si="1"/>
        <v>10.15</v>
      </c>
      <c r="H32" t="s">
        <v>53</v>
      </c>
      <c r="I32" t="s">
        <v>177</v>
      </c>
      <c r="J32" t="str">
        <f t="shared" si="2"/>
        <v>02</v>
      </c>
      <c r="K32" t="str">
        <f t="shared" si="3"/>
        <v>2260</v>
      </c>
      <c r="L32">
        <v>42563</v>
      </c>
      <c r="M32">
        <f t="shared" si="4"/>
        <v>42928</v>
      </c>
      <c r="N32">
        <v>35600</v>
      </c>
    </row>
    <row r="33" spans="1:14" x14ac:dyDescent="0.25">
      <c r="A33" t="s">
        <v>138</v>
      </c>
      <c r="B33" t="s">
        <v>139</v>
      </c>
      <c r="C33" t="s">
        <v>140</v>
      </c>
      <c r="D33" t="s">
        <v>198</v>
      </c>
      <c r="E33" t="str">
        <f t="shared" si="0"/>
        <v>mark.ellis@pushpin.com</v>
      </c>
      <c r="F33">
        <v>42371</v>
      </c>
      <c r="G33">
        <f t="shared" ca="1" si="1"/>
        <v>10.022222222222222</v>
      </c>
      <c r="H33" t="s">
        <v>106</v>
      </c>
      <c r="I33" t="s">
        <v>141</v>
      </c>
      <c r="J33" t="str">
        <f t="shared" si="2"/>
        <v>03</v>
      </c>
      <c r="K33" t="str">
        <f t="shared" si="3"/>
        <v>2482</v>
      </c>
      <c r="L33">
        <v>42619</v>
      </c>
      <c r="M33">
        <f t="shared" si="4"/>
        <v>42984</v>
      </c>
      <c r="N33">
        <v>58500</v>
      </c>
    </row>
    <row r="34" spans="1:14" x14ac:dyDescent="0.25">
      <c r="A34" t="s">
        <v>69</v>
      </c>
      <c r="B34" t="s">
        <v>70</v>
      </c>
      <c r="C34" t="s">
        <v>71</v>
      </c>
      <c r="D34" t="s">
        <v>199</v>
      </c>
      <c r="E34" t="str">
        <f t="shared" si="0"/>
        <v>yvette.biti@pushpin.com</v>
      </c>
      <c r="F34">
        <v>42384</v>
      </c>
      <c r="G34">
        <f t="shared" ca="1" si="1"/>
        <v>9.9861111111111107</v>
      </c>
      <c r="H34" t="s">
        <v>53</v>
      </c>
      <c r="I34" t="s">
        <v>72</v>
      </c>
      <c r="J34" t="str">
        <f t="shared" si="2"/>
        <v>02</v>
      </c>
      <c r="K34" t="str">
        <f t="shared" si="3"/>
        <v>2589</v>
      </c>
      <c r="L34">
        <v>42839</v>
      </c>
      <c r="M34">
        <f t="shared" si="4"/>
        <v>43204</v>
      </c>
      <c r="N34">
        <v>51400</v>
      </c>
    </row>
    <row r="35" spans="1:14" x14ac:dyDescent="0.25">
      <c r="A35" t="s">
        <v>170</v>
      </c>
      <c r="B35" t="s">
        <v>171</v>
      </c>
      <c r="C35" t="s">
        <v>172</v>
      </c>
      <c r="D35" t="s">
        <v>198</v>
      </c>
      <c r="E35" t="str">
        <f t="shared" si="0"/>
        <v>sean.sanders@pushpin.com</v>
      </c>
      <c r="F35">
        <v>42691</v>
      </c>
      <c r="G35">
        <f t="shared" ca="1" si="1"/>
        <v>9.1472222222222221</v>
      </c>
      <c r="H35" t="s">
        <v>67</v>
      </c>
      <c r="I35" t="s">
        <v>173</v>
      </c>
      <c r="J35" t="str">
        <f t="shared" si="2"/>
        <v>03</v>
      </c>
      <c r="K35" t="str">
        <f t="shared" si="3"/>
        <v>2765</v>
      </c>
      <c r="L35">
        <v>42566</v>
      </c>
      <c r="M35">
        <f t="shared" si="4"/>
        <v>42931</v>
      </c>
      <c r="N35">
        <v>38600</v>
      </c>
    </row>
    <row r="36" spans="1:14" x14ac:dyDescent="0.25">
      <c r="A36" t="s">
        <v>162</v>
      </c>
      <c r="B36" t="s">
        <v>163</v>
      </c>
      <c r="C36" t="s">
        <v>164</v>
      </c>
      <c r="D36" t="s">
        <v>199</v>
      </c>
      <c r="E36" t="str">
        <f t="shared" si="0"/>
        <v>phoebe.gour@pushpin.com</v>
      </c>
      <c r="F36">
        <v>42721</v>
      </c>
      <c r="G36">
        <f t="shared" ca="1" si="1"/>
        <v>9.0638888888888882</v>
      </c>
      <c r="H36" t="s">
        <v>53</v>
      </c>
      <c r="I36" t="s">
        <v>165</v>
      </c>
      <c r="J36" t="str">
        <f t="shared" si="2"/>
        <v>02</v>
      </c>
      <c r="K36" t="str">
        <f t="shared" si="3"/>
        <v>2910</v>
      </c>
      <c r="L36">
        <v>42539</v>
      </c>
      <c r="M36">
        <f t="shared" si="4"/>
        <v>42904</v>
      </c>
      <c r="N36">
        <v>40500</v>
      </c>
    </row>
    <row r="37" spans="1:14" x14ac:dyDescent="0.25">
      <c r="A37" t="s">
        <v>186</v>
      </c>
      <c r="B37" t="s">
        <v>187</v>
      </c>
      <c r="C37" t="s">
        <v>188</v>
      </c>
      <c r="D37" t="s">
        <v>199</v>
      </c>
      <c r="E37" t="str">
        <f t="shared" si="0"/>
        <v>mei.wang@pushpin.com</v>
      </c>
      <c r="F37">
        <v>40188</v>
      </c>
      <c r="G37">
        <f t="shared" ca="1" si="1"/>
        <v>16</v>
      </c>
      <c r="H37" t="s">
        <v>89</v>
      </c>
      <c r="I37" t="s">
        <v>189</v>
      </c>
      <c r="J37" t="str">
        <f t="shared" si="2"/>
        <v>01</v>
      </c>
      <c r="K37" t="str">
        <f t="shared" si="3"/>
        <v>2783</v>
      </c>
      <c r="L37">
        <v>42544</v>
      </c>
      <c r="M37">
        <f t="shared" si="4"/>
        <v>42909</v>
      </c>
      <c r="N37">
        <v>96400</v>
      </c>
    </row>
    <row r="38" spans="1:14" x14ac:dyDescent="0.25">
      <c r="A38" t="s">
        <v>112</v>
      </c>
      <c r="B38" t="s">
        <v>113</v>
      </c>
      <c r="C38" t="s">
        <v>114</v>
      </c>
      <c r="D38" t="s">
        <v>199</v>
      </c>
      <c r="E38" t="str">
        <f t="shared" si="0"/>
        <v>elizabeth.clark@pushpin.com</v>
      </c>
      <c r="F38">
        <v>42874</v>
      </c>
      <c r="G38">
        <f t="shared" ca="1" si="1"/>
        <v>8.6416666666666675</v>
      </c>
      <c r="H38" t="s">
        <v>58</v>
      </c>
      <c r="I38" t="s">
        <v>115</v>
      </c>
      <c r="J38" t="str">
        <f t="shared" si="2"/>
        <v>02</v>
      </c>
      <c r="K38" t="str">
        <f t="shared" si="3"/>
        <v>2414</v>
      </c>
      <c r="L38">
        <v>42720</v>
      </c>
      <c r="M38">
        <f t="shared" si="4"/>
        <v>43085</v>
      </c>
      <c r="N38">
        <v>37000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1A85-A267-4B10-937F-E47D626C969B}">
  <dimension ref="A1:A6"/>
  <sheetViews>
    <sheetView workbookViewId="0">
      <selection activeCell="F53" activeCellId="1" sqref="P12 F53"/>
    </sheetView>
  </sheetViews>
  <sheetFormatPr defaultRowHeight="12" x14ac:dyDescent="0.25"/>
  <cols>
    <col min="1" max="1" width="38.140625" customWidth="1"/>
    <col min="2" max="2" width="23" customWidth="1"/>
  </cols>
  <sheetData>
    <row r="1" spans="1:1" x14ac:dyDescent="0.25">
      <c r="A1" t="s">
        <v>34</v>
      </c>
    </row>
    <row r="3" spans="1:1" ht="22.35" customHeight="1" x14ac:dyDescent="0.25">
      <c r="A3" t="s">
        <v>203</v>
      </c>
    </row>
    <row r="4" spans="1:1" ht="22.35" customHeight="1" x14ac:dyDescent="0.25">
      <c r="A4" t="s">
        <v>204</v>
      </c>
    </row>
    <row r="5" spans="1:1" ht="22.35" customHeight="1" x14ac:dyDescent="0.25">
      <c r="A5" t="s">
        <v>205</v>
      </c>
    </row>
    <row r="6" spans="1:1" ht="22.35" customHeight="1" x14ac:dyDescent="0.25">
      <c r="A6" t="s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9AEC-81F4-48F8-A3B3-F7DCE79CB3D1}">
  <dimension ref="A1:Y1044"/>
  <sheetViews>
    <sheetView zoomScaleNormal="100" workbookViewId="0">
      <pane xSplit="2" ySplit="5" topLeftCell="C6" activePane="bottomRight" state="frozen"/>
      <selection activeCell="F53" activeCellId="1" sqref="P12 F53"/>
      <selection pane="topRight" activeCell="F53" activeCellId="1" sqref="P12 F53"/>
      <selection pane="bottomLeft" activeCell="F53" activeCellId="1" sqref="P12 F53"/>
      <selection pane="bottomRight" activeCell="F53" activeCellId="1" sqref="P12 F53"/>
    </sheetView>
  </sheetViews>
  <sheetFormatPr defaultColWidth="11.42578125" defaultRowHeight="12" x14ac:dyDescent="0.25"/>
  <cols>
    <col min="1" max="1" width="12.85546875" customWidth="1"/>
    <col min="2" max="2" width="17.140625" customWidth="1"/>
    <col min="3" max="3" width="12.28515625" customWidth="1"/>
    <col min="4" max="4" width="24.140625" hidden="1" customWidth="1"/>
    <col min="5" max="5" width="35.140625" hidden="1" customWidth="1"/>
    <col min="6" max="6" width="13.42578125" hidden="1" customWidth="1"/>
    <col min="7" max="7" width="11.5703125" customWidth="1"/>
    <col min="8" max="8" width="19.140625" customWidth="1"/>
    <col min="9" max="9" width="22" customWidth="1"/>
    <col min="10" max="10" width="19.28515625" customWidth="1"/>
    <col min="11" max="11" width="34.85546875" customWidth="1"/>
    <col min="12" max="12" width="23.7109375" customWidth="1"/>
    <col min="13" max="13" width="24.42578125" customWidth="1"/>
    <col min="14" max="14" width="16" customWidth="1"/>
    <col min="15" max="15" width="14.5703125" customWidth="1"/>
    <col min="16" max="16" width="15.42578125" customWidth="1"/>
    <col min="17" max="18" width="16.42578125" customWidth="1"/>
    <col min="19" max="19" width="19" customWidth="1"/>
    <col min="20" max="20" width="15.5703125" customWidth="1"/>
    <col min="21" max="22" width="13.7109375" customWidth="1"/>
    <col min="23" max="23" width="16.140625" customWidth="1"/>
    <col min="24" max="24" width="18.5703125" customWidth="1"/>
    <col min="25" max="25" width="13.28515625" customWidth="1"/>
  </cols>
  <sheetData>
    <row r="1" spans="1:25" ht="33.9" customHeight="1" x14ac:dyDescent="0.25">
      <c r="A1" t="s">
        <v>207</v>
      </c>
    </row>
    <row r="5" spans="1:25" ht="18" customHeight="1" x14ac:dyDescent="0.25">
      <c r="A5" t="s">
        <v>211</v>
      </c>
      <c r="B5" t="s">
        <v>212</v>
      </c>
      <c r="C5" t="s">
        <v>213</v>
      </c>
      <c r="D5" t="s">
        <v>214</v>
      </c>
      <c r="E5" t="s">
        <v>215</v>
      </c>
      <c r="F5" t="s">
        <v>216</v>
      </c>
      <c r="G5" t="s">
        <v>217</v>
      </c>
      <c r="H5" t="s">
        <v>218</v>
      </c>
      <c r="I5" t="s">
        <v>219</v>
      </c>
      <c r="J5" t="s">
        <v>220</v>
      </c>
      <c r="K5" t="s">
        <v>221</v>
      </c>
      <c r="L5" t="s">
        <v>222</v>
      </c>
      <c r="M5" t="s">
        <v>223</v>
      </c>
      <c r="N5" t="s">
        <v>224</v>
      </c>
      <c r="O5" t="s">
        <v>225</v>
      </c>
      <c r="P5" t="s">
        <v>226</v>
      </c>
      <c r="Q5" t="s">
        <v>227</v>
      </c>
      <c r="R5" t="s">
        <v>228</v>
      </c>
      <c r="S5" t="s">
        <v>229</v>
      </c>
      <c r="T5" t="s">
        <v>230</v>
      </c>
      <c r="U5" t="s">
        <v>231</v>
      </c>
      <c r="V5" t="s">
        <v>232</v>
      </c>
      <c r="W5" t="s">
        <v>233</v>
      </c>
      <c r="X5" t="s">
        <v>234</v>
      </c>
      <c r="Y5" t="s">
        <v>235</v>
      </c>
    </row>
    <row r="6" spans="1:25" x14ac:dyDescent="0.25">
      <c r="A6" t="s">
        <v>236</v>
      </c>
      <c r="B6">
        <v>41316</v>
      </c>
      <c r="C6" t="str">
        <f t="shared" ref="C6:C69" si="0">TEXT(B6,"yyyy")</f>
        <v>2013</v>
      </c>
      <c r="D6" t="s">
        <v>237</v>
      </c>
      <c r="E6" t="s">
        <v>238</v>
      </c>
      <c r="F6" t="s">
        <v>239</v>
      </c>
      <c r="G6" t="s">
        <v>240</v>
      </c>
      <c r="H6" t="s">
        <v>241</v>
      </c>
      <c r="I6" t="s">
        <v>242</v>
      </c>
      <c r="J6" t="s">
        <v>243</v>
      </c>
      <c r="K6" t="s">
        <v>244</v>
      </c>
      <c r="L6" t="s">
        <v>245</v>
      </c>
      <c r="M6" t="s">
        <v>246</v>
      </c>
      <c r="N6" t="s">
        <v>247</v>
      </c>
      <c r="O6">
        <v>41317</v>
      </c>
      <c r="P6">
        <v>3.52</v>
      </c>
      <c r="Q6">
        <v>5.58</v>
      </c>
      <c r="R6">
        <f t="shared" ref="R6:R69" si="1">Q6-P6</f>
        <v>2.06</v>
      </c>
      <c r="S6">
        <v>29</v>
      </c>
      <c r="T6">
        <f t="shared" ref="T6:T69" si="2">Q6*S6</f>
        <v>161.82</v>
      </c>
      <c r="U6">
        <v>0.03</v>
      </c>
      <c r="V6">
        <f t="shared" ref="V6:V69" si="3">T6*U6</f>
        <v>4.8545999999999996</v>
      </c>
      <c r="W6">
        <f t="shared" ref="W6:W69" si="4">T6-V6</f>
        <v>156.96539999999999</v>
      </c>
      <c r="X6">
        <v>2.99</v>
      </c>
      <c r="Y6">
        <f t="shared" ref="Y6:Y69" si="5">W6+X6</f>
        <v>159.9554</v>
      </c>
    </row>
    <row r="7" spans="1:25" x14ac:dyDescent="0.25">
      <c r="A7" t="s">
        <v>248</v>
      </c>
      <c r="B7">
        <v>41316</v>
      </c>
      <c r="C7" t="str">
        <f t="shared" si="0"/>
        <v>2013</v>
      </c>
      <c r="D7" t="s">
        <v>249</v>
      </c>
      <c r="E7" t="s">
        <v>250</v>
      </c>
      <c r="F7" t="s">
        <v>239</v>
      </c>
      <c r="G7" t="s">
        <v>240</v>
      </c>
      <c r="H7" t="s">
        <v>241</v>
      </c>
      <c r="I7" t="s">
        <v>251</v>
      </c>
      <c r="J7" t="s">
        <v>243</v>
      </c>
      <c r="K7" t="s">
        <v>252</v>
      </c>
      <c r="L7" t="s">
        <v>245</v>
      </c>
      <c r="M7" t="s">
        <v>253</v>
      </c>
      <c r="N7" t="s">
        <v>247</v>
      </c>
      <c r="O7">
        <v>41317</v>
      </c>
      <c r="P7">
        <v>2.39</v>
      </c>
      <c r="Q7">
        <v>4.26</v>
      </c>
      <c r="R7">
        <f t="shared" si="1"/>
        <v>1.8699999999999997</v>
      </c>
      <c r="S7">
        <v>29</v>
      </c>
      <c r="T7">
        <f t="shared" si="2"/>
        <v>123.53999999999999</v>
      </c>
      <c r="U7">
        <v>0.03</v>
      </c>
      <c r="V7">
        <f t="shared" si="3"/>
        <v>3.7061999999999995</v>
      </c>
      <c r="W7">
        <f t="shared" si="4"/>
        <v>119.8338</v>
      </c>
      <c r="X7">
        <v>1.2</v>
      </c>
      <c r="Y7">
        <f t="shared" si="5"/>
        <v>121.0338</v>
      </c>
    </row>
    <row r="8" spans="1:25" x14ac:dyDescent="0.25">
      <c r="A8" t="s">
        <v>254</v>
      </c>
      <c r="B8">
        <v>41317</v>
      </c>
      <c r="C8" t="str">
        <f t="shared" si="0"/>
        <v>2013</v>
      </c>
      <c r="D8" t="s">
        <v>255</v>
      </c>
      <c r="E8" t="s">
        <v>256</v>
      </c>
      <c r="F8" t="s">
        <v>257</v>
      </c>
      <c r="G8" t="s">
        <v>258</v>
      </c>
      <c r="H8" t="s">
        <v>259</v>
      </c>
      <c r="I8" t="s">
        <v>260</v>
      </c>
      <c r="J8" t="s">
        <v>261</v>
      </c>
      <c r="K8" t="s">
        <v>262</v>
      </c>
      <c r="L8" t="s">
        <v>245</v>
      </c>
      <c r="M8" t="s">
        <v>253</v>
      </c>
      <c r="N8" t="s">
        <v>263</v>
      </c>
      <c r="O8">
        <v>41319</v>
      </c>
      <c r="P8">
        <v>2.41</v>
      </c>
      <c r="Q8">
        <v>3.71</v>
      </c>
      <c r="R8">
        <f t="shared" si="1"/>
        <v>1.2999999999999998</v>
      </c>
      <c r="S8">
        <v>42</v>
      </c>
      <c r="T8">
        <f t="shared" si="2"/>
        <v>155.82</v>
      </c>
      <c r="U8">
        <v>7.0000000000000007E-2</v>
      </c>
      <c r="V8">
        <f t="shared" si="3"/>
        <v>10.907400000000001</v>
      </c>
      <c r="W8">
        <f t="shared" si="4"/>
        <v>144.9126</v>
      </c>
      <c r="X8">
        <v>1.93</v>
      </c>
      <c r="Y8">
        <f t="shared" si="5"/>
        <v>146.8426</v>
      </c>
    </row>
    <row r="9" spans="1:25" x14ac:dyDescent="0.25">
      <c r="A9" t="s">
        <v>264</v>
      </c>
      <c r="B9">
        <v>41318</v>
      </c>
      <c r="C9" t="str">
        <f t="shared" si="0"/>
        <v>2013</v>
      </c>
      <c r="D9" t="s">
        <v>265</v>
      </c>
      <c r="E9" t="s">
        <v>266</v>
      </c>
      <c r="F9" t="s">
        <v>239</v>
      </c>
      <c r="G9" t="s">
        <v>240</v>
      </c>
      <c r="H9" t="s">
        <v>241</v>
      </c>
      <c r="I9" t="s">
        <v>242</v>
      </c>
      <c r="J9" t="s">
        <v>243</v>
      </c>
      <c r="K9" t="s">
        <v>267</v>
      </c>
      <c r="L9" t="s">
        <v>268</v>
      </c>
      <c r="M9" t="s">
        <v>269</v>
      </c>
      <c r="N9" t="s">
        <v>270</v>
      </c>
      <c r="O9">
        <v>41320</v>
      </c>
      <c r="P9">
        <v>75</v>
      </c>
      <c r="Q9">
        <v>120.97</v>
      </c>
      <c r="R9">
        <f t="shared" si="1"/>
        <v>45.97</v>
      </c>
      <c r="S9">
        <v>6</v>
      </c>
      <c r="T9">
        <f t="shared" si="2"/>
        <v>725.81999999999994</v>
      </c>
      <c r="U9">
        <v>0.08</v>
      </c>
      <c r="V9">
        <f t="shared" si="3"/>
        <v>58.065599999999996</v>
      </c>
      <c r="W9">
        <f t="shared" si="4"/>
        <v>667.75439999999992</v>
      </c>
      <c r="X9">
        <v>26.3</v>
      </c>
      <c r="Y9">
        <f t="shared" si="5"/>
        <v>694.05439999999987</v>
      </c>
    </row>
    <row r="10" spans="1:25" x14ac:dyDescent="0.25">
      <c r="A10" t="s">
        <v>271</v>
      </c>
      <c r="B10">
        <v>41319</v>
      </c>
      <c r="C10" t="str">
        <f t="shared" si="0"/>
        <v>2013</v>
      </c>
      <c r="D10" t="s">
        <v>272</v>
      </c>
      <c r="E10" t="s">
        <v>273</v>
      </c>
      <c r="F10" t="s">
        <v>257</v>
      </c>
      <c r="G10" t="s">
        <v>258</v>
      </c>
      <c r="H10" t="s">
        <v>274</v>
      </c>
      <c r="I10" t="s">
        <v>275</v>
      </c>
      <c r="J10" t="s">
        <v>261</v>
      </c>
      <c r="K10" t="s">
        <v>276</v>
      </c>
      <c r="L10" t="s">
        <v>245</v>
      </c>
      <c r="M10" t="s">
        <v>253</v>
      </c>
      <c r="N10" t="s">
        <v>247</v>
      </c>
      <c r="O10">
        <v>41320</v>
      </c>
      <c r="P10">
        <v>0.9</v>
      </c>
      <c r="Q10">
        <v>2.1</v>
      </c>
      <c r="R10">
        <f t="shared" si="1"/>
        <v>1.2000000000000002</v>
      </c>
      <c r="S10">
        <v>17</v>
      </c>
      <c r="T10">
        <f t="shared" si="2"/>
        <v>35.700000000000003</v>
      </c>
      <c r="U10">
        <v>0.03</v>
      </c>
      <c r="V10">
        <f t="shared" si="3"/>
        <v>1.071</v>
      </c>
      <c r="W10">
        <f t="shared" si="4"/>
        <v>34.629000000000005</v>
      </c>
      <c r="X10">
        <v>0.7</v>
      </c>
      <c r="Y10">
        <f t="shared" si="5"/>
        <v>35.329000000000008</v>
      </c>
    </row>
    <row r="11" spans="1:25" x14ac:dyDescent="0.25">
      <c r="A11" t="s">
        <v>277</v>
      </c>
      <c r="B11">
        <v>41322</v>
      </c>
      <c r="C11" t="str">
        <f t="shared" si="0"/>
        <v>2013</v>
      </c>
      <c r="D11" t="s">
        <v>278</v>
      </c>
      <c r="E11" t="s">
        <v>266</v>
      </c>
      <c r="F11" t="s">
        <v>239</v>
      </c>
      <c r="G11" t="s">
        <v>240</v>
      </c>
      <c r="H11" t="s">
        <v>241</v>
      </c>
      <c r="I11" t="s">
        <v>242</v>
      </c>
      <c r="J11" t="s">
        <v>279</v>
      </c>
      <c r="K11" t="s">
        <v>280</v>
      </c>
      <c r="L11" t="s">
        <v>245</v>
      </c>
      <c r="M11" t="s">
        <v>253</v>
      </c>
      <c r="N11" t="s">
        <v>247</v>
      </c>
      <c r="O11">
        <v>41327</v>
      </c>
      <c r="P11">
        <v>1.0900000000000001</v>
      </c>
      <c r="Q11">
        <v>2.6</v>
      </c>
      <c r="R11">
        <f t="shared" si="1"/>
        <v>1.51</v>
      </c>
      <c r="S11">
        <v>47</v>
      </c>
      <c r="T11">
        <f t="shared" si="2"/>
        <v>122.2</v>
      </c>
      <c r="U11">
        <v>0.1</v>
      </c>
      <c r="V11">
        <f t="shared" si="3"/>
        <v>12.22</v>
      </c>
      <c r="W11">
        <f t="shared" si="4"/>
        <v>109.98</v>
      </c>
      <c r="X11">
        <v>2.4</v>
      </c>
      <c r="Y11">
        <f t="shared" si="5"/>
        <v>112.38000000000001</v>
      </c>
    </row>
    <row r="12" spans="1:25" x14ac:dyDescent="0.25">
      <c r="A12" t="s">
        <v>281</v>
      </c>
      <c r="B12">
        <v>41323</v>
      </c>
      <c r="C12" t="str">
        <f t="shared" si="0"/>
        <v>2013</v>
      </c>
      <c r="D12" t="s">
        <v>282</v>
      </c>
      <c r="E12" t="s">
        <v>283</v>
      </c>
      <c r="F12" t="s">
        <v>257</v>
      </c>
      <c r="G12" t="s">
        <v>258</v>
      </c>
      <c r="H12" t="s">
        <v>259</v>
      </c>
      <c r="I12" t="s">
        <v>284</v>
      </c>
      <c r="J12" t="s">
        <v>261</v>
      </c>
      <c r="K12" t="s">
        <v>285</v>
      </c>
      <c r="L12" t="s">
        <v>245</v>
      </c>
      <c r="M12" t="s">
        <v>246</v>
      </c>
      <c r="N12" t="s">
        <v>247</v>
      </c>
      <c r="O12">
        <v>41325</v>
      </c>
      <c r="P12">
        <v>99.39</v>
      </c>
      <c r="Q12">
        <v>162.93</v>
      </c>
      <c r="R12">
        <f t="shared" si="1"/>
        <v>63.540000000000006</v>
      </c>
      <c r="S12">
        <v>32</v>
      </c>
      <c r="T12">
        <f t="shared" si="2"/>
        <v>5213.76</v>
      </c>
      <c r="U12">
        <v>0.09</v>
      </c>
      <c r="V12">
        <f t="shared" si="3"/>
        <v>469.23840000000001</v>
      </c>
      <c r="W12">
        <f t="shared" si="4"/>
        <v>4744.5216</v>
      </c>
      <c r="X12">
        <v>19.989999999999998</v>
      </c>
      <c r="Y12">
        <f t="shared" si="5"/>
        <v>4764.5115999999998</v>
      </c>
    </row>
    <row r="13" spans="1:25" x14ac:dyDescent="0.25">
      <c r="A13" t="s">
        <v>286</v>
      </c>
      <c r="B13">
        <v>41325</v>
      </c>
      <c r="C13" t="str">
        <f t="shared" si="0"/>
        <v>2013</v>
      </c>
      <c r="D13" t="s">
        <v>287</v>
      </c>
      <c r="E13" t="s">
        <v>288</v>
      </c>
      <c r="F13" t="s">
        <v>257</v>
      </c>
      <c r="G13" t="s">
        <v>258</v>
      </c>
      <c r="H13" t="s">
        <v>274</v>
      </c>
      <c r="I13" t="s">
        <v>284</v>
      </c>
      <c r="J13" t="s">
        <v>261</v>
      </c>
      <c r="K13" t="s">
        <v>289</v>
      </c>
      <c r="L13" t="s">
        <v>245</v>
      </c>
      <c r="M13" t="s">
        <v>253</v>
      </c>
      <c r="N13" t="s">
        <v>247</v>
      </c>
      <c r="O13">
        <v>41327</v>
      </c>
      <c r="P13">
        <v>1.0900000000000001</v>
      </c>
      <c r="Q13">
        <v>1.68</v>
      </c>
      <c r="R13">
        <f t="shared" si="1"/>
        <v>0.58999999999999986</v>
      </c>
      <c r="S13">
        <v>33</v>
      </c>
      <c r="T13">
        <f t="shared" si="2"/>
        <v>55.44</v>
      </c>
      <c r="U13">
        <v>0.04</v>
      </c>
      <c r="V13">
        <f t="shared" si="3"/>
        <v>2.2176</v>
      </c>
      <c r="W13">
        <f t="shared" si="4"/>
        <v>53.2224</v>
      </c>
      <c r="X13">
        <v>1</v>
      </c>
      <c r="Y13">
        <f t="shared" si="5"/>
        <v>54.2224</v>
      </c>
    </row>
    <row r="14" spans="1:25" x14ac:dyDescent="0.25">
      <c r="A14" t="s">
        <v>290</v>
      </c>
      <c r="B14">
        <v>41327</v>
      </c>
      <c r="C14" t="str">
        <f t="shared" si="0"/>
        <v>2013</v>
      </c>
      <c r="D14" t="s">
        <v>291</v>
      </c>
      <c r="E14" t="s">
        <v>292</v>
      </c>
      <c r="F14" t="s">
        <v>257</v>
      </c>
      <c r="G14" t="s">
        <v>258</v>
      </c>
      <c r="H14" t="s">
        <v>293</v>
      </c>
      <c r="I14" t="s">
        <v>260</v>
      </c>
      <c r="J14" t="s">
        <v>294</v>
      </c>
      <c r="K14" t="s">
        <v>295</v>
      </c>
      <c r="L14" t="s">
        <v>245</v>
      </c>
      <c r="M14" t="s">
        <v>246</v>
      </c>
      <c r="N14" t="s">
        <v>247</v>
      </c>
      <c r="O14">
        <v>41328</v>
      </c>
      <c r="P14">
        <v>54.29</v>
      </c>
      <c r="Q14">
        <v>90.48</v>
      </c>
      <c r="R14">
        <f t="shared" si="1"/>
        <v>36.190000000000005</v>
      </c>
      <c r="S14">
        <v>8</v>
      </c>
      <c r="T14">
        <f t="shared" si="2"/>
        <v>723.84</v>
      </c>
      <c r="U14">
        <v>7.0000000000000007E-2</v>
      </c>
      <c r="V14">
        <f t="shared" si="3"/>
        <v>50.668800000000005</v>
      </c>
      <c r="W14">
        <f t="shared" si="4"/>
        <v>673.1712</v>
      </c>
      <c r="X14">
        <v>19.989999999999998</v>
      </c>
      <c r="Y14">
        <f t="shared" si="5"/>
        <v>693.16120000000001</v>
      </c>
    </row>
    <row r="15" spans="1:25" x14ac:dyDescent="0.25">
      <c r="A15" t="s">
        <v>296</v>
      </c>
      <c r="B15">
        <v>41328</v>
      </c>
      <c r="C15" t="str">
        <f t="shared" si="0"/>
        <v>2013</v>
      </c>
      <c r="D15" t="s">
        <v>297</v>
      </c>
      <c r="E15" t="s">
        <v>298</v>
      </c>
      <c r="F15" t="s">
        <v>257</v>
      </c>
      <c r="G15" t="s">
        <v>258</v>
      </c>
      <c r="H15" t="s">
        <v>259</v>
      </c>
      <c r="I15" t="s">
        <v>299</v>
      </c>
      <c r="J15" t="s">
        <v>294</v>
      </c>
      <c r="K15" t="s">
        <v>300</v>
      </c>
      <c r="L15" t="s">
        <v>245</v>
      </c>
      <c r="M15" t="s">
        <v>246</v>
      </c>
      <c r="N15" t="s">
        <v>247</v>
      </c>
      <c r="O15">
        <v>41328</v>
      </c>
      <c r="P15">
        <v>5.33</v>
      </c>
      <c r="Q15">
        <v>8.6</v>
      </c>
      <c r="R15">
        <f t="shared" si="1"/>
        <v>3.2699999999999996</v>
      </c>
      <c r="S15">
        <v>48</v>
      </c>
      <c r="T15">
        <f t="shared" si="2"/>
        <v>412.79999999999995</v>
      </c>
      <c r="U15">
        <v>0</v>
      </c>
      <c r="V15">
        <f t="shared" si="3"/>
        <v>0</v>
      </c>
      <c r="W15">
        <f t="shared" si="4"/>
        <v>412.79999999999995</v>
      </c>
      <c r="X15">
        <v>6.19</v>
      </c>
      <c r="Y15">
        <f t="shared" si="5"/>
        <v>418.98999999999995</v>
      </c>
    </row>
    <row r="16" spans="1:25" x14ac:dyDescent="0.25">
      <c r="A16" t="s">
        <v>301</v>
      </c>
      <c r="B16">
        <v>41330</v>
      </c>
      <c r="C16" t="str">
        <f t="shared" si="0"/>
        <v>2013</v>
      </c>
      <c r="D16" t="s">
        <v>302</v>
      </c>
      <c r="E16" t="s">
        <v>303</v>
      </c>
      <c r="F16" t="s">
        <v>239</v>
      </c>
      <c r="G16" t="s">
        <v>240</v>
      </c>
      <c r="H16" t="s">
        <v>259</v>
      </c>
      <c r="I16" t="s">
        <v>251</v>
      </c>
      <c r="J16" t="s">
        <v>304</v>
      </c>
      <c r="K16" t="s">
        <v>305</v>
      </c>
      <c r="L16" t="s">
        <v>245</v>
      </c>
      <c r="M16" t="s">
        <v>246</v>
      </c>
      <c r="N16" t="s">
        <v>247</v>
      </c>
      <c r="O16">
        <v>41332</v>
      </c>
      <c r="P16">
        <v>4.8899999999999997</v>
      </c>
      <c r="Q16">
        <v>7.64</v>
      </c>
      <c r="R16">
        <f t="shared" si="1"/>
        <v>2.75</v>
      </c>
      <c r="S16">
        <v>18</v>
      </c>
      <c r="T16">
        <f t="shared" si="2"/>
        <v>137.51999999999998</v>
      </c>
      <c r="U16">
        <v>0.1</v>
      </c>
      <c r="V16">
        <f t="shared" si="3"/>
        <v>13.751999999999999</v>
      </c>
      <c r="W16">
        <f t="shared" si="4"/>
        <v>123.76799999999999</v>
      </c>
      <c r="X16">
        <v>1.39</v>
      </c>
      <c r="Y16">
        <f t="shared" si="5"/>
        <v>125.15799999999999</v>
      </c>
    </row>
    <row r="17" spans="1:25" x14ac:dyDescent="0.25">
      <c r="A17" t="s">
        <v>306</v>
      </c>
      <c r="B17">
        <v>41330</v>
      </c>
      <c r="C17" t="str">
        <f t="shared" si="0"/>
        <v>2013</v>
      </c>
      <c r="D17" t="s">
        <v>307</v>
      </c>
      <c r="E17" t="s">
        <v>308</v>
      </c>
      <c r="F17" t="s">
        <v>257</v>
      </c>
      <c r="G17" t="s">
        <v>258</v>
      </c>
      <c r="H17" t="s">
        <v>259</v>
      </c>
      <c r="I17" t="s">
        <v>309</v>
      </c>
      <c r="J17" t="s">
        <v>304</v>
      </c>
      <c r="K17" t="s">
        <v>295</v>
      </c>
      <c r="L17" t="s">
        <v>245</v>
      </c>
      <c r="M17" t="s">
        <v>246</v>
      </c>
      <c r="N17" t="s">
        <v>247</v>
      </c>
      <c r="O17">
        <v>41332</v>
      </c>
      <c r="P17">
        <v>54.29</v>
      </c>
      <c r="Q17">
        <v>90.48</v>
      </c>
      <c r="R17">
        <f t="shared" si="1"/>
        <v>36.190000000000005</v>
      </c>
      <c r="S17">
        <v>3</v>
      </c>
      <c r="T17">
        <f t="shared" si="2"/>
        <v>271.44</v>
      </c>
      <c r="U17">
        <v>0.03</v>
      </c>
      <c r="V17">
        <f t="shared" si="3"/>
        <v>8.1432000000000002</v>
      </c>
      <c r="W17">
        <f t="shared" si="4"/>
        <v>263.29680000000002</v>
      </c>
      <c r="X17">
        <v>19.989999999999998</v>
      </c>
      <c r="Y17">
        <f t="shared" si="5"/>
        <v>283.28680000000003</v>
      </c>
    </row>
    <row r="18" spans="1:25" x14ac:dyDescent="0.25">
      <c r="A18" t="s">
        <v>310</v>
      </c>
      <c r="B18">
        <v>41331</v>
      </c>
      <c r="C18" t="str">
        <f t="shared" si="0"/>
        <v>2013</v>
      </c>
      <c r="D18" t="s">
        <v>311</v>
      </c>
      <c r="E18" t="s">
        <v>312</v>
      </c>
      <c r="F18" t="s">
        <v>257</v>
      </c>
      <c r="G18" t="s">
        <v>258</v>
      </c>
      <c r="H18" t="s">
        <v>259</v>
      </c>
      <c r="I18" t="s">
        <v>284</v>
      </c>
      <c r="J18" t="s">
        <v>243</v>
      </c>
      <c r="K18" t="s">
        <v>313</v>
      </c>
      <c r="L18" t="s">
        <v>245</v>
      </c>
      <c r="M18" t="s">
        <v>246</v>
      </c>
      <c r="N18" t="s">
        <v>247</v>
      </c>
      <c r="O18">
        <v>41331</v>
      </c>
      <c r="P18">
        <v>36.020000000000003</v>
      </c>
      <c r="Q18">
        <v>58.1</v>
      </c>
      <c r="R18">
        <f t="shared" si="1"/>
        <v>22.08</v>
      </c>
      <c r="S18">
        <v>50</v>
      </c>
      <c r="T18">
        <f t="shared" si="2"/>
        <v>2905</v>
      </c>
      <c r="U18">
        <v>0.05</v>
      </c>
      <c r="V18">
        <f t="shared" si="3"/>
        <v>145.25</v>
      </c>
      <c r="W18">
        <f t="shared" si="4"/>
        <v>2759.75</v>
      </c>
      <c r="X18">
        <v>1.49</v>
      </c>
      <c r="Y18">
        <f t="shared" si="5"/>
        <v>2761.24</v>
      </c>
    </row>
    <row r="19" spans="1:25" x14ac:dyDescent="0.25">
      <c r="A19" t="s">
        <v>314</v>
      </c>
      <c r="B19">
        <v>41340</v>
      </c>
      <c r="C19" t="str">
        <f t="shared" si="0"/>
        <v>2013</v>
      </c>
      <c r="D19" t="s">
        <v>315</v>
      </c>
      <c r="E19" t="s">
        <v>316</v>
      </c>
      <c r="F19" t="s">
        <v>239</v>
      </c>
      <c r="G19" t="s">
        <v>240</v>
      </c>
      <c r="H19" t="s">
        <v>259</v>
      </c>
      <c r="I19" t="s">
        <v>242</v>
      </c>
      <c r="J19" t="s">
        <v>261</v>
      </c>
      <c r="K19" t="s">
        <v>317</v>
      </c>
      <c r="L19" t="s">
        <v>245</v>
      </c>
      <c r="M19" t="s">
        <v>253</v>
      </c>
      <c r="N19" t="s">
        <v>247</v>
      </c>
      <c r="O19">
        <v>41343</v>
      </c>
      <c r="P19">
        <v>0.71</v>
      </c>
      <c r="Q19">
        <v>1.1399999999999999</v>
      </c>
      <c r="R19">
        <f t="shared" si="1"/>
        <v>0.42999999999999994</v>
      </c>
      <c r="S19">
        <v>50</v>
      </c>
      <c r="T19">
        <f t="shared" si="2"/>
        <v>56.999999999999993</v>
      </c>
      <c r="U19">
        <v>0.06</v>
      </c>
      <c r="V19">
        <f t="shared" si="3"/>
        <v>3.4199999999999995</v>
      </c>
      <c r="W19">
        <f t="shared" si="4"/>
        <v>53.579999999999991</v>
      </c>
      <c r="X19">
        <v>0.7</v>
      </c>
      <c r="Y19">
        <f t="shared" si="5"/>
        <v>54.279999999999994</v>
      </c>
    </row>
    <row r="20" spans="1:25" x14ac:dyDescent="0.25">
      <c r="A20" t="s">
        <v>318</v>
      </c>
      <c r="B20">
        <v>41344</v>
      </c>
      <c r="C20" t="str">
        <f t="shared" si="0"/>
        <v>2013</v>
      </c>
      <c r="D20" t="s">
        <v>319</v>
      </c>
      <c r="E20" t="s">
        <v>320</v>
      </c>
      <c r="F20" t="s">
        <v>257</v>
      </c>
      <c r="G20" t="s">
        <v>258</v>
      </c>
      <c r="H20" t="s">
        <v>241</v>
      </c>
      <c r="I20" t="s">
        <v>321</v>
      </c>
      <c r="J20" t="s">
        <v>261</v>
      </c>
      <c r="K20" t="s">
        <v>322</v>
      </c>
      <c r="L20" t="s">
        <v>245</v>
      </c>
      <c r="M20" t="s">
        <v>323</v>
      </c>
      <c r="N20" t="s">
        <v>247</v>
      </c>
      <c r="O20">
        <v>41346</v>
      </c>
      <c r="P20">
        <v>3.42</v>
      </c>
      <c r="Q20">
        <v>8.34</v>
      </c>
      <c r="R20">
        <f t="shared" si="1"/>
        <v>4.92</v>
      </c>
      <c r="S20">
        <v>16</v>
      </c>
      <c r="T20">
        <f t="shared" si="2"/>
        <v>133.44</v>
      </c>
      <c r="U20">
        <v>0.03</v>
      </c>
      <c r="V20">
        <f t="shared" si="3"/>
        <v>4.0031999999999996</v>
      </c>
      <c r="W20">
        <f t="shared" si="4"/>
        <v>129.43680000000001</v>
      </c>
      <c r="X20">
        <v>2.64</v>
      </c>
      <c r="Y20">
        <f t="shared" si="5"/>
        <v>132.07679999999999</v>
      </c>
    </row>
    <row r="21" spans="1:25" x14ac:dyDescent="0.25">
      <c r="A21" t="s">
        <v>324</v>
      </c>
      <c r="B21">
        <v>41346</v>
      </c>
      <c r="C21" t="str">
        <f t="shared" si="0"/>
        <v>2013</v>
      </c>
      <c r="D21" t="s">
        <v>325</v>
      </c>
      <c r="E21" t="s">
        <v>303</v>
      </c>
      <c r="F21" t="s">
        <v>239</v>
      </c>
      <c r="G21" t="s">
        <v>240</v>
      </c>
      <c r="H21" t="s">
        <v>259</v>
      </c>
      <c r="I21" t="s">
        <v>251</v>
      </c>
      <c r="J21" t="s">
        <v>279</v>
      </c>
      <c r="K21" t="s">
        <v>317</v>
      </c>
      <c r="L21" t="s">
        <v>245</v>
      </c>
      <c r="M21" t="s">
        <v>253</v>
      </c>
      <c r="N21" t="s">
        <v>247</v>
      </c>
      <c r="O21">
        <v>41346</v>
      </c>
      <c r="P21">
        <v>0.71</v>
      </c>
      <c r="Q21">
        <v>1.1399999999999999</v>
      </c>
      <c r="R21">
        <f t="shared" si="1"/>
        <v>0.42999999999999994</v>
      </c>
      <c r="S21">
        <v>38</v>
      </c>
      <c r="T21">
        <f t="shared" si="2"/>
        <v>43.319999999999993</v>
      </c>
      <c r="U21">
        <v>0.02</v>
      </c>
      <c r="V21">
        <f t="shared" si="3"/>
        <v>0.86639999999999984</v>
      </c>
      <c r="W21">
        <f t="shared" si="4"/>
        <v>42.453599999999994</v>
      </c>
      <c r="X21">
        <v>0.7</v>
      </c>
      <c r="Y21">
        <f t="shared" si="5"/>
        <v>43.153599999999997</v>
      </c>
    </row>
    <row r="22" spans="1:25" x14ac:dyDescent="0.25">
      <c r="A22" t="s">
        <v>326</v>
      </c>
      <c r="B22">
        <v>41348</v>
      </c>
      <c r="C22" t="str">
        <f t="shared" si="0"/>
        <v>2013</v>
      </c>
      <c r="D22" t="s">
        <v>327</v>
      </c>
      <c r="E22" t="s">
        <v>328</v>
      </c>
      <c r="F22" t="s">
        <v>257</v>
      </c>
      <c r="G22" t="s">
        <v>258</v>
      </c>
      <c r="H22" t="s">
        <v>259</v>
      </c>
      <c r="I22" t="s">
        <v>299</v>
      </c>
      <c r="J22" t="s">
        <v>304</v>
      </c>
      <c r="K22" t="s">
        <v>329</v>
      </c>
      <c r="L22" t="s">
        <v>245</v>
      </c>
      <c r="M22" t="s">
        <v>246</v>
      </c>
      <c r="N22" t="s">
        <v>247</v>
      </c>
      <c r="O22">
        <v>41349</v>
      </c>
      <c r="P22">
        <v>4.59</v>
      </c>
      <c r="Q22">
        <v>7.28</v>
      </c>
      <c r="R22">
        <f t="shared" si="1"/>
        <v>2.6900000000000004</v>
      </c>
      <c r="S22">
        <v>22</v>
      </c>
      <c r="T22">
        <f t="shared" si="2"/>
        <v>160.16</v>
      </c>
      <c r="U22">
        <v>0.01</v>
      </c>
      <c r="V22">
        <f t="shared" si="3"/>
        <v>1.6015999999999999</v>
      </c>
      <c r="W22">
        <f t="shared" si="4"/>
        <v>158.55840000000001</v>
      </c>
      <c r="X22">
        <v>11.15</v>
      </c>
      <c r="Y22">
        <f t="shared" si="5"/>
        <v>169.70840000000001</v>
      </c>
    </row>
    <row r="23" spans="1:25" x14ac:dyDescent="0.25">
      <c r="A23" t="s">
        <v>330</v>
      </c>
      <c r="B23">
        <v>41349</v>
      </c>
      <c r="C23" t="str">
        <f t="shared" si="0"/>
        <v>2013</v>
      </c>
      <c r="D23" t="s">
        <v>331</v>
      </c>
      <c r="E23" t="s">
        <v>332</v>
      </c>
      <c r="F23" t="s">
        <v>257</v>
      </c>
      <c r="G23" t="s">
        <v>258</v>
      </c>
      <c r="H23" t="s">
        <v>293</v>
      </c>
      <c r="I23" t="s">
        <v>333</v>
      </c>
      <c r="J23" t="s">
        <v>279</v>
      </c>
      <c r="K23" t="s">
        <v>334</v>
      </c>
      <c r="L23" t="s">
        <v>245</v>
      </c>
      <c r="M23" t="s">
        <v>253</v>
      </c>
      <c r="N23" t="s">
        <v>247</v>
      </c>
      <c r="O23">
        <v>41353</v>
      </c>
      <c r="P23">
        <v>1.3</v>
      </c>
      <c r="Q23">
        <v>2.88</v>
      </c>
      <c r="R23">
        <f t="shared" si="1"/>
        <v>1.5799999999999998</v>
      </c>
      <c r="S23">
        <v>48</v>
      </c>
      <c r="T23">
        <f t="shared" si="2"/>
        <v>138.24</v>
      </c>
      <c r="U23">
        <v>7.0000000000000007E-2</v>
      </c>
      <c r="V23">
        <f t="shared" si="3"/>
        <v>9.6768000000000018</v>
      </c>
      <c r="W23">
        <f t="shared" si="4"/>
        <v>128.56319999999999</v>
      </c>
      <c r="X23">
        <v>1.01</v>
      </c>
      <c r="Y23">
        <f t="shared" si="5"/>
        <v>129.57319999999999</v>
      </c>
    </row>
    <row r="24" spans="1:25" x14ac:dyDescent="0.25">
      <c r="A24" t="s">
        <v>335</v>
      </c>
      <c r="B24">
        <v>41356</v>
      </c>
      <c r="C24" t="str">
        <f t="shared" si="0"/>
        <v>2013</v>
      </c>
      <c r="D24" t="s">
        <v>336</v>
      </c>
      <c r="E24" t="s">
        <v>337</v>
      </c>
      <c r="F24" t="s">
        <v>257</v>
      </c>
      <c r="G24" t="s">
        <v>258</v>
      </c>
      <c r="H24" t="s">
        <v>293</v>
      </c>
      <c r="I24" t="s">
        <v>275</v>
      </c>
      <c r="J24" t="s">
        <v>243</v>
      </c>
      <c r="K24" t="s">
        <v>338</v>
      </c>
      <c r="L24" t="s">
        <v>245</v>
      </c>
      <c r="M24" t="s">
        <v>253</v>
      </c>
      <c r="N24" t="s">
        <v>247</v>
      </c>
      <c r="O24">
        <v>41359</v>
      </c>
      <c r="P24">
        <v>1.82</v>
      </c>
      <c r="Q24">
        <v>2.98</v>
      </c>
      <c r="R24">
        <f t="shared" si="1"/>
        <v>1.1599999999999999</v>
      </c>
      <c r="S24">
        <v>22</v>
      </c>
      <c r="T24">
        <f t="shared" si="2"/>
        <v>65.56</v>
      </c>
      <c r="U24">
        <v>0.04</v>
      </c>
      <c r="V24">
        <f t="shared" si="3"/>
        <v>2.6224000000000003</v>
      </c>
      <c r="W24">
        <f t="shared" si="4"/>
        <v>62.937600000000003</v>
      </c>
      <c r="X24">
        <v>1.58</v>
      </c>
      <c r="Y24">
        <f t="shared" si="5"/>
        <v>64.517600000000002</v>
      </c>
    </row>
    <row r="25" spans="1:25" x14ac:dyDescent="0.25">
      <c r="A25" t="s">
        <v>339</v>
      </c>
      <c r="B25">
        <v>41359</v>
      </c>
      <c r="C25" t="str">
        <f t="shared" si="0"/>
        <v>2013</v>
      </c>
      <c r="D25" t="s">
        <v>340</v>
      </c>
      <c r="E25" t="s">
        <v>341</v>
      </c>
      <c r="F25" t="s">
        <v>257</v>
      </c>
      <c r="G25" t="s">
        <v>258</v>
      </c>
      <c r="H25" t="s">
        <v>274</v>
      </c>
      <c r="I25" t="s">
        <v>342</v>
      </c>
      <c r="J25" t="s">
        <v>294</v>
      </c>
      <c r="K25" t="s">
        <v>343</v>
      </c>
      <c r="L25" t="s">
        <v>268</v>
      </c>
      <c r="M25" t="s">
        <v>246</v>
      </c>
      <c r="N25" t="s">
        <v>247</v>
      </c>
      <c r="O25">
        <v>41361</v>
      </c>
      <c r="P25">
        <v>81.59</v>
      </c>
      <c r="Q25">
        <v>159.99</v>
      </c>
      <c r="R25">
        <f t="shared" si="1"/>
        <v>78.400000000000006</v>
      </c>
      <c r="S25">
        <v>30</v>
      </c>
      <c r="T25">
        <f t="shared" si="2"/>
        <v>4799.7000000000007</v>
      </c>
      <c r="U25">
        <v>0.01</v>
      </c>
      <c r="V25">
        <f t="shared" si="3"/>
        <v>47.997000000000007</v>
      </c>
      <c r="W25">
        <f t="shared" si="4"/>
        <v>4751.7030000000004</v>
      </c>
      <c r="X25">
        <v>5.5</v>
      </c>
      <c r="Y25">
        <f t="shared" si="5"/>
        <v>4757.2030000000004</v>
      </c>
    </row>
    <row r="26" spans="1:25" x14ac:dyDescent="0.25">
      <c r="A26" t="s">
        <v>344</v>
      </c>
      <c r="B26">
        <v>41360</v>
      </c>
      <c r="C26" t="str">
        <f t="shared" si="0"/>
        <v>2013</v>
      </c>
      <c r="D26" t="s">
        <v>345</v>
      </c>
      <c r="E26" t="s">
        <v>346</v>
      </c>
      <c r="F26" t="s">
        <v>257</v>
      </c>
      <c r="G26" t="s">
        <v>258</v>
      </c>
      <c r="H26" t="s">
        <v>241</v>
      </c>
      <c r="I26" t="s">
        <v>309</v>
      </c>
      <c r="J26" t="s">
        <v>279</v>
      </c>
      <c r="K26" t="s">
        <v>300</v>
      </c>
      <c r="L26" t="s">
        <v>245</v>
      </c>
      <c r="M26" t="s">
        <v>246</v>
      </c>
      <c r="N26" t="s">
        <v>247</v>
      </c>
      <c r="O26">
        <v>41367</v>
      </c>
      <c r="P26">
        <v>5.33</v>
      </c>
      <c r="Q26">
        <v>8.6</v>
      </c>
      <c r="R26">
        <f t="shared" si="1"/>
        <v>3.2699999999999996</v>
      </c>
      <c r="S26">
        <v>37</v>
      </c>
      <c r="T26">
        <f t="shared" si="2"/>
        <v>318.2</v>
      </c>
      <c r="U26">
        <v>0.04</v>
      </c>
      <c r="V26">
        <f t="shared" si="3"/>
        <v>12.728</v>
      </c>
      <c r="W26">
        <f t="shared" si="4"/>
        <v>305.47199999999998</v>
      </c>
      <c r="X26">
        <v>6.19</v>
      </c>
      <c r="Y26">
        <f t="shared" si="5"/>
        <v>311.66199999999998</v>
      </c>
    </row>
    <row r="27" spans="1:25" x14ac:dyDescent="0.25">
      <c r="A27" t="s">
        <v>347</v>
      </c>
      <c r="B27">
        <v>41360</v>
      </c>
      <c r="C27" t="str">
        <f t="shared" si="0"/>
        <v>2013</v>
      </c>
      <c r="D27" t="s">
        <v>348</v>
      </c>
      <c r="E27" t="s">
        <v>332</v>
      </c>
      <c r="F27" t="s">
        <v>257</v>
      </c>
      <c r="G27" t="s">
        <v>258</v>
      </c>
      <c r="H27" t="s">
        <v>293</v>
      </c>
      <c r="I27" t="s">
        <v>333</v>
      </c>
      <c r="J27" t="s">
        <v>304</v>
      </c>
      <c r="K27" t="s">
        <v>349</v>
      </c>
      <c r="L27" t="s">
        <v>245</v>
      </c>
      <c r="M27" t="s">
        <v>246</v>
      </c>
      <c r="N27" t="s">
        <v>247</v>
      </c>
      <c r="O27">
        <v>41360</v>
      </c>
      <c r="P27">
        <v>3.52</v>
      </c>
      <c r="Q27">
        <v>5.68</v>
      </c>
      <c r="R27">
        <f t="shared" si="1"/>
        <v>2.1599999999999997</v>
      </c>
      <c r="S27">
        <v>24</v>
      </c>
      <c r="T27">
        <f t="shared" si="2"/>
        <v>136.32</v>
      </c>
      <c r="U27">
        <v>0.06</v>
      </c>
      <c r="V27">
        <f t="shared" si="3"/>
        <v>8.1791999999999998</v>
      </c>
      <c r="W27">
        <f t="shared" si="4"/>
        <v>128.14079999999998</v>
      </c>
      <c r="X27">
        <v>1.39</v>
      </c>
      <c r="Y27">
        <f t="shared" si="5"/>
        <v>129.53079999999997</v>
      </c>
    </row>
    <row r="28" spans="1:25" x14ac:dyDescent="0.25">
      <c r="A28" t="s">
        <v>350</v>
      </c>
      <c r="B28">
        <v>41363</v>
      </c>
      <c r="C28" t="str">
        <f t="shared" si="0"/>
        <v>2013</v>
      </c>
      <c r="D28" t="s">
        <v>351</v>
      </c>
      <c r="E28" t="s">
        <v>352</v>
      </c>
      <c r="F28" t="s">
        <v>257</v>
      </c>
      <c r="G28" t="s">
        <v>258</v>
      </c>
      <c r="H28" t="s">
        <v>259</v>
      </c>
      <c r="I28" t="s">
        <v>275</v>
      </c>
      <c r="J28" t="s">
        <v>294</v>
      </c>
      <c r="K28" t="s">
        <v>353</v>
      </c>
      <c r="L28" t="s">
        <v>245</v>
      </c>
      <c r="M28" t="s">
        <v>323</v>
      </c>
      <c r="N28" t="s">
        <v>247</v>
      </c>
      <c r="O28">
        <v>41364</v>
      </c>
      <c r="P28">
        <v>0.94</v>
      </c>
      <c r="Q28">
        <v>2.08</v>
      </c>
      <c r="R28">
        <f t="shared" si="1"/>
        <v>1.1400000000000001</v>
      </c>
      <c r="S28">
        <v>4</v>
      </c>
      <c r="T28">
        <f t="shared" si="2"/>
        <v>8.32</v>
      </c>
      <c r="U28">
        <v>0.02</v>
      </c>
      <c r="V28">
        <f t="shared" si="3"/>
        <v>0.16640000000000002</v>
      </c>
      <c r="W28">
        <f t="shared" si="4"/>
        <v>8.1536000000000008</v>
      </c>
      <c r="X28">
        <v>2.56</v>
      </c>
      <c r="Y28">
        <f t="shared" si="5"/>
        <v>10.713600000000001</v>
      </c>
    </row>
    <row r="29" spans="1:25" x14ac:dyDescent="0.25">
      <c r="A29" t="s">
        <v>354</v>
      </c>
      <c r="B29">
        <v>41383</v>
      </c>
      <c r="C29" t="str">
        <f t="shared" si="0"/>
        <v>2013</v>
      </c>
      <c r="D29" t="s">
        <v>355</v>
      </c>
      <c r="E29" t="s">
        <v>356</v>
      </c>
      <c r="F29" t="s">
        <v>239</v>
      </c>
      <c r="G29" t="s">
        <v>240</v>
      </c>
      <c r="H29" t="s">
        <v>259</v>
      </c>
      <c r="I29" t="s">
        <v>251</v>
      </c>
      <c r="J29" t="s">
        <v>294</v>
      </c>
      <c r="K29" t="s">
        <v>300</v>
      </c>
      <c r="L29" t="s">
        <v>245</v>
      </c>
      <c r="M29" t="s">
        <v>246</v>
      </c>
      <c r="N29" t="s">
        <v>247</v>
      </c>
      <c r="O29">
        <v>41384</v>
      </c>
      <c r="P29">
        <v>5.33</v>
      </c>
      <c r="Q29">
        <v>8.6</v>
      </c>
      <c r="R29">
        <f t="shared" si="1"/>
        <v>3.2699999999999996</v>
      </c>
      <c r="S29">
        <v>36</v>
      </c>
      <c r="T29">
        <f t="shared" si="2"/>
        <v>309.59999999999997</v>
      </c>
      <c r="U29">
        <v>0.06</v>
      </c>
      <c r="V29">
        <f t="shared" si="3"/>
        <v>18.575999999999997</v>
      </c>
      <c r="W29">
        <f t="shared" si="4"/>
        <v>291.02399999999994</v>
      </c>
      <c r="X29">
        <v>6.19</v>
      </c>
      <c r="Y29">
        <f t="shared" si="5"/>
        <v>297.21399999999994</v>
      </c>
    </row>
    <row r="30" spans="1:25" x14ac:dyDescent="0.25">
      <c r="A30" t="s">
        <v>357</v>
      </c>
      <c r="B30">
        <v>41384</v>
      </c>
      <c r="C30" t="str">
        <f t="shared" si="0"/>
        <v>2013</v>
      </c>
      <c r="D30" t="s">
        <v>358</v>
      </c>
      <c r="E30" t="s">
        <v>359</v>
      </c>
      <c r="F30" t="s">
        <v>239</v>
      </c>
      <c r="G30" t="s">
        <v>240</v>
      </c>
      <c r="H30" t="s">
        <v>293</v>
      </c>
      <c r="I30" t="s">
        <v>251</v>
      </c>
      <c r="J30" t="s">
        <v>294</v>
      </c>
      <c r="K30" t="s">
        <v>360</v>
      </c>
      <c r="L30" t="s">
        <v>245</v>
      </c>
      <c r="M30" t="s">
        <v>253</v>
      </c>
      <c r="N30" t="s">
        <v>247</v>
      </c>
      <c r="O30">
        <v>41386</v>
      </c>
      <c r="P30">
        <v>2.52</v>
      </c>
      <c r="Q30">
        <v>4</v>
      </c>
      <c r="R30">
        <f t="shared" si="1"/>
        <v>1.48</v>
      </c>
      <c r="S30">
        <v>31</v>
      </c>
      <c r="T30">
        <f t="shared" si="2"/>
        <v>124</v>
      </c>
      <c r="U30">
        <v>0.01</v>
      </c>
      <c r="V30">
        <f t="shared" si="3"/>
        <v>1.24</v>
      </c>
      <c r="W30">
        <f t="shared" si="4"/>
        <v>122.76</v>
      </c>
      <c r="X30">
        <v>1.3</v>
      </c>
      <c r="Y30">
        <f t="shared" si="5"/>
        <v>124.06</v>
      </c>
    </row>
    <row r="31" spans="1:25" x14ac:dyDescent="0.25">
      <c r="A31" t="s">
        <v>361</v>
      </c>
      <c r="B31">
        <v>41391</v>
      </c>
      <c r="C31" t="str">
        <f t="shared" si="0"/>
        <v>2013</v>
      </c>
      <c r="D31" t="s">
        <v>362</v>
      </c>
      <c r="E31" t="s">
        <v>363</v>
      </c>
      <c r="F31" t="s">
        <v>257</v>
      </c>
      <c r="G31" t="s">
        <v>258</v>
      </c>
      <c r="H31" t="s">
        <v>241</v>
      </c>
      <c r="I31" t="s">
        <v>284</v>
      </c>
      <c r="J31" t="s">
        <v>243</v>
      </c>
      <c r="K31" t="s">
        <v>364</v>
      </c>
      <c r="L31" t="s">
        <v>245</v>
      </c>
      <c r="M31" t="s">
        <v>246</v>
      </c>
      <c r="N31" t="s">
        <v>263</v>
      </c>
      <c r="O31">
        <v>41392</v>
      </c>
      <c r="P31">
        <v>7.61</v>
      </c>
      <c r="Q31">
        <v>12.28</v>
      </c>
      <c r="R31">
        <f t="shared" si="1"/>
        <v>4.669999999999999</v>
      </c>
      <c r="S31">
        <v>29</v>
      </c>
      <c r="T31">
        <f t="shared" si="2"/>
        <v>356.12</v>
      </c>
      <c r="U31">
        <v>0</v>
      </c>
      <c r="V31">
        <f t="shared" si="3"/>
        <v>0</v>
      </c>
      <c r="W31">
        <f t="shared" si="4"/>
        <v>356.12</v>
      </c>
      <c r="X31">
        <v>6.35</v>
      </c>
      <c r="Y31">
        <f t="shared" si="5"/>
        <v>362.47</v>
      </c>
    </row>
    <row r="32" spans="1:25" x14ac:dyDescent="0.25">
      <c r="A32" t="s">
        <v>365</v>
      </c>
      <c r="B32">
        <v>41392</v>
      </c>
      <c r="C32" t="str">
        <f t="shared" si="0"/>
        <v>2013</v>
      </c>
      <c r="D32" t="s">
        <v>366</v>
      </c>
      <c r="E32" t="s">
        <v>367</v>
      </c>
      <c r="F32" t="s">
        <v>239</v>
      </c>
      <c r="G32" t="s">
        <v>240</v>
      </c>
      <c r="H32" t="s">
        <v>259</v>
      </c>
      <c r="I32" t="s">
        <v>251</v>
      </c>
      <c r="J32" t="s">
        <v>304</v>
      </c>
      <c r="K32" t="s">
        <v>368</v>
      </c>
      <c r="L32" t="s">
        <v>245</v>
      </c>
      <c r="M32" t="s">
        <v>246</v>
      </c>
      <c r="N32" t="s">
        <v>247</v>
      </c>
      <c r="O32">
        <v>41394</v>
      </c>
      <c r="P32">
        <v>1.59</v>
      </c>
      <c r="Q32">
        <v>2.61</v>
      </c>
      <c r="R32">
        <f t="shared" si="1"/>
        <v>1.0199999999999998</v>
      </c>
      <c r="S32">
        <v>9</v>
      </c>
      <c r="T32">
        <f t="shared" si="2"/>
        <v>23.49</v>
      </c>
      <c r="U32">
        <v>0.06</v>
      </c>
      <c r="V32">
        <f t="shared" si="3"/>
        <v>1.4093999999999998</v>
      </c>
      <c r="W32">
        <f t="shared" si="4"/>
        <v>22.080599999999997</v>
      </c>
      <c r="X32">
        <v>0.5</v>
      </c>
      <c r="Y32">
        <f t="shared" si="5"/>
        <v>22.580599999999997</v>
      </c>
    </row>
    <row r="33" spans="1:25" x14ac:dyDescent="0.25">
      <c r="A33" t="s">
        <v>369</v>
      </c>
      <c r="B33">
        <v>41392</v>
      </c>
      <c r="C33" t="str">
        <f t="shared" si="0"/>
        <v>2013</v>
      </c>
      <c r="D33" t="s">
        <v>370</v>
      </c>
      <c r="E33" t="s">
        <v>371</v>
      </c>
      <c r="F33" t="s">
        <v>257</v>
      </c>
      <c r="G33" t="s">
        <v>258</v>
      </c>
      <c r="H33" t="s">
        <v>259</v>
      </c>
      <c r="I33" t="s">
        <v>372</v>
      </c>
      <c r="J33" t="s">
        <v>304</v>
      </c>
      <c r="K33" t="s">
        <v>373</v>
      </c>
      <c r="L33" t="s">
        <v>268</v>
      </c>
      <c r="M33" t="s">
        <v>246</v>
      </c>
      <c r="N33" t="s">
        <v>247</v>
      </c>
      <c r="O33">
        <v>41392</v>
      </c>
      <c r="P33">
        <v>6.39</v>
      </c>
      <c r="Q33">
        <v>19.98</v>
      </c>
      <c r="R33">
        <f t="shared" si="1"/>
        <v>13.59</v>
      </c>
      <c r="S33">
        <v>7</v>
      </c>
      <c r="T33">
        <f t="shared" si="2"/>
        <v>139.86000000000001</v>
      </c>
      <c r="U33">
        <v>0.01</v>
      </c>
      <c r="V33">
        <f t="shared" si="3"/>
        <v>1.3986000000000001</v>
      </c>
      <c r="W33">
        <f t="shared" si="4"/>
        <v>138.46140000000003</v>
      </c>
      <c r="X33">
        <v>4</v>
      </c>
      <c r="Y33">
        <f t="shared" si="5"/>
        <v>142.46140000000003</v>
      </c>
    </row>
    <row r="34" spans="1:25" x14ac:dyDescent="0.25">
      <c r="A34" t="s">
        <v>374</v>
      </c>
      <c r="B34">
        <v>41394</v>
      </c>
      <c r="C34" t="str">
        <f t="shared" si="0"/>
        <v>2013</v>
      </c>
      <c r="D34" t="s">
        <v>375</v>
      </c>
      <c r="E34" t="s">
        <v>376</v>
      </c>
      <c r="F34" t="s">
        <v>239</v>
      </c>
      <c r="G34" t="s">
        <v>240</v>
      </c>
      <c r="H34" t="s">
        <v>259</v>
      </c>
      <c r="I34" t="s">
        <v>242</v>
      </c>
      <c r="J34" t="s">
        <v>304</v>
      </c>
      <c r="K34" t="s">
        <v>377</v>
      </c>
      <c r="L34" t="s">
        <v>268</v>
      </c>
      <c r="M34" t="s">
        <v>246</v>
      </c>
      <c r="N34" t="s">
        <v>263</v>
      </c>
      <c r="O34">
        <v>41395</v>
      </c>
      <c r="P34">
        <v>32.020000000000003</v>
      </c>
      <c r="Q34">
        <v>152.47999999999999</v>
      </c>
      <c r="R34">
        <f t="shared" si="1"/>
        <v>120.45999999999998</v>
      </c>
      <c r="S34">
        <v>16</v>
      </c>
      <c r="T34">
        <f t="shared" si="2"/>
        <v>2439.6799999999998</v>
      </c>
      <c r="U34">
        <v>0.1</v>
      </c>
      <c r="V34">
        <f t="shared" si="3"/>
        <v>243.96799999999999</v>
      </c>
      <c r="W34">
        <f t="shared" si="4"/>
        <v>2195.712</v>
      </c>
      <c r="X34">
        <v>4</v>
      </c>
      <c r="Y34">
        <f t="shared" si="5"/>
        <v>2199.712</v>
      </c>
    </row>
    <row r="35" spans="1:25" x14ac:dyDescent="0.25">
      <c r="A35" t="s">
        <v>378</v>
      </c>
      <c r="B35">
        <v>41394</v>
      </c>
      <c r="C35" t="str">
        <f t="shared" si="0"/>
        <v>2013</v>
      </c>
      <c r="D35" t="s">
        <v>379</v>
      </c>
      <c r="E35" t="s">
        <v>380</v>
      </c>
      <c r="F35" t="s">
        <v>257</v>
      </c>
      <c r="G35" t="s">
        <v>258</v>
      </c>
      <c r="H35" t="s">
        <v>293</v>
      </c>
      <c r="I35" t="s">
        <v>381</v>
      </c>
      <c r="J35" t="s">
        <v>294</v>
      </c>
      <c r="K35" t="s">
        <v>364</v>
      </c>
      <c r="L35" t="s">
        <v>245</v>
      </c>
      <c r="M35" t="s">
        <v>246</v>
      </c>
      <c r="N35" t="s">
        <v>247</v>
      </c>
      <c r="O35">
        <v>41396</v>
      </c>
      <c r="P35">
        <v>7.61</v>
      </c>
      <c r="Q35">
        <v>12.28</v>
      </c>
      <c r="R35">
        <f t="shared" si="1"/>
        <v>4.669999999999999</v>
      </c>
      <c r="S35">
        <v>27</v>
      </c>
      <c r="T35">
        <f t="shared" si="2"/>
        <v>331.56</v>
      </c>
      <c r="U35">
        <v>0.03</v>
      </c>
      <c r="V35">
        <f t="shared" si="3"/>
        <v>9.9467999999999996</v>
      </c>
      <c r="W35">
        <f t="shared" si="4"/>
        <v>321.61320000000001</v>
      </c>
      <c r="X35">
        <v>6.35</v>
      </c>
      <c r="Y35">
        <f t="shared" si="5"/>
        <v>327.96320000000003</v>
      </c>
    </row>
    <row r="36" spans="1:25" x14ac:dyDescent="0.25">
      <c r="A36" t="s">
        <v>382</v>
      </c>
      <c r="B36">
        <v>41394</v>
      </c>
      <c r="C36" t="str">
        <f t="shared" si="0"/>
        <v>2013</v>
      </c>
      <c r="D36" t="s">
        <v>383</v>
      </c>
      <c r="E36" t="s">
        <v>292</v>
      </c>
      <c r="F36" t="s">
        <v>257</v>
      </c>
      <c r="G36" t="s">
        <v>258</v>
      </c>
      <c r="H36" t="s">
        <v>274</v>
      </c>
      <c r="I36" t="s">
        <v>260</v>
      </c>
      <c r="J36" t="s">
        <v>294</v>
      </c>
      <c r="K36" t="s">
        <v>384</v>
      </c>
      <c r="L36" t="s">
        <v>268</v>
      </c>
      <c r="M36" t="s">
        <v>246</v>
      </c>
      <c r="N36" t="s">
        <v>247</v>
      </c>
      <c r="O36">
        <v>41396</v>
      </c>
      <c r="P36">
        <v>10.07</v>
      </c>
      <c r="Q36">
        <v>15.98</v>
      </c>
      <c r="R36">
        <f t="shared" si="1"/>
        <v>5.91</v>
      </c>
      <c r="S36">
        <v>39</v>
      </c>
      <c r="T36">
        <f t="shared" si="2"/>
        <v>623.22</v>
      </c>
      <c r="U36">
        <v>0.09</v>
      </c>
      <c r="V36">
        <f t="shared" si="3"/>
        <v>56.089800000000004</v>
      </c>
      <c r="W36">
        <f t="shared" si="4"/>
        <v>567.13020000000006</v>
      </c>
      <c r="X36">
        <v>4</v>
      </c>
      <c r="Y36">
        <f t="shared" si="5"/>
        <v>571.13020000000006</v>
      </c>
    </row>
    <row r="37" spans="1:25" x14ac:dyDescent="0.25">
      <c r="A37" t="s">
        <v>385</v>
      </c>
      <c r="B37">
        <v>41395</v>
      </c>
      <c r="C37" t="str">
        <f t="shared" si="0"/>
        <v>2013</v>
      </c>
      <c r="D37" t="s">
        <v>386</v>
      </c>
      <c r="E37" t="s">
        <v>266</v>
      </c>
      <c r="F37" t="s">
        <v>239</v>
      </c>
      <c r="G37" t="s">
        <v>240</v>
      </c>
      <c r="H37" t="s">
        <v>259</v>
      </c>
      <c r="I37" t="s">
        <v>242</v>
      </c>
      <c r="J37" t="s">
        <v>294</v>
      </c>
      <c r="K37" t="s">
        <v>387</v>
      </c>
      <c r="L37" t="s">
        <v>245</v>
      </c>
      <c r="M37" t="s">
        <v>323</v>
      </c>
      <c r="N37" t="s">
        <v>247</v>
      </c>
      <c r="O37">
        <v>41397</v>
      </c>
      <c r="P37">
        <v>4.79</v>
      </c>
      <c r="Q37">
        <v>11.97</v>
      </c>
      <c r="R37">
        <f t="shared" si="1"/>
        <v>7.1800000000000006</v>
      </c>
      <c r="S37">
        <v>7</v>
      </c>
      <c r="T37">
        <f t="shared" si="2"/>
        <v>83.79</v>
      </c>
      <c r="U37">
        <v>0.05</v>
      </c>
      <c r="V37">
        <f t="shared" si="3"/>
        <v>4.1895000000000007</v>
      </c>
      <c r="W37">
        <f t="shared" si="4"/>
        <v>79.600500000000011</v>
      </c>
      <c r="X37">
        <v>5.81</v>
      </c>
      <c r="Y37">
        <f t="shared" si="5"/>
        <v>85.410500000000013</v>
      </c>
    </row>
    <row r="38" spans="1:25" x14ac:dyDescent="0.25">
      <c r="A38" t="s">
        <v>388</v>
      </c>
      <c r="B38">
        <v>41396</v>
      </c>
      <c r="C38" t="str">
        <f t="shared" si="0"/>
        <v>2013</v>
      </c>
      <c r="D38" t="s">
        <v>389</v>
      </c>
      <c r="E38" t="s">
        <v>376</v>
      </c>
      <c r="F38" t="s">
        <v>239</v>
      </c>
      <c r="G38" t="s">
        <v>240</v>
      </c>
      <c r="H38" t="s">
        <v>241</v>
      </c>
      <c r="I38" t="s">
        <v>242</v>
      </c>
      <c r="J38" t="s">
        <v>294</v>
      </c>
      <c r="K38" t="s">
        <v>390</v>
      </c>
      <c r="L38" t="s">
        <v>245</v>
      </c>
      <c r="M38" t="s">
        <v>246</v>
      </c>
      <c r="N38" t="s">
        <v>247</v>
      </c>
      <c r="O38">
        <v>41397</v>
      </c>
      <c r="P38">
        <v>8.7100000000000009</v>
      </c>
      <c r="Q38">
        <v>14.28</v>
      </c>
      <c r="R38">
        <f t="shared" si="1"/>
        <v>5.5699999999999985</v>
      </c>
      <c r="S38">
        <v>42</v>
      </c>
      <c r="T38">
        <f t="shared" si="2"/>
        <v>599.76</v>
      </c>
      <c r="U38">
        <v>0.1</v>
      </c>
      <c r="V38">
        <f t="shared" si="3"/>
        <v>59.975999999999999</v>
      </c>
      <c r="W38">
        <f t="shared" si="4"/>
        <v>539.78399999999999</v>
      </c>
      <c r="X38">
        <v>2.99</v>
      </c>
      <c r="Y38">
        <f t="shared" si="5"/>
        <v>542.774</v>
      </c>
    </row>
    <row r="39" spans="1:25" x14ac:dyDescent="0.25">
      <c r="A39" t="s">
        <v>391</v>
      </c>
      <c r="B39">
        <v>41396</v>
      </c>
      <c r="C39" t="str">
        <f t="shared" si="0"/>
        <v>2013</v>
      </c>
      <c r="D39" t="s">
        <v>392</v>
      </c>
      <c r="E39" t="s">
        <v>393</v>
      </c>
      <c r="F39" t="s">
        <v>257</v>
      </c>
      <c r="G39" t="s">
        <v>258</v>
      </c>
      <c r="H39" t="s">
        <v>293</v>
      </c>
      <c r="I39" t="s">
        <v>342</v>
      </c>
      <c r="J39" t="s">
        <v>261</v>
      </c>
      <c r="K39" t="s">
        <v>295</v>
      </c>
      <c r="L39" t="s">
        <v>245</v>
      </c>
      <c r="M39" t="s">
        <v>246</v>
      </c>
      <c r="N39" t="s">
        <v>247</v>
      </c>
      <c r="O39">
        <v>41397</v>
      </c>
      <c r="P39">
        <v>54.29</v>
      </c>
      <c r="Q39">
        <v>90.48</v>
      </c>
      <c r="R39">
        <f t="shared" si="1"/>
        <v>36.190000000000005</v>
      </c>
      <c r="S39">
        <v>15</v>
      </c>
      <c r="T39">
        <f t="shared" si="2"/>
        <v>1357.2</v>
      </c>
      <c r="U39">
        <v>0.05</v>
      </c>
      <c r="V39">
        <f t="shared" si="3"/>
        <v>67.86</v>
      </c>
      <c r="W39">
        <f t="shared" si="4"/>
        <v>1289.3400000000001</v>
      </c>
      <c r="X39">
        <v>19.989999999999998</v>
      </c>
      <c r="Y39">
        <f t="shared" si="5"/>
        <v>1309.3300000000002</v>
      </c>
    </row>
    <row r="40" spans="1:25" x14ac:dyDescent="0.25">
      <c r="A40" t="s">
        <v>394</v>
      </c>
      <c r="B40">
        <v>41397</v>
      </c>
      <c r="C40" t="str">
        <f t="shared" si="0"/>
        <v>2013</v>
      </c>
      <c r="D40" t="s">
        <v>395</v>
      </c>
      <c r="E40" t="s">
        <v>396</v>
      </c>
      <c r="F40" t="s">
        <v>257</v>
      </c>
      <c r="G40" t="s">
        <v>258</v>
      </c>
      <c r="H40" t="s">
        <v>293</v>
      </c>
      <c r="I40" t="s">
        <v>372</v>
      </c>
      <c r="J40" t="s">
        <v>261</v>
      </c>
      <c r="K40" t="s">
        <v>349</v>
      </c>
      <c r="L40" t="s">
        <v>245</v>
      </c>
      <c r="M40" t="s">
        <v>246</v>
      </c>
      <c r="N40" t="s">
        <v>247</v>
      </c>
      <c r="O40">
        <v>41399</v>
      </c>
      <c r="P40">
        <v>3.52</v>
      </c>
      <c r="Q40">
        <v>5.68</v>
      </c>
      <c r="R40">
        <f t="shared" si="1"/>
        <v>2.1599999999999997</v>
      </c>
      <c r="S40">
        <v>20</v>
      </c>
      <c r="T40">
        <f t="shared" si="2"/>
        <v>113.6</v>
      </c>
      <c r="U40">
        <v>7.0000000000000007E-2</v>
      </c>
      <c r="V40">
        <f t="shared" si="3"/>
        <v>7.952</v>
      </c>
      <c r="W40">
        <f t="shared" si="4"/>
        <v>105.648</v>
      </c>
      <c r="X40">
        <v>1.39</v>
      </c>
      <c r="Y40">
        <f t="shared" si="5"/>
        <v>107.038</v>
      </c>
    </row>
    <row r="41" spans="1:25" x14ac:dyDescent="0.25">
      <c r="A41" t="s">
        <v>397</v>
      </c>
      <c r="B41">
        <v>41398</v>
      </c>
      <c r="C41" t="str">
        <f t="shared" si="0"/>
        <v>2013</v>
      </c>
      <c r="D41" t="s">
        <v>398</v>
      </c>
      <c r="E41" t="s">
        <v>308</v>
      </c>
      <c r="F41" t="s">
        <v>257</v>
      </c>
      <c r="G41" t="s">
        <v>258</v>
      </c>
      <c r="H41" t="s">
        <v>259</v>
      </c>
      <c r="I41" t="s">
        <v>309</v>
      </c>
      <c r="J41" t="s">
        <v>261</v>
      </c>
      <c r="K41" t="s">
        <v>399</v>
      </c>
      <c r="L41" t="s">
        <v>245</v>
      </c>
      <c r="M41" t="s">
        <v>253</v>
      </c>
      <c r="N41" t="s">
        <v>247</v>
      </c>
      <c r="O41">
        <v>41400</v>
      </c>
      <c r="P41">
        <v>3.47</v>
      </c>
      <c r="Q41">
        <v>6.68</v>
      </c>
      <c r="R41">
        <f t="shared" si="1"/>
        <v>3.2099999999999995</v>
      </c>
      <c r="S41">
        <v>41</v>
      </c>
      <c r="T41">
        <f t="shared" si="2"/>
        <v>273.88</v>
      </c>
      <c r="U41">
        <v>0.08</v>
      </c>
      <c r="V41">
        <f t="shared" si="3"/>
        <v>21.910399999999999</v>
      </c>
      <c r="W41">
        <f t="shared" si="4"/>
        <v>251.96959999999999</v>
      </c>
      <c r="X41">
        <v>1.5</v>
      </c>
      <c r="Y41">
        <f t="shared" si="5"/>
        <v>253.46959999999999</v>
      </c>
    </row>
    <row r="42" spans="1:25" x14ac:dyDescent="0.25">
      <c r="A42" t="s">
        <v>400</v>
      </c>
      <c r="B42">
        <v>41399</v>
      </c>
      <c r="C42" t="str">
        <f t="shared" si="0"/>
        <v>2013</v>
      </c>
      <c r="D42" t="s">
        <v>401</v>
      </c>
      <c r="E42" t="s">
        <v>402</v>
      </c>
      <c r="F42" t="s">
        <v>257</v>
      </c>
      <c r="G42" t="s">
        <v>258</v>
      </c>
      <c r="H42" t="s">
        <v>259</v>
      </c>
      <c r="I42" t="s">
        <v>333</v>
      </c>
      <c r="J42" t="s">
        <v>304</v>
      </c>
      <c r="K42" t="s">
        <v>403</v>
      </c>
      <c r="L42" t="s">
        <v>268</v>
      </c>
      <c r="M42" t="s">
        <v>323</v>
      </c>
      <c r="N42" t="s">
        <v>247</v>
      </c>
      <c r="O42">
        <v>41400</v>
      </c>
      <c r="P42">
        <v>1.87</v>
      </c>
      <c r="Q42">
        <v>2.2253000000000003</v>
      </c>
      <c r="R42">
        <f t="shared" si="1"/>
        <v>0.35530000000000017</v>
      </c>
      <c r="S42">
        <v>41</v>
      </c>
      <c r="T42">
        <f t="shared" si="2"/>
        <v>91.237300000000005</v>
      </c>
      <c r="U42">
        <v>0.06</v>
      </c>
      <c r="V42">
        <f t="shared" si="3"/>
        <v>5.4742379999999997</v>
      </c>
      <c r="W42">
        <f t="shared" si="4"/>
        <v>85.763062000000005</v>
      </c>
      <c r="X42">
        <v>2.83</v>
      </c>
      <c r="Y42">
        <f t="shared" si="5"/>
        <v>88.593062000000003</v>
      </c>
    </row>
    <row r="43" spans="1:25" x14ac:dyDescent="0.25">
      <c r="A43" t="s">
        <v>404</v>
      </c>
      <c r="B43">
        <v>41399</v>
      </c>
      <c r="C43" t="str">
        <f t="shared" si="0"/>
        <v>2013</v>
      </c>
      <c r="D43" t="s">
        <v>401</v>
      </c>
      <c r="E43" t="s">
        <v>402</v>
      </c>
      <c r="F43" t="s">
        <v>257</v>
      </c>
      <c r="G43" t="s">
        <v>258</v>
      </c>
      <c r="H43" t="s">
        <v>259</v>
      </c>
      <c r="I43" t="s">
        <v>333</v>
      </c>
      <c r="J43" t="s">
        <v>304</v>
      </c>
      <c r="K43" t="s">
        <v>399</v>
      </c>
      <c r="L43" t="s">
        <v>245</v>
      </c>
      <c r="M43" t="s">
        <v>253</v>
      </c>
      <c r="N43" t="s">
        <v>247</v>
      </c>
      <c r="O43">
        <v>41400</v>
      </c>
      <c r="P43">
        <v>3.47</v>
      </c>
      <c r="Q43">
        <v>6.68</v>
      </c>
      <c r="R43">
        <f t="shared" si="1"/>
        <v>3.2099999999999995</v>
      </c>
      <c r="S43">
        <v>2</v>
      </c>
      <c r="T43">
        <f t="shared" si="2"/>
        <v>13.36</v>
      </c>
      <c r="U43">
        <v>0.01</v>
      </c>
      <c r="V43">
        <f t="shared" si="3"/>
        <v>0.1336</v>
      </c>
      <c r="W43">
        <f t="shared" si="4"/>
        <v>13.2264</v>
      </c>
      <c r="X43">
        <v>1.5</v>
      </c>
      <c r="Y43">
        <f t="shared" si="5"/>
        <v>14.7264</v>
      </c>
    </row>
    <row r="44" spans="1:25" x14ac:dyDescent="0.25">
      <c r="A44" t="s">
        <v>405</v>
      </c>
      <c r="B44">
        <v>41399</v>
      </c>
      <c r="C44" t="str">
        <f t="shared" si="0"/>
        <v>2013</v>
      </c>
      <c r="D44" t="s">
        <v>406</v>
      </c>
      <c r="E44" t="s">
        <v>238</v>
      </c>
      <c r="F44" t="s">
        <v>239</v>
      </c>
      <c r="G44" t="s">
        <v>240</v>
      </c>
      <c r="H44" t="s">
        <v>259</v>
      </c>
      <c r="I44" t="s">
        <v>242</v>
      </c>
      <c r="J44" t="s">
        <v>279</v>
      </c>
      <c r="K44" t="s">
        <v>384</v>
      </c>
      <c r="L44" t="s">
        <v>268</v>
      </c>
      <c r="M44" t="s">
        <v>246</v>
      </c>
      <c r="N44" t="s">
        <v>247</v>
      </c>
      <c r="O44">
        <v>41404</v>
      </c>
      <c r="P44">
        <v>10.07</v>
      </c>
      <c r="Q44">
        <v>15.98</v>
      </c>
      <c r="R44">
        <f t="shared" si="1"/>
        <v>5.91</v>
      </c>
      <c r="S44">
        <v>34</v>
      </c>
      <c r="T44">
        <f t="shared" si="2"/>
        <v>543.32000000000005</v>
      </c>
      <c r="U44">
        <v>0.1</v>
      </c>
      <c r="V44">
        <f t="shared" si="3"/>
        <v>54.332000000000008</v>
      </c>
      <c r="W44">
        <f t="shared" si="4"/>
        <v>488.98800000000006</v>
      </c>
      <c r="X44">
        <v>4</v>
      </c>
      <c r="Y44">
        <f t="shared" si="5"/>
        <v>492.98800000000006</v>
      </c>
    </row>
    <row r="45" spans="1:25" x14ac:dyDescent="0.25">
      <c r="A45" t="s">
        <v>407</v>
      </c>
      <c r="B45">
        <v>41401</v>
      </c>
      <c r="C45" t="str">
        <f t="shared" si="0"/>
        <v>2013</v>
      </c>
      <c r="D45" t="s">
        <v>408</v>
      </c>
      <c r="E45" t="s">
        <v>409</v>
      </c>
      <c r="F45" t="s">
        <v>257</v>
      </c>
      <c r="G45" t="s">
        <v>258</v>
      </c>
      <c r="H45" t="s">
        <v>293</v>
      </c>
      <c r="I45" t="s">
        <v>342</v>
      </c>
      <c r="J45" t="s">
        <v>294</v>
      </c>
      <c r="K45" t="s">
        <v>387</v>
      </c>
      <c r="L45" t="s">
        <v>245</v>
      </c>
      <c r="M45" t="s">
        <v>323</v>
      </c>
      <c r="N45" t="s">
        <v>247</v>
      </c>
      <c r="O45">
        <v>41403</v>
      </c>
      <c r="P45">
        <v>4.79</v>
      </c>
      <c r="Q45">
        <v>11.97</v>
      </c>
      <c r="R45">
        <f t="shared" si="1"/>
        <v>7.1800000000000006</v>
      </c>
      <c r="S45">
        <v>18</v>
      </c>
      <c r="T45">
        <f t="shared" si="2"/>
        <v>215.46</v>
      </c>
      <c r="U45">
        <v>0.08</v>
      </c>
      <c r="V45">
        <f t="shared" si="3"/>
        <v>17.236800000000002</v>
      </c>
      <c r="W45">
        <f t="shared" si="4"/>
        <v>198.22320000000002</v>
      </c>
      <c r="X45">
        <v>5.81</v>
      </c>
      <c r="Y45">
        <f t="shared" si="5"/>
        <v>204.03320000000002</v>
      </c>
    </row>
    <row r="46" spans="1:25" x14ac:dyDescent="0.25">
      <c r="A46" t="s">
        <v>410</v>
      </c>
      <c r="B46">
        <v>41403</v>
      </c>
      <c r="C46" t="str">
        <f t="shared" si="0"/>
        <v>2013</v>
      </c>
      <c r="D46" t="s">
        <v>411</v>
      </c>
      <c r="E46" t="s">
        <v>412</v>
      </c>
      <c r="F46" t="s">
        <v>257</v>
      </c>
      <c r="G46" t="s">
        <v>258</v>
      </c>
      <c r="H46" t="s">
        <v>241</v>
      </c>
      <c r="I46" t="s">
        <v>342</v>
      </c>
      <c r="J46" t="s">
        <v>261</v>
      </c>
      <c r="K46" t="s">
        <v>413</v>
      </c>
      <c r="L46" t="s">
        <v>268</v>
      </c>
      <c r="M46" t="s">
        <v>414</v>
      </c>
      <c r="N46" t="s">
        <v>263</v>
      </c>
      <c r="O46">
        <v>41404</v>
      </c>
      <c r="P46">
        <v>8.82</v>
      </c>
      <c r="Q46">
        <v>20.99</v>
      </c>
      <c r="R46">
        <f t="shared" si="1"/>
        <v>12.169999999999998</v>
      </c>
      <c r="S46">
        <v>8</v>
      </c>
      <c r="T46">
        <f t="shared" si="2"/>
        <v>167.92</v>
      </c>
      <c r="U46">
        <v>0.09</v>
      </c>
      <c r="V46">
        <f t="shared" si="3"/>
        <v>15.112799999999998</v>
      </c>
      <c r="W46">
        <f t="shared" si="4"/>
        <v>152.80719999999999</v>
      </c>
      <c r="X46">
        <v>4.8099999999999996</v>
      </c>
      <c r="Y46">
        <f t="shared" si="5"/>
        <v>157.6172</v>
      </c>
    </row>
    <row r="47" spans="1:25" x14ac:dyDescent="0.25">
      <c r="A47" t="s">
        <v>415</v>
      </c>
      <c r="B47">
        <v>41403</v>
      </c>
      <c r="C47" t="str">
        <f t="shared" si="0"/>
        <v>2013</v>
      </c>
      <c r="D47" t="s">
        <v>416</v>
      </c>
      <c r="E47" t="s">
        <v>359</v>
      </c>
      <c r="F47" t="s">
        <v>239</v>
      </c>
      <c r="G47" t="s">
        <v>240</v>
      </c>
      <c r="H47" t="s">
        <v>274</v>
      </c>
      <c r="I47" t="s">
        <v>251</v>
      </c>
      <c r="J47" t="s">
        <v>261</v>
      </c>
      <c r="K47" t="s">
        <v>289</v>
      </c>
      <c r="L47" t="s">
        <v>245</v>
      </c>
      <c r="M47" t="s">
        <v>253</v>
      </c>
      <c r="N47" t="s">
        <v>247</v>
      </c>
      <c r="O47">
        <v>41405</v>
      </c>
      <c r="P47">
        <v>1.0900000000000001</v>
      </c>
      <c r="Q47">
        <v>1.68</v>
      </c>
      <c r="R47">
        <f t="shared" si="1"/>
        <v>0.58999999999999986</v>
      </c>
      <c r="S47">
        <v>18</v>
      </c>
      <c r="T47">
        <f t="shared" si="2"/>
        <v>30.24</v>
      </c>
      <c r="U47">
        <v>0.06</v>
      </c>
      <c r="V47">
        <f t="shared" si="3"/>
        <v>1.8143999999999998</v>
      </c>
      <c r="W47">
        <f t="shared" si="4"/>
        <v>28.425599999999999</v>
      </c>
      <c r="X47">
        <v>1</v>
      </c>
      <c r="Y47">
        <f t="shared" si="5"/>
        <v>29.425599999999999</v>
      </c>
    </row>
    <row r="48" spans="1:25" x14ac:dyDescent="0.25">
      <c r="A48" t="s">
        <v>417</v>
      </c>
      <c r="B48">
        <v>41407</v>
      </c>
      <c r="C48" t="str">
        <f t="shared" si="0"/>
        <v>2013</v>
      </c>
      <c r="D48" t="s">
        <v>249</v>
      </c>
      <c r="E48" t="s">
        <v>250</v>
      </c>
      <c r="F48" t="s">
        <v>239</v>
      </c>
      <c r="G48" t="s">
        <v>240</v>
      </c>
      <c r="H48" t="s">
        <v>241</v>
      </c>
      <c r="I48" t="s">
        <v>251</v>
      </c>
      <c r="J48" t="s">
        <v>304</v>
      </c>
      <c r="K48" t="s">
        <v>360</v>
      </c>
      <c r="L48" t="s">
        <v>245</v>
      </c>
      <c r="M48" t="s">
        <v>253</v>
      </c>
      <c r="N48" t="s">
        <v>263</v>
      </c>
      <c r="O48">
        <v>41409</v>
      </c>
      <c r="P48">
        <v>2.52</v>
      </c>
      <c r="Q48">
        <v>4</v>
      </c>
      <c r="R48">
        <f t="shared" si="1"/>
        <v>1.48</v>
      </c>
      <c r="S48">
        <v>19</v>
      </c>
      <c r="T48">
        <f t="shared" si="2"/>
        <v>76</v>
      </c>
      <c r="U48">
        <v>0.09</v>
      </c>
      <c r="V48">
        <f t="shared" si="3"/>
        <v>6.84</v>
      </c>
      <c r="W48">
        <f t="shared" si="4"/>
        <v>69.16</v>
      </c>
      <c r="X48">
        <v>1.3</v>
      </c>
      <c r="Y48">
        <f t="shared" si="5"/>
        <v>70.459999999999994</v>
      </c>
    </row>
    <row r="49" spans="1:25" x14ac:dyDescent="0.25">
      <c r="A49" t="s">
        <v>418</v>
      </c>
      <c r="B49">
        <v>41408</v>
      </c>
      <c r="C49" t="str">
        <f t="shared" si="0"/>
        <v>2013</v>
      </c>
      <c r="D49" t="s">
        <v>419</v>
      </c>
      <c r="E49" t="s">
        <v>420</v>
      </c>
      <c r="F49" t="s">
        <v>239</v>
      </c>
      <c r="G49" t="s">
        <v>240</v>
      </c>
      <c r="H49" t="s">
        <v>241</v>
      </c>
      <c r="I49" t="s">
        <v>251</v>
      </c>
      <c r="J49" t="s">
        <v>243</v>
      </c>
      <c r="K49" t="s">
        <v>421</v>
      </c>
      <c r="L49" t="s">
        <v>245</v>
      </c>
      <c r="M49" t="s">
        <v>246</v>
      </c>
      <c r="N49" t="s">
        <v>247</v>
      </c>
      <c r="O49">
        <v>41409</v>
      </c>
      <c r="P49">
        <v>13.88</v>
      </c>
      <c r="Q49">
        <v>22.38</v>
      </c>
      <c r="R49">
        <f t="shared" si="1"/>
        <v>8.4999999999999982</v>
      </c>
      <c r="S49">
        <v>26</v>
      </c>
      <c r="T49">
        <f t="shared" si="2"/>
        <v>581.88</v>
      </c>
      <c r="U49">
        <v>0.1</v>
      </c>
      <c r="V49">
        <f t="shared" si="3"/>
        <v>58.188000000000002</v>
      </c>
      <c r="W49">
        <f t="shared" si="4"/>
        <v>523.69200000000001</v>
      </c>
      <c r="X49">
        <v>15.1</v>
      </c>
      <c r="Y49">
        <f t="shared" si="5"/>
        <v>538.79200000000003</v>
      </c>
    </row>
    <row r="50" spans="1:25" x14ac:dyDescent="0.25">
      <c r="A50" t="s">
        <v>422</v>
      </c>
      <c r="B50">
        <v>41408</v>
      </c>
      <c r="C50" t="str">
        <f t="shared" si="0"/>
        <v>2013</v>
      </c>
      <c r="D50" t="s">
        <v>423</v>
      </c>
      <c r="E50" t="s">
        <v>424</v>
      </c>
      <c r="F50" t="s">
        <v>257</v>
      </c>
      <c r="G50" t="s">
        <v>258</v>
      </c>
      <c r="H50" t="s">
        <v>259</v>
      </c>
      <c r="I50" t="s">
        <v>299</v>
      </c>
      <c r="J50" t="s">
        <v>294</v>
      </c>
      <c r="K50" t="s">
        <v>425</v>
      </c>
      <c r="L50" t="s">
        <v>245</v>
      </c>
      <c r="M50" t="s">
        <v>253</v>
      </c>
      <c r="N50" t="s">
        <v>247</v>
      </c>
      <c r="O50">
        <v>41410</v>
      </c>
      <c r="P50">
        <v>21.56</v>
      </c>
      <c r="Q50">
        <v>36.549999999999997</v>
      </c>
      <c r="R50">
        <f t="shared" si="1"/>
        <v>14.989999999999998</v>
      </c>
      <c r="S50">
        <v>45</v>
      </c>
      <c r="T50">
        <f t="shared" si="2"/>
        <v>1644.7499999999998</v>
      </c>
      <c r="U50">
        <v>0.1</v>
      </c>
      <c r="V50">
        <f t="shared" si="3"/>
        <v>164.47499999999999</v>
      </c>
      <c r="W50">
        <f t="shared" si="4"/>
        <v>1480.2749999999999</v>
      </c>
      <c r="X50">
        <v>13.89</v>
      </c>
      <c r="Y50">
        <f t="shared" si="5"/>
        <v>1494.165</v>
      </c>
    </row>
    <row r="51" spans="1:25" x14ac:dyDescent="0.25">
      <c r="A51" t="s">
        <v>426</v>
      </c>
      <c r="B51">
        <v>41409</v>
      </c>
      <c r="C51" t="str">
        <f t="shared" si="0"/>
        <v>2013</v>
      </c>
      <c r="D51" t="s">
        <v>427</v>
      </c>
      <c r="E51" t="s">
        <v>428</v>
      </c>
      <c r="F51" t="s">
        <v>257</v>
      </c>
      <c r="G51" t="s">
        <v>258</v>
      </c>
      <c r="H51" t="s">
        <v>274</v>
      </c>
      <c r="I51" t="s">
        <v>333</v>
      </c>
      <c r="J51" t="s">
        <v>243</v>
      </c>
      <c r="K51" t="s">
        <v>429</v>
      </c>
      <c r="L51" t="s">
        <v>268</v>
      </c>
      <c r="M51" t="s">
        <v>246</v>
      </c>
      <c r="N51" t="s">
        <v>263</v>
      </c>
      <c r="O51">
        <v>41410</v>
      </c>
      <c r="P51">
        <v>19.78</v>
      </c>
      <c r="Q51">
        <v>45.99</v>
      </c>
      <c r="R51">
        <f t="shared" si="1"/>
        <v>26.21</v>
      </c>
      <c r="S51">
        <v>14</v>
      </c>
      <c r="T51">
        <f t="shared" si="2"/>
        <v>643.86</v>
      </c>
      <c r="U51">
        <v>0.02</v>
      </c>
      <c r="V51">
        <f t="shared" si="3"/>
        <v>12.8772</v>
      </c>
      <c r="W51">
        <f t="shared" si="4"/>
        <v>630.9828</v>
      </c>
      <c r="X51">
        <v>4.99</v>
      </c>
      <c r="Y51">
        <f t="shared" si="5"/>
        <v>635.97280000000001</v>
      </c>
    </row>
    <row r="52" spans="1:25" x14ac:dyDescent="0.25">
      <c r="A52" t="s">
        <v>430</v>
      </c>
      <c r="B52">
        <v>41413</v>
      </c>
      <c r="C52" t="str">
        <f t="shared" si="0"/>
        <v>2013</v>
      </c>
      <c r="D52" t="s">
        <v>431</v>
      </c>
      <c r="E52" t="s">
        <v>432</v>
      </c>
      <c r="F52" t="s">
        <v>257</v>
      </c>
      <c r="G52" t="s">
        <v>258</v>
      </c>
      <c r="H52" t="s">
        <v>241</v>
      </c>
      <c r="I52" t="s">
        <v>333</v>
      </c>
      <c r="J52" t="s">
        <v>243</v>
      </c>
      <c r="K52" t="s">
        <v>433</v>
      </c>
      <c r="L52" t="s">
        <v>268</v>
      </c>
      <c r="M52" t="s">
        <v>414</v>
      </c>
      <c r="N52" t="s">
        <v>247</v>
      </c>
      <c r="O52">
        <v>41414</v>
      </c>
      <c r="P52">
        <v>9.91</v>
      </c>
      <c r="Q52">
        <v>15.99</v>
      </c>
      <c r="R52">
        <f t="shared" si="1"/>
        <v>6.08</v>
      </c>
      <c r="S52">
        <v>7</v>
      </c>
      <c r="T52">
        <f t="shared" si="2"/>
        <v>111.93</v>
      </c>
      <c r="U52">
        <v>0.03</v>
      </c>
      <c r="V52">
        <f t="shared" si="3"/>
        <v>3.3578999999999999</v>
      </c>
      <c r="W52">
        <f t="shared" si="4"/>
        <v>108.57210000000001</v>
      </c>
      <c r="X52">
        <v>11.28</v>
      </c>
      <c r="Y52">
        <f t="shared" si="5"/>
        <v>119.85210000000001</v>
      </c>
    </row>
    <row r="53" spans="1:25" x14ac:dyDescent="0.25">
      <c r="A53" t="s">
        <v>434</v>
      </c>
      <c r="B53">
        <v>41413</v>
      </c>
      <c r="C53" t="str">
        <f t="shared" si="0"/>
        <v>2013</v>
      </c>
      <c r="D53" t="s">
        <v>389</v>
      </c>
      <c r="E53" t="s">
        <v>376</v>
      </c>
      <c r="F53" t="s">
        <v>239</v>
      </c>
      <c r="G53" t="s">
        <v>240</v>
      </c>
      <c r="H53" t="s">
        <v>241</v>
      </c>
      <c r="I53" t="s">
        <v>242</v>
      </c>
      <c r="J53" t="s">
        <v>294</v>
      </c>
      <c r="K53" t="s">
        <v>435</v>
      </c>
      <c r="L53" t="s">
        <v>245</v>
      </c>
      <c r="M53" t="s">
        <v>253</v>
      </c>
      <c r="N53" t="s">
        <v>247</v>
      </c>
      <c r="O53">
        <v>41414</v>
      </c>
      <c r="P53">
        <v>3.75</v>
      </c>
      <c r="Q53">
        <v>7.08</v>
      </c>
      <c r="R53">
        <f t="shared" si="1"/>
        <v>3.33</v>
      </c>
      <c r="S53">
        <v>29</v>
      </c>
      <c r="T53">
        <f t="shared" si="2"/>
        <v>205.32</v>
      </c>
      <c r="U53">
        <v>0.04</v>
      </c>
      <c r="V53">
        <f t="shared" si="3"/>
        <v>8.2127999999999997</v>
      </c>
      <c r="W53">
        <f t="shared" si="4"/>
        <v>197.10720000000001</v>
      </c>
      <c r="X53">
        <v>2.35</v>
      </c>
      <c r="Y53">
        <f t="shared" si="5"/>
        <v>199.4572</v>
      </c>
    </row>
    <row r="54" spans="1:25" x14ac:dyDescent="0.25">
      <c r="A54" t="s">
        <v>436</v>
      </c>
      <c r="B54">
        <v>41414</v>
      </c>
      <c r="C54" t="str">
        <f t="shared" si="0"/>
        <v>2013</v>
      </c>
      <c r="D54" t="s">
        <v>437</v>
      </c>
      <c r="E54" t="s">
        <v>438</v>
      </c>
      <c r="F54" t="s">
        <v>257</v>
      </c>
      <c r="G54" t="s">
        <v>258</v>
      </c>
      <c r="H54" t="s">
        <v>259</v>
      </c>
      <c r="I54" t="s">
        <v>309</v>
      </c>
      <c r="J54" t="s">
        <v>243</v>
      </c>
      <c r="K54" t="s">
        <v>439</v>
      </c>
      <c r="L54" t="s">
        <v>440</v>
      </c>
      <c r="M54" t="s">
        <v>323</v>
      </c>
      <c r="N54" t="s">
        <v>247</v>
      </c>
      <c r="O54">
        <v>41415</v>
      </c>
      <c r="P54">
        <v>5.5</v>
      </c>
      <c r="Q54">
        <v>12.22</v>
      </c>
      <c r="R54">
        <f t="shared" si="1"/>
        <v>6.7200000000000006</v>
      </c>
      <c r="S54">
        <v>35</v>
      </c>
      <c r="T54">
        <f t="shared" si="2"/>
        <v>427.70000000000005</v>
      </c>
      <c r="U54">
        <v>0</v>
      </c>
      <c r="V54">
        <f t="shared" si="3"/>
        <v>0</v>
      </c>
      <c r="W54">
        <f t="shared" si="4"/>
        <v>427.70000000000005</v>
      </c>
      <c r="X54">
        <v>2.85</v>
      </c>
      <c r="Y54">
        <f t="shared" si="5"/>
        <v>430.55000000000007</v>
      </c>
    </row>
    <row r="55" spans="1:25" x14ac:dyDescent="0.25">
      <c r="A55" t="s">
        <v>441</v>
      </c>
      <c r="B55">
        <v>41414</v>
      </c>
      <c r="C55" t="str">
        <f t="shared" si="0"/>
        <v>2013</v>
      </c>
      <c r="D55" t="s">
        <v>442</v>
      </c>
      <c r="E55" t="s">
        <v>337</v>
      </c>
      <c r="F55" t="s">
        <v>257</v>
      </c>
      <c r="G55" t="s">
        <v>258</v>
      </c>
      <c r="H55" t="s">
        <v>293</v>
      </c>
      <c r="I55" t="s">
        <v>275</v>
      </c>
      <c r="J55" t="s">
        <v>294</v>
      </c>
      <c r="K55" t="s">
        <v>443</v>
      </c>
      <c r="L55" t="s">
        <v>245</v>
      </c>
      <c r="M55" t="s">
        <v>246</v>
      </c>
      <c r="N55" t="s">
        <v>247</v>
      </c>
      <c r="O55">
        <v>41416</v>
      </c>
      <c r="P55">
        <v>13.64</v>
      </c>
      <c r="Q55">
        <v>20.98</v>
      </c>
      <c r="R55">
        <f t="shared" si="1"/>
        <v>7.34</v>
      </c>
      <c r="S55">
        <v>47</v>
      </c>
      <c r="T55">
        <f t="shared" si="2"/>
        <v>986.06000000000006</v>
      </c>
      <c r="U55">
        <v>0.1</v>
      </c>
      <c r="V55">
        <f t="shared" si="3"/>
        <v>98.606000000000009</v>
      </c>
      <c r="W55">
        <f t="shared" si="4"/>
        <v>887.45400000000006</v>
      </c>
      <c r="X55">
        <v>1.49</v>
      </c>
      <c r="Y55">
        <f t="shared" si="5"/>
        <v>888.94400000000007</v>
      </c>
    </row>
    <row r="56" spans="1:25" x14ac:dyDescent="0.25">
      <c r="A56" t="s">
        <v>444</v>
      </c>
      <c r="B56">
        <v>41415</v>
      </c>
      <c r="C56" t="str">
        <f t="shared" si="0"/>
        <v>2013</v>
      </c>
      <c r="D56" t="s">
        <v>406</v>
      </c>
      <c r="E56" t="s">
        <v>238</v>
      </c>
      <c r="F56" t="s">
        <v>239</v>
      </c>
      <c r="G56" t="s">
        <v>240</v>
      </c>
      <c r="H56" t="s">
        <v>274</v>
      </c>
      <c r="I56" t="s">
        <v>242</v>
      </c>
      <c r="J56" t="s">
        <v>243</v>
      </c>
      <c r="K56" t="s">
        <v>322</v>
      </c>
      <c r="L56" t="s">
        <v>245</v>
      </c>
      <c r="M56" t="s">
        <v>323</v>
      </c>
      <c r="N56" t="s">
        <v>247</v>
      </c>
      <c r="O56">
        <v>41415</v>
      </c>
      <c r="P56">
        <v>3.42</v>
      </c>
      <c r="Q56">
        <v>8.34</v>
      </c>
      <c r="R56">
        <f t="shared" si="1"/>
        <v>4.92</v>
      </c>
      <c r="S56">
        <v>24</v>
      </c>
      <c r="T56">
        <f t="shared" si="2"/>
        <v>200.16</v>
      </c>
      <c r="U56">
        <v>0.1</v>
      </c>
      <c r="V56">
        <f t="shared" si="3"/>
        <v>20.016000000000002</v>
      </c>
      <c r="W56">
        <f t="shared" si="4"/>
        <v>180.14400000000001</v>
      </c>
      <c r="X56">
        <v>2.64</v>
      </c>
      <c r="Y56">
        <f t="shared" si="5"/>
        <v>182.78399999999999</v>
      </c>
    </row>
    <row r="57" spans="1:25" x14ac:dyDescent="0.25">
      <c r="A57" t="s">
        <v>445</v>
      </c>
      <c r="B57">
        <v>41416</v>
      </c>
      <c r="C57" t="str">
        <f t="shared" si="0"/>
        <v>2013</v>
      </c>
      <c r="D57" t="s">
        <v>446</v>
      </c>
      <c r="E57" t="s">
        <v>447</v>
      </c>
      <c r="F57" t="s">
        <v>448</v>
      </c>
      <c r="G57" t="s">
        <v>449</v>
      </c>
      <c r="H57" t="s">
        <v>293</v>
      </c>
      <c r="I57" t="s">
        <v>333</v>
      </c>
      <c r="J57" t="s">
        <v>261</v>
      </c>
      <c r="K57" t="s">
        <v>329</v>
      </c>
      <c r="L57" t="s">
        <v>245</v>
      </c>
      <c r="M57" t="s">
        <v>246</v>
      </c>
      <c r="N57" t="s">
        <v>263</v>
      </c>
      <c r="O57">
        <v>41417</v>
      </c>
      <c r="P57">
        <v>4.59</v>
      </c>
      <c r="Q57">
        <v>7.28</v>
      </c>
      <c r="R57">
        <f t="shared" si="1"/>
        <v>2.6900000000000004</v>
      </c>
      <c r="S57">
        <v>2</v>
      </c>
      <c r="T57">
        <f t="shared" si="2"/>
        <v>14.56</v>
      </c>
      <c r="U57">
        <v>0.08</v>
      </c>
      <c r="V57">
        <f t="shared" si="3"/>
        <v>1.1648000000000001</v>
      </c>
      <c r="W57">
        <f t="shared" si="4"/>
        <v>13.395200000000001</v>
      </c>
      <c r="X57">
        <v>11.15</v>
      </c>
      <c r="Y57">
        <f t="shared" si="5"/>
        <v>24.545200000000001</v>
      </c>
    </row>
    <row r="58" spans="1:25" x14ac:dyDescent="0.25">
      <c r="A58" t="s">
        <v>450</v>
      </c>
      <c r="B58">
        <v>41416</v>
      </c>
      <c r="C58" t="str">
        <f t="shared" si="0"/>
        <v>2013</v>
      </c>
      <c r="D58" t="s">
        <v>451</v>
      </c>
      <c r="E58" t="s">
        <v>452</v>
      </c>
      <c r="F58" t="s">
        <v>239</v>
      </c>
      <c r="G58" t="s">
        <v>240</v>
      </c>
      <c r="H58" t="s">
        <v>259</v>
      </c>
      <c r="I58" t="s">
        <v>242</v>
      </c>
      <c r="J58" t="s">
        <v>261</v>
      </c>
      <c r="K58" t="s">
        <v>453</v>
      </c>
      <c r="L58" t="s">
        <v>245</v>
      </c>
      <c r="M58" t="s">
        <v>246</v>
      </c>
      <c r="N58" t="s">
        <v>247</v>
      </c>
      <c r="O58">
        <v>41418</v>
      </c>
      <c r="P58">
        <v>1.18</v>
      </c>
      <c r="Q58">
        <v>1.88</v>
      </c>
      <c r="R58">
        <f t="shared" si="1"/>
        <v>0.7</v>
      </c>
      <c r="S58">
        <v>1</v>
      </c>
      <c r="T58">
        <f t="shared" si="2"/>
        <v>1.88</v>
      </c>
      <c r="U58">
        <v>0.05</v>
      </c>
      <c r="V58">
        <f t="shared" si="3"/>
        <v>9.4E-2</v>
      </c>
      <c r="W58">
        <f t="shared" si="4"/>
        <v>1.7859999999999998</v>
      </c>
      <c r="X58">
        <v>1.49</v>
      </c>
      <c r="Y58">
        <f t="shared" si="5"/>
        <v>3.2759999999999998</v>
      </c>
    </row>
    <row r="59" spans="1:25" x14ac:dyDescent="0.25">
      <c r="A59" t="s">
        <v>454</v>
      </c>
      <c r="B59">
        <v>41417</v>
      </c>
      <c r="C59" t="str">
        <f t="shared" si="0"/>
        <v>2013</v>
      </c>
      <c r="D59" t="s">
        <v>455</v>
      </c>
      <c r="E59" t="s">
        <v>456</v>
      </c>
      <c r="F59" t="s">
        <v>257</v>
      </c>
      <c r="G59" t="s">
        <v>258</v>
      </c>
      <c r="H59" t="s">
        <v>241</v>
      </c>
      <c r="I59" t="s">
        <v>333</v>
      </c>
      <c r="J59" t="s">
        <v>304</v>
      </c>
      <c r="K59" t="s">
        <v>457</v>
      </c>
      <c r="L59" t="s">
        <v>268</v>
      </c>
      <c r="M59" t="s">
        <v>246</v>
      </c>
      <c r="N59" t="s">
        <v>263</v>
      </c>
      <c r="O59">
        <v>41419</v>
      </c>
      <c r="P59">
        <v>6.4</v>
      </c>
      <c r="Q59">
        <v>29.1</v>
      </c>
      <c r="R59">
        <f t="shared" si="1"/>
        <v>22.700000000000003</v>
      </c>
      <c r="S59">
        <v>33</v>
      </c>
      <c r="T59">
        <f t="shared" si="2"/>
        <v>960.30000000000007</v>
      </c>
      <c r="U59">
        <v>0.01</v>
      </c>
      <c r="V59">
        <f t="shared" si="3"/>
        <v>9.6030000000000015</v>
      </c>
      <c r="W59">
        <f t="shared" si="4"/>
        <v>950.69700000000012</v>
      </c>
      <c r="X59">
        <v>4</v>
      </c>
      <c r="Y59">
        <f t="shared" si="5"/>
        <v>954.69700000000012</v>
      </c>
    </row>
    <row r="60" spans="1:25" x14ac:dyDescent="0.25">
      <c r="A60" t="s">
        <v>458</v>
      </c>
      <c r="B60">
        <v>41420</v>
      </c>
      <c r="C60" t="str">
        <f t="shared" si="0"/>
        <v>2013</v>
      </c>
      <c r="D60" t="s">
        <v>459</v>
      </c>
      <c r="E60" t="s">
        <v>341</v>
      </c>
      <c r="F60" t="s">
        <v>257</v>
      </c>
      <c r="G60" t="s">
        <v>258</v>
      </c>
      <c r="H60" t="s">
        <v>293</v>
      </c>
      <c r="I60" t="s">
        <v>342</v>
      </c>
      <c r="J60" t="s">
        <v>261</v>
      </c>
      <c r="K60" t="s">
        <v>460</v>
      </c>
      <c r="L60" t="s">
        <v>245</v>
      </c>
      <c r="M60" t="s">
        <v>246</v>
      </c>
      <c r="N60" t="s">
        <v>247</v>
      </c>
      <c r="O60">
        <v>41420</v>
      </c>
      <c r="P60">
        <v>3.84</v>
      </c>
      <c r="Q60">
        <v>6.3</v>
      </c>
      <c r="R60">
        <f t="shared" si="1"/>
        <v>2.46</v>
      </c>
      <c r="S60">
        <v>42</v>
      </c>
      <c r="T60">
        <f t="shared" si="2"/>
        <v>264.59999999999997</v>
      </c>
      <c r="U60">
        <v>7.0000000000000007E-2</v>
      </c>
      <c r="V60">
        <f t="shared" si="3"/>
        <v>18.521999999999998</v>
      </c>
      <c r="W60">
        <f t="shared" si="4"/>
        <v>246.07799999999997</v>
      </c>
      <c r="X60">
        <v>0.5</v>
      </c>
      <c r="Y60">
        <f t="shared" si="5"/>
        <v>246.57799999999997</v>
      </c>
    </row>
    <row r="61" spans="1:25" x14ac:dyDescent="0.25">
      <c r="A61" t="s">
        <v>461</v>
      </c>
      <c r="B61">
        <v>41421</v>
      </c>
      <c r="C61" t="str">
        <f t="shared" si="0"/>
        <v>2013</v>
      </c>
      <c r="D61" t="s">
        <v>462</v>
      </c>
      <c r="E61" t="s">
        <v>463</v>
      </c>
      <c r="F61" t="s">
        <v>257</v>
      </c>
      <c r="G61" t="s">
        <v>258</v>
      </c>
      <c r="H61" t="s">
        <v>241</v>
      </c>
      <c r="I61" t="s">
        <v>333</v>
      </c>
      <c r="J61" t="s">
        <v>304</v>
      </c>
      <c r="K61" t="s">
        <v>464</v>
      </c>
      <c r="L61" t="s">
        <v>268</v>
      </c>
      <c r="M61" t="s">
        <v>246</v>
      </c>
      <c r="N61" t="s">
        <v>247</v>
      </c>
      <c r="O61">
        <v>41422</v>
      </c>
      <c r="P61">
        <v>156.5</v>
      </c>
      <c r="Q61">
        <v>300.97000000000003</v>
      </c>
      <c r="R61">
        <f t="shared" si="1"/>
        <v>144.47000000000003</v>
      </c>
      <c r="S61">
        <v>14</v>
      </c>
      <c r="T61">
        <f t="shared" si="2"/>
        <v>4213.58</v>
      </c>
      <c r="U61">
        <v>0.1</v>
      </c>
      <c r="V61">
        <f t="shared" si="3"/>
        <v>421.358</v>
      </c>
      <c r="W61">
        <f t="shared" si="4"/>
        <v>3792.2219999999998</v>
      </c>
      <c r="X61">
        <v>7.18</v>
      </c>
      <c r="Y61">
        <f t="shared" si="5"/>
        <v>3799.4019999999996</v>
      </c>
    </row>
    <row r="62" spans="1:25" x14ac:dyDescent="0.25">
      <c r="A62" t="s">
        <v>465</v>
      </c>
      <c r="B62">
        <v>41422</v>
      </c>
      <c r="C62" t="str">
        <f t="shared" si="0"/>
        <v>2013</v>
      </c>
      <c r="D62" t="s">
        <v>466</v>
      </c>
      <c r="E62" t="s">
        <v>467</v>
      </c>
      <c r="F62" t="s">
        <v>257</v>
      </c>
      <c r="G62" t="s">
        <v>258</v>
      </c>
      <c r="H62" t="s">
        <v>259</v>
      </c>
      <c r="I62" t="s">
        <v>342</v>
      </c>
      <c r="J62" t="s">
        <v>279</v>
      </c>
      <c r="K62" t="s">
        <v>468</v>
      </c>
      <c r="L62" t="s">
        <v>245</v>
      </c>
      <c r="M62" t="s">
        <v>253</v>
      </c>
      <c r="N62" t="s">
        <v>247</v>
      </c>
      <c r="O62">
        <v>41426</v>
      </c>
      <c r="P62">
        <v>2.29</v>
      </c>
      <c r="Q62">
        <v>3.58</v>
      </c>
      <c r="R62">
        <f t="shared" si="1"/>
        <v>1.29</v>
      </c>
      <c r="S62">
        <v>38</v>
      </c>
      <c r="T62">
        <f t="shared" si="2"/>
        <v>136.04</v>
      </c>
      <c r="U62">
        <v>0.06</v>
      </c>
      <c r="V62">
        <f t="shared" si="3"/>
        <v>8.1623999999999999</v>
      </c>
      <c r="W62">
        <f t="shared" si="4"/>
        <v>127.87759999999999</v>
      </c>
      <c r="X62">
        <v>1.63</v>
      </c>
      <c r="Y62">
        <f t="shared" si="5"/>
        <v>129.5076</v>
      </c>
    </row>
    <row r="63" spans="1:25" x14ac:dyDescent="0.25">
      <c r="A63" t="s">
        <v>469</v>
      </c>
      <c r="B63">
        <v>41423</v>
      </c>
      <c r="C63" t="str">
        <f t="shared" si="0"/>
        <v>2013</v>
      </c>
      <c r="D63" t="s">
        <v>470</v>
      </c>
      <c r="E63" t="s">
        <v>471</v>
      </c>
      <c r="F63" t="s">
        <v>448</v>
      </c>
      <c r="G63" t="s">
        <v>449</v>
      </c>
      <c r="H63" t="s">
        <v>241</v>
      </c>
      <c r="I63" t="s">
        <v>381</v>
      </c>
      <c r="J63" t="s">
        <v>243</v>
      </c>
      <c r="K63" t="s">
        <v>472</v>
      </c>
      <c r="L63" t="s">
        <v>245</v>
      </c>
      <c r="M63" t="s">
        <v>246</v>
      </c>
      <c r="N63" t="s">
        <v>263</v>
      </c>
      <c r="O63">
        <v>41423</v>
      </c>
      <c r="P63">
        <v>2.25</v>
      </c>
      <c r="Q63">
        <v>3.69</v>
      </c>
      <c r="R63">
        <f t="shared" si="1"/>
        <v>1.44</v>
      </c>
      <c r="S63">
        <v>35</v>
      </c>
      <c r="T63">
        <f t="shared" si="2"/>
        <v>129.15</v>
      </c>
      <c r="U63">
        <v>0.03</v>
      </c>
      <c r="V63">
        <f t="shared" si="3"/>
        <v>3.8744999999999998</v>
      </c>
      <c r="W63">
        <f t="shared" si="4"/>
        <v>125.27550000000001</v>
      </c>
      <c r="X63">
        <v>2.5</v>
      </c>
      <c r="Y63">
        <f t="shared" si="5"/>
        <v>127.77550000000001</v>
      </c>
    </row>
    <row r="64" spans="1:25" x14ac:dyDescent="0.25">
      <c r="A64" t="s">
        <v>473</v>
      </c>
      <c r="B64">
        <v>41423</v>
      </c>
      <c r="C64" t="str">
        <f t="shared" si="0"/>
        <v>2013</v>
      </c>
      <c r="D64" t="s">
        <v>474</v>
      </c>
      <c r="E64" t="s">
        <v>320</v>
      </c>
      <c r="F64" t="s">
        <v>448</v>
      </c>
      <c r="G64" t="s">
        <v>449</v>
      </c>
      <c r="H64" t="s">
        <v>293</v>
      </c>
      <c r="I64" t="s">
        <v>381</v>
      </c>
      <c r="J64" t="s">
        <v>304</v>
      </c>
      <c r="K64" t="s">
        <v>475</v>
      </c>
      <c r="L64" t="s">
        <v>245</v>
      </c>
      <c r="M64" t="s">
        <v>246</v>
      </c>
      <c r="N64" t="s">
        <v>263</v>
      </c>
      <c r="O64">
        <v>41423</v>
      </c>
      <c r="P64">
        <v>12.39</v>
      </c>
      <c r="Q64">
        <v>19.98</v>
      </c>
      <c r="R64">
        <f t="shared" si="1"/>
        <v>7.59</v>
      </c>
      <c r="S64">
        <v>13</v>
      </c>
      <c r="T64">
        <f t="shared" si="2"/>
        <v>259.74</v>
      </c>
      <c r="U64">
        <v>0.1</v>
      </c>
      <c r="V64">
        <f t="shared" si="3"/>
        <v>25.974000000000004</v>
      </c>
      <c r="W64">
        <f t="shared" si="4"/>
        <v>233.76600000000002</v>
      </c>
      <c r="X64">
        <v>5.77</v>
      </c>
      <c r="Y64">
        <f t="shared" si="5"/>
        <v>239.53600000000003</v>
      </c>
    </row>
    <row r="65" spans="1:25" x14ac:dyDescent="0.25">
      <c r="A65" t="s">
        <v>476</v>
      </c>
      <c r="B65">
        <v>41425</v>
      </c>
      <c r="C65" t="str">
        <f t="shared" si="0"/>
        <v>2013</v>
      </c>
      <c r="D65" t="s">
        <v>477</v>
      </c>
      <c r="E65" t="s">
        <v>478</v>
      </c>
      <c r="F65" t="s">
        <v>257</v>
      </c>
      <c r="G65" t="s">
        <v>258</v>
      </c>
      <c r="H65" t="s">
        <v>259</v>
      </c>
      <c r="I65" t="s">
        <v>275</v>
      </c>
      <c r="J65" t="s">
        <v>304</v>
      </c>
      <c r="K65" t="s">
        <v>479</v>
      </c>
      <c r="L65" t="s">
        <v>245</v>
      </c>
      <c r="M65" t="s">
        <v>246</v>
      </c>
      <c r="N65" t="s">
        <v>247</v>
      </c>
      <c r="O65">
        <v>41425</v>
      </c>
      <c r="P65">
        <v>8.92</v>
      </c>
      <c r="Q65">
        <v>29.74</v>
      </c>
      <c r="R65">
        <f t="shared" si="1"/>
        <v>20.82</v>
      </c>
      <c r="S65">
        <v>14</v>
      </c>
      <c r="T65">
        <f t="shared" si="2"/>
        <v>416.35999999999996</v>
      </c>
      <c r="U65">
        <v>0.02</v>
      </c>
      <c r="V65">
        <f t="shared" si="3"/>
        <v>8.3271999999999995</v>
      </c>
      <c r="W65">
        <f t="shared" si="4"/>
        <v>408.03279999999995</v>
      </c>
      <c r="X65">
        <v>6.64</v>
      </c>
      <c r="Y65">
        <f t="shared" si="5"/>
        <v>414.67279999999994</v>
      </c>
    </row>
    <row r="66" spans="1:25" x14ac:dyDescent="0.25">
      <c r="A66" t="s">
        <v>480</v>
      </c>
      <c r="B66">
        <v>41425</v>
      </c>
      <c r="C66" t="str">
        <f t="shared" si="0"/>
        <v>2013</v>
      </c>
      <c r="D66" t="s">
        <v>481</v>
      </c>
      <c r="E66" t="s">
        <v>332</v>
      </c>
      <c r="F66" t="s">
        <v>257</v>
      </c>
      <c r="G66" t="s">
        <v>258</v>
      </c>
      <c r="H66" t="s">
        <v>293</v>
      </c>
      <c r="I66" t="s">
        <v>333</v>
      </c>
      <c r="J66" t="s">
        <v>294</v>
      </c>
      <c r="K66" t="s">
        <v>482</v>
      </c>
      <c r="L66" t="s">
        <v>268</v>
      </c>
      <c r="M66" t="s">
        <v>246</v>
      </c>
      <c r="N66" t="s">
        <v>247</v>
      </c>
      <c r="O66">
        <v>41427</v>
      </c>
      <c r="P66">
        <v>60.59</v>
      </c>
      <c r="Q66">
        <v>100.98</v>
      </c>
      <c r="R66">
        <f t="shared" si="1"/>
        <v>40.39</v>
      </c>
      <c r="S66">
        <v>33</v>
      </c>
      <c r="T66">
        <f t="shared" si="2"/>
        <v>3332.34</v>
      </c>
      <c r="U66">
        <v>0.05</v>
      </c>
      <c r="V66">
        <f t="shared" si="3"/>
        <v>166.61700000000002</v>
      </c>
      <c r="W66">
        <f t="shared" si="4"/>
        <v>3165.723</v>
      </c>
      <c r="X66">
        <v>7.18</v>
      </c>
      <c r="Y66">
        <f t="shared" si="5"/>
        <v>3172.9029999999998</v>
      </c>
    </row>
    <row r="67" spans="1:25" x14ac:dyDescent="0.25">
      <c r="A67" t="s">
        <v>483</v>
      </c>
      <c r="B67">
        <v>41425</v>
      </c>
      <c r="C67" t="str">
        <f t="shared" si="0"/>
        <v>2013</v>
      </c>
      <c r="D67" t="s">
        <v>484</v>
      </c>
      <c r="E67" t="s">
        <v>238</v>
      </c>
      <c r="F67" t="s">
        <v>239</v>
      </c>
      <c r="G67" t="s">
        <v>240</v>
      </c>
      <c r="H67" t="s">
        <v>274</v>
      </c>
      <c r="I67" t="s">
        <v>242</v>
      </c>
      <c r="J67" t="s">
        <v>279</v>
      </c>
      <c r="K67" t="s">
        <v>485</v>
      </c>
      <c r="L67" t="s">
        <v>245</v>
      </c>
      <c r="M67" t="s">
        <v>253</v>
      </c>
      <c r="N67" t="s">
        <v>247</v>
      </c>
      <c r="O67">
        <v>41429</v>
      </c>
      <c r="P67">
        <v>3.48</v>
      </c>
      <c r="Q67">
        <v>5.43</v>
      </c>
      <c r="R67">
        <f t="shared" si="1"/>
        <v>1.9499999999999997</v>
      </c>
      <c r="S67">
        <v>29</v>
      </c>
      <c r="T67">
        <f t="shared" si="2"/>
        <v>157.47</v>
      </c>
      <c r="U67">
        <v>7.0000000000000007E-2</v>
      </c>
      <c r="V67">
        <f t="shared" si="3"/>
        <v>11.022900000000002</v>
      </c>
      <c r="W67">
        <f t="shared" si="4"/>
        <v>146.44710000000001</v>
      </c>
      <c r="X67">
        <v>0.95</v>
      </c>
      <c r="Y67">
        <f t="shared" si="5"/>
        <v>147.39709999999999</v>
      </c>
    </row>
    <row r="68" spans="1:25" x14ac:dyDescent="0.25">
      <c r="A68" t="s">
        <v>486</v>
      </c>
      <c r="B68">
        <v>41427</v>
      </c>
      <c r="C68" t="str">
        <f t="shared" si="0"/>
        <v>2013</v>
      </c>
      <c r="D68" t="s">
        <v>487</v>
      </c>
      <c r="E68" t="s">
        <v>352</v>
      </c>
      <c r="F68" t="s">
        <v>257</v>
      </c>
      <c r="G68" t="s">
        <v>258</v>
      </c>
      <c r="H68" t="s">
        <v>293</v>
      </c>
      <c r="I68" t="s">
        <v>275</v>
      </c>
      <c r="J68" t="s">
        <v>279</v>
      </c>
      <c r="K68" t="s">
        <v>488</v>
      </c>
      <c r="L68" t="s">
        <v>268</v>
      </c>
      <c r="M68" t="s">
        <v>323</v>
      </c>
      <c r="N68" t="s">
        <v>247</v>
      </c>
      <c r="O68">
        <v>41429</v>
      </c>
      <c r="P68">
        <v>20.18</v>
      </c>
      <c r="Q68">
        <v>35.409999999999997</v>
      </c>
      <c r="R68">
        <f t="shared" si="1"/>
        <v>15.229999999999997</v>
      </c>
      <c r="S68">
        <v>38</v>
      </c>
      <c r="T68">
        <f t="shared" si="2"/>
        <v>1345.58</v>
      </c>
      <c r="U68">
        <v>0.03</v>
      </c>
      <c r="V68">
        <f t="shared" si="3"/>
        <v>40.367399999999996</v>
      </c>
      <c r="W68">
        <f t="shared" si="4"/>
        <v>1305.2125999999998</v>
      </c>
      <c r="X68">
        <v>1.99</v>
      </c>
      <c r="Y68">
        <f t="shared" si="5"/>
        <v>1307.2025999999998</v>
      </c>
    </row>
    <row r="69" spans="1:25" x14ac:dyDescent="0.25">
      <c r="A69" t="s">
        <v>489</v>
      </c>
      <c r="B69">
        <v>41429</v>
      </c>
      <c r="C69" t="str">
        <f t="shared" si="0"/>
        <v>2013</v>
      </c>
      <c r="D69" t="s">
        <v>490</v>
      </c>
      <c r="E69" t="s">
        <v>491</v>
      </c>
      <c r="F69" t="s">
        <v>257</v>
      </c>
      <c r="G69" t="s">
        <v>258</v>
      </c>
      <c r="H69" t="s">
        <v>293</v>
      </c>
      <c r="I69" t="s">
        <v>492</v>
      </c>
      <c r="J69" t="s">
        <v>294</v>
      </c>
      <c r="K69" t="s">
        <v>493</v>
      </c>
      <c r="L69" t="s">
        <v>245</v>
      </c>
      <c r="M69" t="s">
        <v>253</v>
      </c>
      <c r="N69" t="s">
        <v>247</v>
      </c>
      <c r="O69">
        <v>41431</v>
      </c>
      <c r="P69">
        <v>1.76</v>
      </c>
      <c r="Q69">
        <v>3.38</v>
      </c>
      <c r="R69">
        <f t="shared" si="1"/>
        <v>1.6199999999999999</v>
      </c>
      <c r="S69">
        <v>34</v>
      </c>
      <c r="T69">
        <f t="shared" si="2"/>
        <v>114.92</v>
      </c>
      <c r="U69">
        <v>7.0000000000000007E-2</v>
      </c>
      <c r="V69">
        <f t="shared" si="3"/>
        <v>8.0444000000000013</v>
      </c>
      <c r="W69">
        <f t="shared" si="4"/>
        <v>106.87560000000001</v>
      </c>
      <c r="X69">
        <v>0.85</v>
      </c>
      <c r="Y69">
        <f t="shared" si="5"/>
        <v>107.7256</v>
      </c>
    </row>
    <row r="70" spans="1:25" x14ac:dyDescent="0.25">
      <c r="A70" t="s">
        <v>494</v>
      </c>
      <c r="B70">
        <v>41430</v>
      </c>
      <c r="C70" t="str">
        <f t="shared" ref="C70:C133" si="6">TEXT(B70,"yyyy")</f>
        <v>2013</v>
      </c>
      <c r="D70" t="s">
        <v>495</v>
      </c>
      <c r="E70" t="s">
        <v>402</v>
      </c>
      <c r="F70" t="s">
        <v>257</v>
      </c>
      <c r="G70" t="s">
        <v>258</v>
      </c>
      <c r="H70" t="s">
        <v>241</v>
      </c>
      <c r="I70" t="s">
        <v>333</v>
      </c>
      <c r="J70" t="s">
        <v>261</v>
      </c>
      <c r="K70" t="s">
        <v>313</v>
      </c>
      <c r="L70" t="s">
        <v>245</v>
      </c>
      <c r="M70" t="s">
        <v>246</v>
      </c>
      <c r="N70" t="s">
        <v>263</v>
      </c>
      <c r="O70">
        <v>41432</v>
      </c>
      <c r="P70">
        <v>36.020000000000003</v>
      </c>
      <c r="Q70">
        <v>58.1</v>
      </c>
      <c r="R70">
        <f t="shared" ref="R70:R133" si="7">Q70-P70</f>
        <v>22.08</v>
      </c>
      <c r="S70">
        <v>10</v>
      </c>
      <c r="T70">
        <f t="shared" ref="T70:T133" si="8">Q70*S70</f>
        <v>581</v>
      </c>
      <c r="U70">
        <v>0.09</v>
      </c>
      <c r="V70">
        <f t="shared" ref="V70:V133" si="9">T70*U70</f>
        <v>52.29</v>
      </c>
      <c r="W70">
        <f t="shared" ref="W70:W133" si="10">T70-V70</f>
        <v>528.71</v>
      </c>
      <c r="X70">
        <v>1.49</v>
      </c>
      <c r="Y70">
        <f t="shared" ref="Y70:Y133" si="11">W70+X70</f>
        <v>530.20000000000005</v>
      </c>
    </row>
    <row r="71" spans="1:25" x14ac:dyDescent="0.25">
      <c r="A71" t="s">
        <v>496</v>
      </c>
      <c r="B71">
        <v>41430</v>
      </c>
      <c r="C71" t="str">
        <f t="shared" si="6"/>
        <v>2013</v>
      </c>
      <c r="D71" t="s">
        <v>497</v>
      </c>
      <c r="E71" t="s">
        <v>346</v>
      </c>
      <c r="F71" t="s">
        <v>257</v>
      </c>
      <c r="G71" t="s">
        <v>258</v>
      </c>
      <c r="H71" t="s">
        <v>259</v>
      </c>
      <c r="I71" t="s">
        <v>309</v>
      </c>
      <c r="J71" t="s">
        <v>279</v>
      </c>
      <c r="K71" t="s">
        <v>464</v>
      </c>
      <c r="L71" t="s">
        <v>268</v>
      </c>
      <c r="M71" t="s">
        <v>246</v>
      </c>
      <c r="N71" t="s">
        <v>247</v>
      </c>
      <c r="O71">
        <v>41430</v>
      </c>
      <c r="P71">
        <v>156.5</v>
      </c>
      <c r="Q71">
        <v>300.97000000000003</v>
      </c>
      <c r="R71">
        <f t="shared" si="7"/>
        <v>144.47000000000003</v>
      </c>
      <c r="S71">
        <v>38</v>
      </c>
      <c r="T71">
        <f t="shared" si="8"/>
        <v>11436.86</v>
      </c>
      <c r="U71">
        <v>0.09</v>
      </c>
      <c r="V71">
        <f t="shared" si="9"/>
        <v>1029.3173999999999</v>
      </c>
      <c r="W71">
        <f t="shared" si="10"/>
        <v>10407.542600000001</v>
      </c>
      <c r="X71">
        <v>7.18</v>
      </c>
      <c r="Y71">
        <f t="shared" si="11"/>
        <v>10414.722600000001</v>
      </c>
    </row>
    <row r="72" spans="1:25" x14ac:dyDescent="0.25">
      <c r="A72" t="s">
        <v>498</v>
      </c>
      <c r="B72">
        <v>41431</v>
      </c>
      <c r="C72" t="str">
        <f t="shared" si="6"/>
        <v>2013</v>
      </c>
      <c r="D72" t="s">
        <v>499</v>
      </c>
      <c r="E72" t="s">
        <v>500</v>
      </c>
      <c r="F72" t="s">
        <v>257</v>
      </c>
      <c r="G72" t="s">
        <v>258</v>
      </c>
      <c r="H72" t="s">
        <v>293</v>
      </c>
      <c r="I72" t="s">
        <v>275</v>
      </c>
      <c r="J72" t="s">
        <v>304</v>
      </c>
      <c r="K72" t="s">
        <v>322</v>
      </c>
      <c r="L72" t="s">
        <v>245</v>
      </c>
      <c r="M72" t="s">
        <v>323</v>
      </c>
      <c r="N72" t="s">
        <v>247</v>
      </c>
      <c r="O72">
        <v>41433</v>
      </c>
      <c r="P72">
        <v>3.42</v>
      </c>
      <c r="Q72">
        <v>8.34</v>
      </c>
      <c r="R72">
        <f t="shared" si="7"/>
        <v>4.92</v>
      </c>
      <c r="S72">
        <v>30</v>
      </c>
      <c r="T72">
        <f t="shared" si="8"/>
        <v>250.2</v>
      </c>
      <c r="U72">
        <v>0.02</v>
      </c>
      <c r="V72">
        <f t="shared" si="9"/>
        <v>5.0039999999999996</v>
      </c>
      <c r="W72">
        <f t="shared" si="10"/>
        <v>245.196</v>
      </c>
      <c r="X72">
        <v>2.64</v>
      </c>
      <c r="Y72">
        <f t="shared" si="11"/>
        <v>247.83599999999998</v>
      </c>
    </row>
    <row r="73" spans="1:25" x14ac:dyDescent="0.25">
      <c r="A73" t="s">
        <v>501</v>
      </c>
      <c r="B73">
        <v>41432</v>
      </c>
      <c r="C73" t="str">
        <f t="shared" si="6"/>
        <v>2013</v>
      </c>
      <c r="D73" t="s">
        <v>502</v>
      </c>
      <c r="E73" t="s">
        <v>503</v>
      </c>
      <c r="F73" t="s">
        <v>257</v>
      </c>
      <c r="G73" t="s">
        <v>258</v>
      </c>
      <c r="H73" t="s">
        <v>259</v>
      </c>
      <c r="I73" t="s">
        <v>504</v>
      </c>
      <c r="J73" t="s">
        <v>294</v>
      </c>
      <c r="K73" t="s">
        <v>482</v>
      </c>
      <c r="L73" t="s">
        <v>268</v>
      </c>
      <c r="M73" t="s">
        <v>246</v>
      </c>
      <c r="N73" t="s">
        <v>247</v>
      </c>
      <c r="O73">
        <v>41433</v>
      </c>
      <c r="P73">
        <v>60.59</v>
      </c>
      <c r="Q73">
        <v>100.98</v>
      </c>
      <c r="R73">
        <f t="shared" si="7"/>
        <v>40.39</v>
      </c>
      <c r="S73">
        <v>29</v>
      </c>
      <c r="T73">
        <f t="shared" si="8"/>
        <v>2928.42</v>
      </c>
      <c r="U73">
        <v>0.03</v>
      </c>
      <c r="V73">
        <f t="shared" si="9"/>
        <v>87.852599999999995</v>
      </c>
      <c r="W73">
        <f t="shared" si="10"/>
        <v>2840.5673999999999</v>
      </c>
      <c r="X73">
        <v>7.18</v>
      </c>
      <c r="Y73">
        <f t="shared" si="11"/>
        <v>2847.7473999999997</v>
      </c>
    </row>
    <row r="74" spans="1:25" x14ac:dyDescent="0.25">
      <c r="A74" t="s">
        <v>505</v>
      </c>
      <c r="B74">
        <v>41434</v>
      </c>
      <c r="C74" t="str">
        <f t="shared" si="6"/>
        <v>2013</v>
      </c>
      <c r="D74" t="s">
        <v>506</v>
      </c>
      <c r="E74" t="s">
        <v>507</v>
      </c>
      <c r="F74" t="s">
        <v>257</v>
      </c>
      <c r="G74" t="s">
        <v>258</v>
      </c>
      <c r="H74" t="s">
        <v>259</v>
      </c>
      <c r="I74" t="s">
        <v>381</v>
      </c>
      <c r="J74" t="s">
        <v>294</v>
      </c>
      <c r="K74" t="s">
        <v>508</v>
      </c>
      <c r="L74" t="s">
        <v>245</v>
      </c>
      <c r="M74" t="s">
        <v>246</v>
      </c>
      <c r="N74" t="s">
        <v>247</v>
      </c>
      <c r="O74">
        <v>41434</v>
      </c>
      <c r="P74">
        <v>178.83</v>
      </c>
      <c r="Q74">
        <v>415.88</v>
      </c>
      <c r="R74">
        <f t="shared" si="7"/>
        <v>237.04999999999998</v>
      </c>
      <c r="S74">
        <v>2</v>
      </c>
      <c r="T74">
        <f t="shared" si="8"/>
        <v>831.76</v>
      </c>
      <c r="U74">
        <v>7.0000000000000007E-2</v>
      </c>
      <c r="V74">
        <f t="shared" si="9"/>
        <v>58.223200000000006</v>
      </c>
      <c r="W74">
        <f t="shared" si="10"/>
        <v>773.53679999999997</v>
      </c>
      <c r="X74">
        <v>11.37</v>
      </c>
      <c r="Y74">
        <f t="shared" si="11"/>
        <v>784.90679999999998</v>
      </c>
    </row>
    <row r="75" spans="1:25" x14ac:dyDescent="0.25">
      <c r="A75" t="s">
        <v>509</v>
      </c>
      <c r="B75">
        <v>41435</v>
      </c>
      <c r="C75" t="str">
        <f t="shared" si="6"/>
        <v>2013</v>
      </c>
      <c r="D75" t="s">
        <v>510</v>
      </c>
      <c r="E75" t="s">
        <v>511</v>
      </c>
      <c r="F75" t="s">
        <v>257</v>
      </c>
      <c r="G75" t="s">
        <v>258</v>
      </c>
      <c r="H75" t="s">
        <v>293</v>
      </c>
      <c r="I75" t="s">
        <v>381</v>
      </c>
      <c r="J75" t="s">
        <v>304</v>
      </c>
      <c r="K75" t="s">
        <v>360</v>
      </c>
      <c r="L75" t="s">
        <v>245</v>
      </c>
      <c r="M75" t="s">
        <v>253</v>
      </c>
      <c r="N75" t="s">
        <v>247</v>
      </c>
      <c r="O75">
        <v>41437</v>
      </c>
      <c r="P75">
        <v>2.52</v>
      </c>
      <c r="Q75">
        <v>4</v>
      </c>
      <c r="R75">
        <f t="shared" si="7"/>
        <v>1.48</v>
      </c>
      <c r="S75">
        <v>39</v>
      </c>
      <c r="T75">
        <f t="shared" si="8"/>
        <v>156</v>
      </c>
      <c r="U75">
        <v>0.08</v>
      </c>
      <c r="V75">
        <f t="shared" si="9"/>
        <v>12.48</v>
      </c>
      <c r="W75">
        <f t="shared" si="10"/>
        <v>143.52000000000001</v>
      </c>
      <c r="X75">
        <v>1.3</v>
      </c>
      <c r="Y75">
        <f t="shared" si="11"/>
        <v>144.82000000000002</v>
      </c>
    </row>
    <row r="76" spans="1:25" x14ac:dyDescent="0.25">
      <c r="A76" t="s">
        <v>512</v>
      </c>
      <c r="B76">
        <v>41436</v>
      </c>
      <c r="C76" t="str">
        <f t="shared" si="6"/>
        <v>2013</v>
      </c>
      <c r="D76" t="s">
        <v>513</v>
      </c>
      <c r="E76" t="s">
        <v>511</v>
      </c>
      <c r="F76" t="s">
        <v>257</v>
      </c>
      <c r="G76" t="s">
        <v>258</v>
      </c>
      <c r="H76" t="s">
        <v>274</v>
      </c>
      <c r="I76" t="s">
        <v>381</v>
      </c>
      <c r="J76" t="s">
        <v>279</v>
      </c>
      <c r="K76" t="s">
        <v>514</v>
      </c>
      <c r="L76" t="s">
        <v>245</v>
      </c>
      <c r="M76" t="s">
        <v>246</v>
      </c>
      <c r="N76" t="s">
        <v>247</v>
      </c>
      <c r="O76">
        <v>41438</v>
      </c>
      <c r="P76">
        <v>19.829999999999998</v>
      </c>
      <c r="Q76">
        <v>30.98</v>
      </c>
      <c r="R76">
        <f t="shared" si="7"/>
        <v>11.150000000000002</v>
      </c>
      <c r="S76">
        <v>49</v>
      </c>
      <c r="T76">
        <f t="shared" si="8"/>
        <v>1518.02</v>
      </c>
      <c r="U76">
        <v>0.09</v>
      </c>
      <c r="V76">
        <f t="shared" si="9"/>
        <v>136.62180000000001</v>
      </c>
      <c r="W76">
        <f t="shared" si="10"/>
        <v>1381.3982000000001</v>
      </c>
      <c r="X76">
        <v>19.510000000000002</v>
      </c>
      <c r="Y76">
        <f t="shared" si="11"/>
        <v>1400.9082000000001</v>
      </c>
    </row>
    <row r="77" spans="1:25" x14ac:dyDescent="0.25">
      <c r="A77" t="s">
        <v>515</v>
      </c>
      <c r="B77">
        <v>41440</v>
      </c>
      <c r="C77" t="str">
        <f t="shared" si="6"/>
        <v>2013</v>
      </c>
      <c r="D77" t="s">
        <v>516</v>
      </c>
      <c r="E77" t="s">
        <v>256</v>
      </c>
      <c r="F77" t="s">
        <v>257</v>
      </c>
      <c r="G77" t="s">
        <v>258</v>
      </c>
      <c r="H77" t="s">
        <v>293</v>
      </c>
      <c r="I77" t="s">
        <v>260</v>
      </c>
      <c r="J77" t="s">
        <v>304</v>
      </c>
      <c r="K77" t="s">
        <v>464</v>
      </c>
      <c r="L77" t="s">
        <v>268</v>
      </c>
      <c r="M77" t="s">
        <v>246</v>
      </c>
      <c r="N77" t="s">
        <v>247</v>
      </c>
      <c r="O77">
        <v>41442</v>
      </c>
      <c r="P77">
        <v>156.5</v>
      </c>
      <c r="Q77">
        <v>300.97000000000003</v>
      </c>
      <c r="R77">
        <f t="shared" si="7"/>
        <v>144.47000000000003</v>
      </c>
      <c r="S77">
        <v>5</v>
      </c>
      <c r="T77">
        <f t="shared" si="8"/>
        <v>1504.8500000000001</v>
      </c>
      <c r="U77">
        <v>7.0000000000000007E-2</v>
      </c>
      <c r="V77">
        <f t="shared" si="9"/>
        <v>105.33950000000002</v>
      </c>
      <c r="W77">
        <f t="shared" si="10"/>
        <v>1399.5105000000001</v>
      </c>
      <c r="X77">
        <v>7.18</v>
      </c>
      <c r="Y77">
        <f t="shared" si="11"/>
        <v>1406.6905000000002</v>
      </c>
    </row>
    <row r="78" spans="1:25" x14ac:dyDescent="0.25">
      <c r="A78" t="s">
        <v>517</v>
      </c>
      <c r="B78">
        <v>41440</v>
      </c>
      <c r="C78" t="str">
        <f t="shared" si="6"/>
        <v>2013</v>
      </c>
      <c r="D78" t="s">
        <v>518</v>
      </c>
      <c r="E78" t="s">
        <v>359</v>
      </c>
      <c r="F78" t="s">
        <v>239</v>
      </c>
      <c r="G78" t="s">
        <v>240</v>
      </c>
      <c r="H78" t="s">
        <v>274</v>
      </c>
      <c r="I78" t="s">
        <v>251</v>
      </c>
      <c r="J78" t="s">
        <v>243</v>
      </c>
      <c r="K78" t="s">
        <v>519</v>
      </c>
      <c r="L78" t="s">
        <v>245</v>
      </c>
      <c r="M78" t="s">
        <v>253</v>
      </c>
      <c r="N78" t="s">
        <v>263</v>
      </c>
      <c r="O78">
        <v>41442</v>
      </c>
      <c r="P78">
        <v>2.9</v>
      </c>
      <c r="Q78">
        <v>4.76</v>
      </c>
      <c r="R78">
        <f t="shared" si="7"/>
        <v>1.8599999999999999</v>
      </c>
      <c r="S78">
        <v>27</v>
      </c>
      <c r="T78">
        <f t="shared" si="8"/>
        <v>128.51999999999998</v>
      </c>
      <c r="U78">
        <v>7.0000000000000007E-2</v>
      </c>
      <c r="V78">
        <f t="shared" si="9"/>
        <v>8.9963999999999995</v>
      </c>
      <c r="W78">
        <f t="shared" si="10"/>
        <v>119.52359999999999</v>
      </c>
      <c r="X78">
        <v>0.88</v>
      </c>
      <c r="Y78">
        <f t="shared" si="11"/>
        <v>120.40359999999998</v>
      </c>
    </row>
    <row r="79" spans="1:25" x14ac:dyDescent="0.25">
      <c r="A79" t="s">
        <v>520</v>
      </c>
      <c r="B79">
        <v>41441</v>
      </c>
      <c r="C79" t="str">
        <f t="shared" si="6"/>
        <v>2013</v>
      </c>
      <c r="D79" t="s">
        <v>521</v>
      </c>
      <c r="E79" t="s">
        <v>522</v>
      </c>
      <c r="F79" t="s">
        <v>239</v>
      </c>
      <c r="G79" t="s">
        <v>240</v>
      </c>
      <c r="H79" t="s">
        <v>259</v>
      </c>
      <c r="I79" t="s">
        <v>251</v>
      </c>
      <c r="J79" t="s">
        <v>279</v>
      </c>
      <c r="K79" t="s">
        <v>464</v>
      </c>
      <c r="L79" t="s">
        <v>268</v>
      </c>
      <c r="M79" t="s">
        <v>246</v>
      </c>
      <c r="N79" t="s">
        <v>247</v>
      </c>
      <c r="O79">
        <v>41441</v>
      </c>
      <c r="P79">
        <v>156.5</v>
      </c>
      <c r="Q79">
        <v>300.97000000000003</v>
      </c>
      <c r="R79">
        <f t="shared" si="7"/>
        <v>144.47000000000003</v>
      </c>
      <c r="S79">
        <v>1</v>
      </c>
      <c r="T79">
        <f t="shared" si="8"/>
        <v>300.97000000000003</v>
      </c>
      <c r="U79">
        <v>0.06</v>
      </c>
      <c r="V79">
        <f t="shared" si="9"/>
        <v>18.058199999999999</v>
      </c>
      <c r="W79">
        <f t="shared" si="10"/>
        <v>282.91180000000003</v>
      </c>
      <c r="X79">
        <v>7.18</v>
      </c>
      <c r="Y79">
        <f t="shared" si="11"/>
        <v>290.09180000000003</v>
      </c>
    </row>
    <row r="80" spans="1:25" x14ac:dyDescent="0.25">
      <c r="A80" t="s">
        <v>523</v>
      </c>
      <c r="B80">
        <v>41445</v>
      </c>
      <c r="C80" t="str">
        <f t="shared" si="6"/>
        <v>2013</v>
      </c>
      <c r="D80" t="s">
        <v>336</v>
      </c>
      <c r="E80" t="s">
        <v>337</v>
      </c>
      <c r="F80" t="s">
        <v>257</v>
      </c>
      <c r="G80" t="s">
        <v>258</v>
      </c>
      <c r="H80" t="s">
        <v>293</v>
      </c>
      <c r="I80" t="s">
        <v>275</v>
      </c>
      <c r="J80" t="s">
        <v>304</v>
      </c>
      <c r="K80" t="s">
        <v>468</v>
      </c>
      <c r="L80" t="s">
        <v>245</v>
      </c>
      <c r="M80" t="s">
        <v>253</v>
      </c>
      <c r="N80" t="s">
        <v>247</v>
      </c>
      <c r="O80">
        <v>41446</v>
      </c>
      <c r="P80">
        <v>2.29</v>
      </c>
      <c r="Q80">
        <v>3.58</v>
      </c>
      <c r="R80">
        <f t="shared" si="7"/>
        <v>1.29</v>
      </c>
      <c r="S80">
        <v>10</v>
      </c>
      <c r="T80">
        <f t="shared" si="8"/>
        <v>35.799999999999997</v>
      </c>
      <c r="U80">
        <v>0.05</v>
      </c>
      <c r="V80">
        <f t="shared" si="9"/>
        <v>1.79</v>
      </c>
      <c r="W80">
        <f t="shared" si="10"/>
        <v>34.01</v>
      </c>
      <c r="X80">
        <v>1.63</v>
      </c>
      <c r="Y80">
        <f t="shared" si="11"/>
        <v>35.64</v>
      </c>
    </row>
    <row r="81" spans="1:25" x14ac:dyDescent="0.25">
      <c r="A81" t="s">
        <v>524</v>
      </c>
      <c r="B81">
        <v>41446</v>
      </c>
      <c r="C81" t="str">
        <f t="shared" si="6"/>
        <v>2013</v>
      </c>
      <c r="D81" t="s">
        <v>525</v>
      </c>
      <c r="E81" t="s">
        <v>432</v>
      </c>
      <c r="F81" t="s">
        <v>257</v>
      </c>
      <c r="G81" t="s">
        <v>258</v>
      </c>
      <c r="H81" t="s">
        <v>259</v>
      </c>
      <c r="I81" t="s">
        <v>333</v>
      </c>
      <c r="J81" t="s">
        <v>304</v>
      </c>
      <c r="K81" t="s">
        <v>285</v>
      </c>
      <c r="L81" t="s">
        <v>245</v>
      </c>
      <c r="M81" t="s">
        <v>246</v>
      </c>
      <c r="N81" t="s">
        <v>247</v>
      </c>
      <c r="O81">
        <v>41447</v>
      </c>
      <c r="P81">
        <v>99.39</v>
      </c>
      <c r="Q81">
        <v>162.93</v>
      </c>
      <c r="R81">
        <f t="shared" si="7"/>
        <v>63.540000000000006</v>
      </c>
      <c r="S81">
        <v>7</v>
      </c>
      <c r="T81">
        <f t="shared" si="8"/>
        <v>1140.51</v>
      </c>
      <c r="U81">
        <v>0.03</v>
      </c>
      <c r="V81">
        <f t="shared" si="9"/>
        <v>34.215299999999999</v>
      </c>
      <c r="W81">
        <f t="shared" si="10"/>
        <v>1106.2946999999999</v>
      </c>
      <c r="X81">
        <v>19.989999999999998</v>
      </c>
      <c r="Y81">
        <f t="shared" si="11"/>
        <v>1126.2846999999999</v>
      </c>
    </row>
    <row r="82" spans="1:25" x14ac:dyDescent="0.25">
      <c r="A82" t="s">
        <v>526</v>
      </c>
      <c r="B82">
        <v>41446</v>
      </c>
      <c r="C82" t="str">
        <f t="shared" si="6"/>
        <v>2013</v>
      </c>
      <c r="D82" t="s">
        <v>527</v>
      </c>
      <c r="E82" t="s">
        <v>528</v>
      </c>
      <c r="F82" t="s">
        <v>239</v>
      </c>
      <c r="G82" t="s">
        <v>240</v>
      </c>
      <c r="H82" t="s">
        <v>293</v>
      </c>
      <c r="I82" t="s">
        <v>251</v>
      </c>
      <c r="J82" t="s">
        <v>243</v>
      </c>
      <c r="K82" t="s">
        <v>529</v>
      </c>
      <c r="L82" t="s">
        <v>245</v>
      </c>
      <c r="M82" t="s">
        <v>253</v>
      </c>
      <c r="N82" t="s">
        <v>263</v>
      </c>
      <c r="O82">
        <v>41448</v>
      </c>
      <c r="P82">
        <v>1.6</v>
      </c>
      <c r="Q82">
        <v>2.62</v>
      </c>
      <c r="R82">
        <f t="shared" si="7"/>
        <v>1.02</v>
      </c>
      <c r="S82">
        <v>34</v>
      </c>
      <c r="T82">
        <f t="shared" si="8"/>
        <v>89.08</v>
      </c>
      <c r="U82">
        <v>0.08</v>
      </c>
      <c r="V82">
        <f t="shared" si="9"/>
        <v>7.1264000000000003</v>
      </c>
      <c r="W82">
        <f t="shared" si="10"/>
        <v>81.953599999999994</v>
      </c>
      <c r="X82">
        <v>0.8</v>
      </c>
      <c r="Y82">
        <f t="shared" si="11"/>
        <v>82.753599999999992</v>
      </c>
    </row>
    <row r="83" spans="1:25" x14ac:dyDescent="0.25">
      <c r="A83" t="s">
        <v>530</v>
      </c>
      <c r="B83">
        <v>41449</v>
      </c>
      <c r="C83" t="str">
        <f t="shared" si="6"/>
        <v>2013</v>
      </c>
      <c r="D83" t="s">
        <v>531</v>
      </c>
      <c r="E83" t="s">
        <v>532</v>
      </c>
      <c r="F83" t="s">
        <v>257</v>
      </c>
      <c r="G83" t="s">
        <v>258</v>
      </c>
      <c r="H83" t="s">
        <v>259</v>
      </c>
      <c r="I83" t="s">
        <v>260</v>
      </c>
      <c r="J83" t="s">
        <v>243</v>
      </c>
      <c r="K83" t="s">
        <v>533</v>
      </c>
      <c r="L83" t="s">
        <v>245</v>
      </c>
      <c r="M83" t="s">
        <v>246</v>
      </c>
      <c r="N83" t="s">
        <v>247</v>
      </c>
      <c r="O83">
        <v>41450</v>
      </c>
      <c r="P83">
        <v>3.4</v>
      </c>
      <c r="Q83">
        <v>5.4</v>
      </c>
      <c r="R83">
        <f t="shared" si="7"/>
        <v>2.0000000000000004</v>
      </c>
      <c r="S83">
        <v>25</v>
      </c>
      <c r="T83">
        <f t="shared" si="8"/>
        <v>135</v>
      </c>
      <c r="U83">
        <v>0.09</v>
      </c>
      <c r="V83">
        <f t="shared" si="9"/>
        <v>12.15</v>
      </c>
      <c r="W83">
        <f t="shared" si="10"/>
        <v>122.85</v>
      </c>
      <c r="X83">
        <v>7.78</v>
      </c>
      <c r="Y83">
        <f t="shared" si="11"/>
        <v>130.63</v>
      </c>
    </row>
    <row r="84" spans="1:25" x14ac:dyDescent="0.25">
      <c r="A84" t="s">
        <v>534</v>
      </c>
      <c r="B84">
        <v>41450</v>
      </c>
      <c r="C84" t="str">
        <f t="shared" si="6"/>
        <v>2013</v>
      </c>
      <c r="D84" t="s">
        <v>535</v>
      </c>
      <c r="E84" t="s">
        <v>536</v>
      </c>
      <c r="F84" t="s">
        <v>448</v>
      </c>
      <c r="G84" t="s">
        <v>449</v>
      </c>
      <c r="H84" t="s">
        <v>241</v>
      </c>
      <c r="I84" t="s">
        <v>333</v>
      </c>
      <c r="J84" t="s">
        <v>243</v>
      </c>
      <c r="K84" t="s">
        <v>537</v>
      </c>
      <c r="L84" t="s">
        <v>245</v>
      </c>
      <c r="M84" t="s">
        <v>253</v>
      </c>
      <c r="N84" t="s">
        <v>247</v>
      </c>
      <c r="O84">
        <v>41451</v>
      </c>
      <c r="P84">
        <v>11.11</v>
      </c>
      <c r="Q84">
        <v>19.84</v>
      </c>
      <c r="R84">
        <f t="shared" si="7"/>
        <v>8.73</v>
      </c>
      <c r="S84">
        <v>26</v>
      </c>
      <c r="T84">
        <f t="shared" si="8"/>
        <v>515.84</v>
      </c>
      <c r="U84">
        <v>7.0000000000000007E-2</v>
      </c>
      <c r="V84">
        <f t="shared" si="9"/>
        <v>36.108800000000002</v>
      </c>
      <c r="W84">
        <f t="shared" si="10"/>
        <v>479.73120000000006</v>
      </c>
      <c r="X84">
        <v>4.0999999999999996</v>
      </c>
      <c r="Y84">
        <f t="shared" si="11"/>
        <v>483.83120000000008</v>
      </c>
    </row>
    <row r="85" spans="1:25" x14ac:dyDescent="0.25">
      <c r="A85" t="s">
        <v>538</v>
      </c>
      <c r="B85">
        <v>41451</v>
      </c>
      <c r="C85" t="str">
        <f t="shared" si="6"/>
        <v>2013</v>
      </c>
      <c r="D85" t="s">
        <v>539</v>
      </c>
      <c r="E85" t="s">
        <v>540</v>
      </c>
      <c r="F85" t="s">
        <v>448</v>
      </c>
      <c r="G85" t="s">
        <v>449</v>
      </c>
      <c r="H85" t="s">
        <v>259</v>
      </c>
      <c r="I85" t="s">
        <v>299</v>
      </c>
      <c r="J85" t="s">
        <v>261</v>
      </c>
      <c r="K85" t="s">
        <v>338</v>
      </c>
      <c r="L85" t="s">
        <v>245</v>
      </c>
      <c r="M85" t="s">
        <v>253</v>
      </c>
      <c r="N85" t="s">
        <v>247</v>
      </c>
      <c r="O85">
        <v>41452</v>
      </c>
      <c r="P85">
        <v>1.82</v>
      </c>
      <c r="Q85">
        <v>2.98</v>
      </c>
      <c r="R85">
        <f t="shared" si="7"/>
        <v>1.1599999999999999</v>
      </c>
      <c r="S85">
        <v>3</v>
      </c>
      <c r="T85">
        <f t="shared" si="8"/>
        <v>8.94</v>
      </c>
      <c r="U85">
        <v>0.09</v>
      </c>
      <c r="V85">
        <f t="shared" si="9"/>
        <v>0.80459999999999987</v>
      </c>
      <c r="W85">
        <f t="shared" si="10"/>
        <v>8.1353999999999989</v>
      </c>
      <c r="X85">
        <v>1.58</v>
      </c>
      <c r="Y85">
        <f t="shared" si="11"/>
        <v>9.7153999999999989</v>
      </c>
    </row>
    <row r="86" spans="1:25" x14ac:dyDescent="0.25">
      <c r="A86" t="s">
        <v>541</v>
      </c>
      <c r="B86">
        <v>41454</v>
      </c>
      <c r="C86" t="str">
        <f t="shared" si="6"/>
        <v>2013</v>
      </c>
      <c r="D86" t="s">
        <v>542</v>
      </c>
      <c r="E86" t="s">
        <v>303</v>
      </c>
      <c r="F86" t="s">
        <v>239</v>
      </c>
      <c r="G86" t="s">
        <v>240</v>
      </c>
      <c r="H86" t="s">
        <v>241</v>
      </c>
      <c r="I86" t="s">
        <v>242</v>
      </c>
      <c r="J86" t="s">
        <v>304</v>
      </c>
      <c r="K86" t="s">
        <v>543</v>
      </c>
      <c r="L86" t="s">
        <v>245</v>
      </c>
      <c r="M86" t="s">
        <v>246</v>
      </c>
      <c r="N86" t="s">
        <v>247</v>
      </c>
      <c r="O86">
        <v>41456</v>
      </c>
      <c r="P86">
        <v>1.33</v>
      </c>
      <c r="Q86">
        <v>2.08</v>
      </c>
      <c r="R86">
        <f t="shared" si="7"/>
        <v>0.75</v>
      </c>
      <c r="S86">
        <v>44</v>
      </c>
      <c r="T86">
        <f t="shared" si="8"/>
        <v>91.52000000000001</v>
      </c>
      <c r="U86">
        <v>0.04</v>
      </c>
      <c r="V86">
        <f t="shared" si="9"/>
        <v>3.6608000000000005</v>
      </c>
      <c r="W86">
        <f t="shared" si="10"/>
        <v>87.859200000000016</v>
      </c>
      <c r="X86">
        <v>1.49</v>
      </c>
      <c r="Y86">
        <f t="shared" si="11"/>
        <v>89.34920000000001</v>
      </c>
    </row>
    <row r="87" spans="1:25" x14ac:dyDescent="0.25">
      <c r="A87" t="s">
        <v>544</v>
      </c>
      <c r="B87">
        <v>41454</v>
      </c>
      <c r="C87" t="str">
        <f t="shared" si="6"/>
        <v>2013</v>
      </c>
      <c r="D87" t="s">
        <v>545</v>
      </c>
      <c r="E87" t="s">
        <v>546</v>
      </c>
      <c r="F87" t="s">
        <v>257</v>
      </c>
      <c r="G87" t="s">
        <v>258</v>
      </c>
      <c r="H87" t="s">
        <v>293</v>
      </c>
      <c r="I87" t="s">
        <v>260</v>
      </c>
      <c r="J87" t="s">
        <v>294</v>
      </c>
      <c r="K87" t="s">
        <v>547</v>
      </c>
      <c r="L87" t="s">
        <v>268</v>
      </c>
      <c r="M87" t="s">
        <v>414</v>
      </c>
      <c r="N87" t="s">
        <v>247</v>
      </c>
      <c r="O87">
        <v>41456</v>
      </c>
      <c r="P87">
        <v>7.92</v>
      </c>
      <c r="Q87">
        <v>12.99</v>
      </c>
      <c r="R87">
        <f t="shared" si="7"/>
        <v>5.07</v>
      </c>
      <c r="S87">
        <v>49</v>
      </c>
      <c r="T87">
        <f t="shared" si="8"/>
        <v>636.51</v>
      </c>
      <c r="U87">
        <v>7.0000000000000007E-2</v>
      </c>
      <c r="V87">
        <f t="shared" si="9"/>
        <v>44.555700000000002</v>
      </c>
      <c r="W87">
        <f t="shared" si="10"/>
        <v>591.95429999999999</v>
      </c>
      <c r="X87">
        <v>9.44</v>
      </c>
      <c r="Y87">
        <f t="shared" si="11"/>
        <v>601.39430000000004</v>
      </c>
    </row>
    <row r="88" spans="1:25" x14ac:dyDescent="0.25">
      <c r="A88" t="s">
        <v>548</v>
      </c>
      <c r="B88">
        <v>41455</v>
      </c>
      <c r="C88" t="str">
        <f t="shared" si="6"/>
        <v>2013</v>
      </c>
      <c r="D88" t="s">
        <v>549</v>
      </c>
      <c r="E88" t="s">
        <v>380</v>
      </c>
      <c r="F88" t="s">
        <v>257</v>
      </c>
      <c r="G88" t="s">
        <v>258</v>
      </c>
      <c r="H88" t="s">
        <v>293</v>
      </c>
      <c r="I88" t="s">
        <v>381</v>
      </c>
      <c r="J88" t="s">
        <v>279</v>
      </c>
      <c r="K88" t="s">
        <v>373</v>
      </c>
      <c r="L88" t="s">
        <v>268</v>
      </c>
      <c r="M88" t="s">
        <v>246</v>
      </c>
      <c r="N88" t="s">
        <v>247</v>
      </c>
      <c r="O88">
        <v>41459</v>
      </c>
      <c r="P88">
        <v>6.39</v>
      </c>
      <c r="Q88">
        <v>19.98</v>
      </c>
      <c r="R88">
        <f t="shared" si="7"/>
        <v>13.59</v>
      </c>
      <c r="S88">
        <v>19</v>
      </c>
      <c r="T88">
        <f t="shared" si="8"/>
        <v>379.62</v>
      </c>
      <c r="U88">
        <v>0.08</v>
      </c>
      <c r="V88">
        <f t="shared" si="9"/>
        <v>30.369600000000002</v>
      </c>
      <c r="W88">
        <f t="shared" si="10"/>
        <v>349.25040000000001</v>
      </c>
      <c r="X88">
        <v>4</v>
      </c>
      <c r="Y88">
        <f t="shared" si="11"/>
        <v>353.25040000000001</v>
      </c>
    </row>
    <row r="89" spans="1:25" x14ac:dyDescent="0.25">
      <c r="A89" t="s">
        <v>550</v>
      </c>
      <c r="B89">
        <v>41457</v>
      </c>
      <c r="C89" t="str">
        <f t="shared" si="6"/>
        <v>2013</v>
      </c>
      <c r="D89" t="s">
        <v>551</v>
      </c>
      <c r="E89" t="s">
        <v>552</v>
      </c>
      <c r="F89" t="s">
        <v>257</v>
      </c>
      <c r="G89" t="s">
        <v>258</v>
      </c>
      <c r="H89" t="s">
        <v>274</v>
      </c>
      <c r="I89" t="s">
        <v>284</v>
      </c>
      <c r="J89" t="s">
        <v>243</v>
      </c>
      <c r="K89" t="s">
        <v>403</v>
      </c>
      <c r="L89" t="s">
        <v>268</v>
      </c>
      <c r="M89" t="s">
        <v>323</v>
      </c>
      <c r="N89" t="s">
        <v>263</v>
      </c>
      <c r="O89">
        <v>41458</v>
      </c>
      <c r="P89">
        <v>1.87</v>
      </c>
      <c r="Q89">
        <v>8.1199999999999992</v>
      </c>
      <c r="R89">
        <f t="shared" si="7"/>
        <v>6.2499999999999991</v>
      </c>
      <c r="S89">
        <v>32</v>
      </c>
      <c r="T89">
        <f t="shared" si="8"/>
        <v>259.83999999999997</v>
      </c>
      <c r="U89">
        <v>0.08</v>
      </c>
      <c r="V89">
        <f t="shared" si="9"/>
        <v>20.787199999999999</v>
      </c>
      <c r="W89">
        <f t="shared" si="10"/>
        <v>239.05279999999999</v>
      </c>
      <c r="X89">
        <v>2.83</v>
      </c>
      <c r="Y89">
        <f t="shared" si="11"/>
        <v>241.8828</v>
      </c>
    </row>
    <row r="90" spans="1:25" x14ac:dyDescent="0.25">
      <c r="A90" t="s">
        <v>553</v>
      </c>
      <c r="B90">
        <v>41458</v>
      </c>
      <c r="C90" t="str">
        <f t="shared" si="6"/>
        <v>2013</v>
      </c>
      <c r="D90" t="s">
        <v>554</v>
      </c>
      <c r="E90" t="s">
        <v>367</v>
      </c>
      <c r="F90" t="s">
        <v>239</v>
      </c>
      <c r="G90" t="s">
        <v>240</v>
      </c>
      <c r="H90" t="s">
        <v>241</v>
      </c>
      <c r="I90" t="s">
        <v>251</v>
      </c>
      <c r="J90" t="s">
        <v>243</v>
      </c>
      <c r="K90" t="s">
        <v>555</v>
      </c>
      <c r="L90" t="s">
        <v>245</v>
      </c>
      <c r="M90" t="s">
        <v>246</v>
      </c>
      <c r="N90" t="s">
        <v>247</v>
      </c>
      <c r="O90">
        <v>41460</v>
      </c>
      <c r="P90">
        <v>1.98</v>
      </c>
      <c r="Q90">
        <v>3.15</v>
      </c>
      <c r="R90">
        <f t="shared" si="7"/>
        <v>1.17</v>
      </c>
      <c r="S90">
        <v>23</v>
      </c>
      <c r="T90">
        <f t="shared" si="8"/>
        <v>72.45</v>
      </c>
      <c r="U90">
        <v>0.01</v>
      </c>
      <c r="V90">
        <f t="shared" si="9"/>
        <v>0.72450000000000003</v>
      </c>
      <c r="W90">
        <f t="shared" si="10"/>
        <v>71.725499999999997</v>
      </c>
      <c r="X90">
        <v>0.49</v>
      </c>
      <c r="Y90">
        <f t="shared" si="11"/>
        <v>72.215499999999992</v>
      </c>
    </row>
    <row r="91" spans="1:25" x14ac:dyDescent="0.25">
      <c r="A91" t="s">
        <v>556</v>
      </c>
      <c r="B91">
        <v>41458</v>
      </c>
      <c r="C91" t="str">
        <f t="shared" si="6"/>
        <v>2013</v>
      </c>
      <c r="D91" t="s">
        <v>557</v>
      </c>
      <c r="E91" t="s">
        <v>558</v>
      </c>
      <c r="F91" t="s">
        <v>257</v>
      </c>
      <c r="G91" t="s">
        <v>258</v>
      </c>
      <c r="H91" t="s">
        <v>259</v>
      </c>
      <c r="I91" t="s">
        <v>333</v>
      </c>
      <c r="J91" t="s">
        <v>294</v>
      </c>
      <c r="K91" t="s">
        <v>559</v>
      </c>
      <c r="L91" t="s">
        <v>245</v>
      </c>
      <c r="M91" t="s">
        <v>246</v>
      </c>
      <c r="N91" t="s">
        <v>247</v>
      </c>
      <c r="O91">
        <v>41460</v>
      </c>
      <c r="P91">
        <v>16.850000000000001</v>
      </c>
      <c r="Q91">
        <v>27.18</v>
      </c>
      <c r="R91">
        <f t="shared" si="7"/>
        <v>10.329999999999998</v>
      </c>
      <c r="S91">
        <v>34</v>
      </c>
      <c r="T91">
        <f t="shared" si="8"/>
        <v>924.12</v>
      </c>
      <c r="U91">
        <v>0.1</v>
      </c>
      <c r="V91">
        <f t="shared" si="9"/>
        <v>92.412000000000006</v>
      </c>
      <c r="W91">
        <f t="shared" si="10"/>
        <v>831.70799999999997</v>
      </c>
      <c r="X91">
        <v>8.23</v>
      </c>
      <c r="Y91">
        <f t="shared" si="11"/>
        <v>839.93799999999999</v>
      </c>
    </row>
    <row r="92" spans="1:25" x14ac:dyDescent="0.25">
      <c r="A92" t="s">
        <v>560</v>
      </c>
      <c r="B92">
        <v>41459</v>
      </c>
      <c r="C92" t="str">
        <f t="shared" si="6"/>
        <v>2013</v>
      </c>
      <c r="D92" t="s">
        <v>561</v>
      </c>
      <c r="E92" t="s">
        <v>528</v>
      </c>
      <c r="F92" t="s">
        <v>239</v>
      </c>
      <c r="G92" t="s">
        <v>240</v>
      </c>
      <c r="H92" t="s">
        <v>293</v>
      </c>
      <c r="I92" t="s">
        <v>251</v>
      </c>
      <c r="J92" t="s">
        <v>261</v>
      </c>
      <c r="K92" t="s">
        <v>529</v>
      </c>
      <c r="L92" t="s">
        <v>245</v>
      </c>
      <c r="M92" t="s">
        <v>253</v>
      </c>
      <c r="N92" t="s">
        <v>247</v>
      </c>
      <c r="O92">
        <v>41460</v>
      </c>
      <c r="P92">
        <v>1.6</v>
      </c>
      <c r="Q92">
        <v>2.62</v>
      </c>
      <c r="R92">
        <f t="shared" si="7"/>
        <v>1.02</v>
      </c>
      <c r="S92">
        <v>21</v>
      </c>
      <c r="T92">
        <f t="shared" si="8"/>
        <v>55.02</v>
      </c>
      <c r="U92">
        <v>0.05</v>
      </c>
      <c r="V92">
        <f t="shared" si="9"/>
        <v>2.7510000000000003</v>
      </c>
      <c r="W92">
        <f t="shared" si="10"/>
        <v>52.269000000000005</v>
      </c>
      <c r="X92">
        <v>0.8</v>
      </c>
      <c r="Y92">
        <f t="shared" si="11"/>
        <v>53.069000000000003</v>
      </c>
    </row>
    <row r="93" spans="1:25" x14ac:dyDescent="0.25">
      <c r="A93" t="s">
        <v>562</v>
      </c>
      <c r="B93">
        <v>41460</v>
      </c>
      <c r="C93" t="str">
        <f t="shared" si="6"/>
        <v>2013</v>
      </c>
      <c r="D93" t="s">
        <v>563</v>
      </c>
      <c r="E93" t="s">
        <v>564</v>
      </c>
      <c r="F93" t="s">
        <v>239</v>
      </c>
      <c r="G93" t="s">
        <v>240</v>
      </c>
      <c r="H93" t="s">
        <v>259</v>
      </c>
      <c r="I93" t="s">
        <v>251</v>
      </c>
      <c r="J93" t="s">
        <v>294</v>
      </c>
      <c r="K93" t="s">
        <v>413</v>
      </c>
      <c r="L93" t="s">
        <v>268</v>
      </c>
      <c r="M93" t="s">
        <v>414</v>
      </c>
      <c r="N93" t="s">
        <v>247</v>
      </c>
      <c r="O93">
        <v>41462</v>
      </c>
      <c r="P93">
        <v>8.82</v>
      </c>
      <c r="Q93">
        <v>20.99</v>
      </c>
      <c r="R93">
        <f t="shared" si="7"/>
        <v>12.169999999999998</v>
      </c>
      <c r="S93">
        <v>41</v>
      </c>
      <c r="T93">
        <f t="shared" si="8"/>
        <v>860.58999999999992</v>
      </c>
      <c r="U93">
        <v>0.02</v>
      </c>
      <c r="V93">
        <f t="shared" si="9"/>
        <v>17.2118</v>
      </c>
      <c r="W93">
        <f t="shared" si="10"/>
        <v>843.37819999999988</v>
      </c>
      <c r="X93">
        <v>4.8099999999999996</v>
      </c>
      <c r="Y93">
        <f t="shared" si="11"/>
        <v>848.18819999999982</v>
      </c>
    </row>
    <row r="94" spans="1:25" x14ac:dyDescent="0.25">
      <c r="A94" t="s">
        <v>565</v>
      </c>
      <c r="B94">
        <v>41460</v>
      </c>
      <c r="C94" t="str">
        <f t="shared" si="6"/>
        <v>2013</v>
      </c>
      <c r="D94" t="s">
        <v>563</v>
      </c>
      <c r="E94" t="s">
        <v>564</v>
      </c>
      <c r="F94" t="s">
        <v>239</v>
      </c>
      <c r="G94" t="s">
        <v>240</v>
      </c>
      <c r="H94" t="s">
        <v>259</v>
      </c>
      <c r="I94" t="s">
        <v>251</v>
      </c>
      <c r="J94" t="s">
        <v>294</v>
      </c>
      <c r="K94" t="s">
        <v>533</v>
      </c>
      <c r="L94" t="s">
        <v>245</v>
      </c>
      <c r="M94" t="s">
        <v>246</v>
      </c>
      <c r="N94" t="s">
        <v>263</v>
      </c>
      <c r="O94">
        <v>41462</v>
      </c>
      <c r="P94">
        <v>3.4</v>
      </c>
      <c r="Q94">
        <v>5.4</v>
      </c>
      <c r="R94">
        <f t="shared" si="7"/>
        <v>2.0000000000000004</v>
      </c>
      <c r="S94">
        <v>26</v>
      </c>
      <c r="T94">
        <f t="shared" si="8"/>
        <v>140.4</v>
      </c>
      <c r="U94">
        <v>0.05</v>
      </c>
      <c r="V94">
        <f t="shared" si="9"/>
        <v>7.0200000000000005</v>
      </c>
      <c r="W94">
        <f t="shared" si="10"/>
        <v>133.38</v>
      </c>
      <c r="X94">
        <v>7.78</v>
      </c>
      <c r="Y94">
        <f t="shared" si="11"/>
        <v>141.16</v>
      </c>
    </row>
    <row r="95" spans="1:25" x14ac:dyDescent="0.25">
      <c r="A95" t="s">
        <v>566</v>
      </c>
      <c r="B95">
        <v>41461</v>
      </c>
      <c r="C95" t="str">
        <f t="shared" si="6"/>
        <v>2013</v>
      </c>
      <c r="D95" t="s">
        <v>336</v>
      </c>
      <c r="E95" t="s">
        <v>337</v>
      </c>
      <c r="F95" t="s">
        <v>257</v>
      </c>
      <c r="G95" t="s">
        <v>258</v>
      </c>
      <c r="H95" t="s">
        <v>293</v>
      </c>
      <c r="I95" t="s">
        <v>275</v>
      </c>
      <c r="J95" t="s">
        <v>304</v>
      </c>
      <c r="K95" t="s">
        <v>567</v>
      </c>
      <c r="L95" t="s">
        <v>245</v>
      </c>
      <c r="M95" t="s">
        <v>246</v>
      </c>
      <c r="N95" t="s">
        <v>247</v>
      </c>
      <c r="O95">
        <v>41461</v>
      </c>
      <c r="P95">
        <v>21.56</v>
      </c>
      <c r="Q95">
        <v>35.94</v>
      </c>
      <c r="R95">
        <f t="shared" si="7"/>
        <v>14.379999999999999</v>
      </c>
      <c r="S95">
        <v>28</v>
      </c>
      <c r="T95">
        <f t="shared" si="8"/>
        <v>1006.3199999999999</v>
      </c>
      <c r="U95">
        <v>0.01</v>
      </c>
      <c r="V95">
        <f t="shared" si="9"/>
        <v>10.0632</v>
      </c>
      <c r="W95">
        <f t="shared" si="10"/>
        <v>996.25679999999988</v>
      </c>
      <c r="X95">
        <v>6.66</v>
      </c>
      <c r="Y95">
        <f t="shared" si="11"/>
        <v>1002.9167999999999</v>
      </c>
    </row>
    <row r="96" spans="1:25" x14ac:dyDescent="0.25">
      <c r="A96" t="s">
        <v>568</v>
      </c>
      <c r="B96">
        <v>41465</v>
      </c>
      <c r="C96" t="str">
        <f t="shared" si="6"/>
        <v>2013</v>
      </c>
      <c r="D96" t="s">
        <v>569</v>
      </c>
      <c r="E96" t="s">
        <v>352</v>
      </c>
      <c r="F96" t="s">
        <v>257</v>
      </c>
      <c r="G96" t="s">
        <v>258</v>
      </c>
      <c r="H96" t="s">
        <v>259</v>
      </c>
      <c r="I96" t="s">
        <v>275</v>
      </c>
      <c r="J96" t="s">
        <v>261</v>
      </c>
      <c r="K96" t="s">
        <v>570</v>
      </c>
      <c r="L96" t="s">
        <v>245</v>
      </c>
      <c r="M96" t="s">
        <v>246</v>
      </c>
      <c r="N96" t="s">
        <v>247</v>
      </c>
      <c r="O96">
        <v>41465</v>
      </c>
      <c r="P96">
        <v>2.74</v>
      </c>
      <c r="Q96">
        <v>4.49</v>
      </c>
      <c r="R96">
        <f t="shared" si="7"/>
        <v>1.75</v>
      </c>
      <c r="S96">
        <v>11</v>
      </c>
      <c r="T96">
        <f t="shared" si="8"/>
        <v>49.39</v>
      </c>
      <c r="U96">
        <v>0.08</v>
      </c>
      <c r="V96">
        <f t="shared" si="9"/>
        <v>3.9512</v>
      </c>
      <c r="W96">
        <f t="shared" si="10"/>
        <v>45.438800000000001</v>
      </c>
      <c r="X96">
        <v>1.49</v>
      </c>
      <c r="Y96">
        <f t="shared" si="11"/>
        <v>46.928800000000003</v>
      </c>
    </row>
    <row r="97" spans="1:25" x14ac:dyDescent="0.25">
      <c r="A97" t="s">
        <v>571</v>
      </c>
      <c r="B97">
        <v>41465</v>
      </c>
      <c r="C97" t="str">
        <f t="shared" si="6"/>
        <v>2013</v>
      </c>
      <c r="D97" t="s">
        <v>355</v>
      </c>
      <c r="E97" t="s">
        <v>356</v>
      </c>
      <c r="F97" t="s">
        <v>239</v>
      </c>
      <c r="G97" t="s">
        <v>240</v>
      </c>
      <c r="H97" t="s">
        <v>259</v>
      </c>
      <c r="I97" t="s">
        <v>251</v>
      </c>
      <c r="J97" t="s">
        <v>294</v>
      </c>
      <c r="K97" t="s">
        <v>572</v>
      </c>
      <c r="L97" t="s">
        <v>245</v>
      </c>
      <c r="M97" t="s">
        <v>253</v>
      </c>
      <c r="N97" t="s">
        <v>247</v>
      </c>
      <c r="O97">
        <v>41468</v>
      </c>
      <c r="P97">
        <v>4.37</v>
      </c>
      <c r="Q97">
        <v>9.11</v>
      </c>
      <c r="R97">
        <f t="shared" si="7"/>
        <v>4.7399999999999993</v>
      </c>
      <c r="S97">
        <v>6</v>
      </c>
      <c r="T97">
        <f t="shared" si="8"/>
        <v>54.66</v>
      </c>
      <c r="U97">
        <v>0.04</v>
      </c>
      <c r="V97">
        <f t="shared" si="9"/>
        <v>2.1863999999999999</v>
      </c>
      <c r="W97">
        <f t="shared" si="10"/>
        <v>52.473599999999998</v>
      </c>
      <c r="X97">
        <v>2.25</v>
      </c>
      <c r="Y97">
        <f t="shared" si="11"/>
        <v>54.723599999999998</v>
      </c>
    </row>
    <row r="98" spans="1:25" x14ac:dyDescent="0.25">
      <c r="A98" t="s">
        <v>573</v>
      </c>
      <c r="B98">
        <v>41470</v>
      </c>
      <c r="C98" t="str">
        <f t="shared" si="6"/>
        <v>2013</v>
      </c>
      <c r="D98" t="s">
        <v>574</v>
      </c>
      <c r="E98" t="s">
        <v>575</v>
      </c>
      <c r="F98" t="s">
        <v>257</v>
      </c>
      <c r="G98" t="s">
        <v>258</v>
      </c>
      <c r="H98" t="s">
        <v>274</v>
      </c>
      <c r="I98" t="s">
        <v>381</v>
      </c>
      <c r="J98" t="s">
        <v>261</v>
      </c>
      <c r="K98" t="s">
        <v>576</v>
      </c>
      <c r="L98" t="s">
        <v>245</v>
      </c>
      <c r="M98" t="s">
        <v>253</v>
      </c>
      <c r="N98" t="s">
        <v>247</v>
      </c>
      <c r="O98">
        <v>41471</v>
      </c>
      <c r="P98">
        <v>3.88</v>
      </c>
      <c r="Q98">
        <v>6.47</v>
      </c>
      <c r="R98">
        <f t="shared" si="7"/>
        <v>2.59</v>
      </c>
      <c r="S98">
        <v>20</v>
      </c>
      <c r="T98">
        <f t="shared" si="8"/>
        <v>129.4</v>
      </c>
      <c r="U98">
        <v>0.02</v>
      </c>
      <c r="V98">
        <f t="shared" si="9"/>
        <v>2.5880000000000001</v>
      </c>
      <c r="W98">
        <f t="shared" si="10"/>
        <v>126.81200000000001</v>
      </c>
      <c r="X98">
        <v>1.22</v>
      </c>
      <c r="Y98">
        <f t="shared" si="11"/>
        <v>128.03200000000001</v>
      </c>
    </row>
    <row r="99" spans="1:25" x14ac:dyDescent="0.25">
      <c r="A99" t="s">
        <v>577</v>
      </c>
      <c r="B99">
        <v>41470</v>
      </c>
      <c r="C99" t="str">
        <f t="shared" si="6"/>
        <v>2013</v>
      </c>
      <c r="D99" t="s">
        <v>574</v>
      </c>
      <c r="E99" t="s">
        <v>575</v>
      </c>
      <c r="F99" t="s">
        <v>257</v>
      </c>
      <c r="G99" t="s">
        <v>258</v>
      </c>
      <c r="H99" t="s">
        <v>274</v>
      </c>
      <c r="I99" t="s">
        <v>381</v>
      </c>
      <c r="J99" t="s">
        <v>261</v>
      </c>
      <c r="K99" t="s">
        <v>578</v>
      </c>
      <c r="L99" t="s">
        <v>245</v>
      </c>
      <c r="M99" t="s">
        <v>253</v>
      </c>
      <c r="N99" t="s">
        <v>247</v>
      </c>
      <c r="O99">
        <v>41472</v>
      </c>
      <c r="P99">
        <v>1.31</v>
      </c>
      <c r="Q99">
        <v>2.84</v>
      </c>
      <c r="R99">
        <f t="shared" si="7"/>
        <v>1.5299999999999998</v>
      </c>
      <c r="S99">
        <v>39</v>
      </c>
      <c r="T99">
        <f t="shared" si="8"/>
        <v>110.75999999999999</v>
      </c>
      <c r="U99">
        <v>7.0000000000000007E-2</v>
      </c>
      <c r="V99">
        <f t="shared" si="9"/>
        <v>7.7532000000000005</v>
      </c>
      <c r="W99">
        <f t="shared" si="10"/>
        <v>103.00679999999998</v>
      </c>
      <c r="X99">
        <v>0.93</v>
      </c>
      <c r="Y99">
        <f t="shared" si="11"/>
        <v>103.93679999999999</v>
      </c>
    </row>
    <row r="100" spans="1:25" x14ac:dyDescent="0.25">
      <c r="A100" t="s">
        <v>579</v>
      </c>
      <c r="B100">
        <v>41471</v>
      </c>
      <c r="C100" t="str">
        <f t="shared" si="6"/>
        <v>2013</v>
      </c>
      <c r="D100" t="s">
        <v>580</v>
      </c>
      <c r="E100" t="s">
        <v>581</v>
      </c>
      <c r="F100" t="s">
        <v>257</v>
      </c>
      <c r="G100" t="s">
        <v>258</v>
      </c>
      <c r="H100" t="s">
        <v>241</v>
      </c>
      <c r="I100" t="s">
        <v>309</v>
      </c>
      <c r="J100" t="s">
        <v>261</v>
      </c>
      <c r="K100" t="s">
        <v>582</v>
      </c>
      <c r="L100" t="s">
        <v>245</v>
      </c>
      <c r="M100" t="s">
        <v>253</v>
      </c>
      <c r="N100" t="s">
        <v>247</v>
      </c>
      <c r="O100">
        <v>41472</v>
      </c>
      <c r="P100">
        <v>0.24</v>
      </c>
      <c r="Q100">
        <v>1.26</v>
      </c>
      <c r="R100">
        <f t="shared" si="7"/>
        <v>1.02</v>
      </c>
      <c r="S100">
        <v>10</v>
      </c>
      <c r="T100">
        <f t="shared" si="8"/>
        <v>12.6</v>
      </c>
      <c r="U100">
        <v>0.1</v>
      </c>
      <c r="V100">
        <f t="shared" si="9"/>
        <v>1.26</v>
      </c>
      <c r="W100">
        <f t="shared" si="10"/>
        <v>11.34</v>
      </c>
      <c r="X100">
        <v>0.7</v>
      </c>
      <c r="Y100">
        <f t="shared" si="11"/>
        <v>12.04</v>
      </c>
    </row>
    <row r="101" spans="1:25" x14ac:dyDescent="0.25">
      <c r="A101" t="s">
        <v>583</v>
      </c>
      <c r="B101">
        <v>41471</v>
      </c>
      <c r="C101" t="str">
        <f t="shared" si="6"/>
        <v>2013</v>
      </c>
      <c r="D101" t="s">
        <v>366</v>
      </c>
      <c r="E101" t="s">
        <v>367</v>
      </c>
      <c r="F101" t="s">
        <v>239</v>
      </c>
      <c r="G101" t="s">
        <v>240</v>
      </c>
      <c r="H101" t="s">
        <v>259</v>
      </c>
      <c r="I101" t="s">
        <v>251</v>
      </c>
      <c r="J101" t="s">
        <v>243</v>
      </c>
      <c r="K101" t="s">
        <v>519</v>
      </c>
      <c r="L101" t="s">
        <v>245</v>
      </c>
      <c r="M101" t="s">
        <v>253</v>
      </c>
      <c r="N101" t="s">
        <v>247</v>
      </c>
      <c r="O101">
        <v>41471</v>
      </c>
      <c r="P101">
        <v>2.9</v>
      </c>
      <c r="Q101">
        <v>4.76</v>
      </c>
      <c r="R101">
        <f t="shared" si="7"/>
        <v>1.8599999999999999</v>
      </c>
      <c r="S101">
        <v>13</v>
      </c>
      <c r="T101">
        <f t="shared" si="8"/>
        <v>61.879999999999995</v>
      </c>
      <c r="U101">
        <v>7.0000000000000007E-2</v>
      </c>
      <c r="V101">
        <f t="shared" si="9"/>
        <v>4.3315999999999999</v>
      </c>
      <c r="W101">
        <f t="shared" si="10"/>
        <v>57.548399999999994</v>
      </c>
      <c r="X101">
        <v>0.88</v>
      </c>
      <c r="Y101">
        <f t="shared" si="11"/>
        <v>58.428399999999996</v>
      </c>
    </row>
    <row r="102" spans="1:25" x14ac:dyDescent="0.25">
      <c r="A102" t="s">
        <v>584</v>
      </c>
      <c r="B102">
        <v>41472</v>
      </c>
      <c r="C102" t="str">
        <f t="shared" si="6"/>
        <v>2013</v>
      </c>
      <c r="D102" t="s">
        <v>585</v>
      </c>
      <c r="E102" t="s">
        <v>376</v>
      </c>
      <c r="F102" t="s">
        <v>239</v>
      </c>
      <c r="G102" t="s">
        <v>240</v>
      </c>
      <c r="H102" t="s">
        <v>274</v>
      </c>
      <c r="I102" t="s">
        <v>242</v>
      </c>
      <c r="J102" t="s">
        <v>279</v>
      </c>
      <c r="K102" t="s">
        <v>586</v>
      </c>
      <c r="L102" t="s">
        <v>268</v>
      </c>
      <c r="M102" t="s">
        <v>246</v>
      </c>
      <c r="N102" t="s">
        <v>263</v>
      </c>
      <c r="O102">
        <v>41472</v>
      </c>
      <c r="P102">
        <v>54.52</v>
      </c>
      <c r="Q102">
        <v>100.97</v>
      </c>
      <c r="R102">
        <f t="shared" si="7"/>
        <v>46.449999999999996</v>
      </c>
      <c r="S102">
        <v>35</v>
      </c>
      <c r="T102">
        <f t="shared" si="8"/>
        <v>3533.95</v>
      </c>
      <c r="U102">
        <v>0.05</v>
      </c>
      <c r="V102">
        <f t="shared" si="9"/>
        <v>176.69749999999999</v>
      </c>
      <c r="W102">
        <f t="shared" si="10"/>
        <v>3357.2524999999996</v>
      </c>
      <c r="X102">
        <v>7.18</v>
      </c>
      <c r="Y102">
        <f t="shared" si="11"/>
        <v>3364.4324999999994</v>
      </c>
    </row>
    <row r="103" spans="1:25" x14ac:dyDescent="0.25">
      <c r="A103" t="s">
        <v>587</v>
      </c>
      <c r="B103">
        <v>41473</v>
      </c>
      <c r="C103" t="str">
        <f t="shared" si="6"/>
        <v>2013</v>
      </c>
      <c r="D103" t="s">
        <v>588</v>
      </c>
      <c r="E103" t="s">
        <v>589</v>
      </c>
      <c r="F103" t="s">
        <v>239</v>
      </c>
      <c r="G103" t="s">
        <v>240</v>
      </c>
      <c r="H103" t="s">
        <v>241</v>
      </c>
      <c r="I103" t="s">
        <v>242</v>
      </c>
      <c r="J103" t="s">
        <v>261</v>
      </c>
      <c r="K103" t="s">
        <v>322</v>
      </c>
      <c r="L103" t="s">
        <v>245</v>
      </c>
      <c r="M103" t="s">
        <v>323</v>
      </c>
      <c r="N103" t="s">
        <v>263</v>
      </c>
      <c r="O103">
        <v>41475</v>
      </c>
      <c r="P103">
        <v>3.42</v>
      </c>
      <c r="Q103">
        <v>8.34</v>
      </c>
      <c r="R103">
        <f t="shared" si="7"/>
        <v>4.92</v>
      </c>
      <c r="S103">
        <v>15</v>
      </c>
      <c r="T103">
        <f t="shared" si="8"/>
        <v>125.1</v>
      </c>
      <c r="U103">
        <v>0</v>
      </c>
      <c r="V103">
        <f t="shared" si="9"/>
        <v>0</v>
      </c>
      <c r="W103">
        <f t="shared" si="10"/>
        <v>125.1</v>
      </c>
      <c r="X103">
        <v>2.64</v>
      </c>
      <c r="Y103">
        <f t="shared" si="11"/>
        <v>127.74</v>
      </c>
    </row>
    <row r="104" spans="1:25" x14ac:dyDescent="0.25">
      <c r="A104" t="s">
        <v>590</v>
      </c>
      <c r="B104">
        <v>41475</v>
      </c>
      <c r="C104" t="str">
        <f t="shared" si="6"/>
        <v>2013</v>
      </c>
      <c r="D104" t="s">
        <v>527</v>
      </c>
      <c r="E104" t="s">
        <v>528</v>
      </c>
      <c r="F104" t="s">
        <v>239</v>
      </c>
      <c r="G104" t="s">
        <v>240</v>
      </c>
      <c r="H104" t="s">
        <v>293</v>
      </c>
      <c r="I104" t="s">
        <v>251</v>
      </c>
      <c r="J104" t="s">
        <v>261</v>
      </c>
      <c r="K104" t="s">
        <v>300</v>
      </c>
      <c r="L104" t="s">
        <v>245</v>
      </c>
      <c r="M104" t="s">
        <v>246</v>
      </c>
      <c r="N104" t="s">
        <v>263</v>
      </c>
      <c r="O104">
        <v>41477</v>
      </c>
      <c r="P104">
        <v>5.33</v>
      </c>
      <c r="Q104">
        <v>8.6</v>
      </c>
      <c r="R104">
        <f t="shared" si="7"/>
        <v>3.2699999999999996</v>
      </c>
      <c r="S104">
        <v>23</v>
      </c>
      <c r="T104">
        <f t="shared" si="8"/>
        <v>197.79999999999998</v>
      </c>
      <c r="U104">
        <v>0.02</v>
      </c>
      <c r="V104">
        <f t="shared" si="9"/>
        <v>3.956</v>
      </c>
      <c r="W104">
        <f t="shared" si="10"/>
        <v>193.84399999999999</v>
      </c>
      <c r="X104">
        <v>6.19</v>
      </c>
      <c r="Y104">
        <f t="shared" si="11"/>
        <v>200.03399999999999</v>
      </c>
    </row>
    <row r="105" spans="1:25" x14ac:dyDescent="0.25">
      <c r="A105" t="s">
        <v>591</v>
      </c>
      <c r="B105">
        <v>41476</v>
      </c>
      <c r="C105" t="str">
        <f t="shared" si="6"/>
        <v>2013</v>
      </c>
      <c r="D105" t="s">
        <v>592</v>
      </c>
      <c r="E105" t="s">
        <v>593</v>
      </c>
      <c r="F105" t="s">
        <v>257</v>
      </c>
      <c r="G105" t="s">
        <v>258</v>
      </c>
      <c r="H105" t="s">
        <v>259</v>
      </c>
      <c r="I105" t="s">
        <v>321</v>
      </c>
      <c r="J105" t="s">
        <v>243</v>
      </c>
      <c r="K105" t="s">
        <v>594</v>
      </c>
      <c r="L105" t="s">
        <v>268</v>
      </c>
      <c r="M105" t="s">
        <v>269</v>
      </c>
      <c r="N105" t="s">
        <v>270</v>
      </c>
      <c r="O105">
        <v>41478</v>
      </c>
      <c r="P105">
        <v>278.99</v>
      </c>
      <c r="Q105">
        <v>449.99</v>
      </c>
      <c r="R105">
        <f t="shared" si="7"/>
        <v>171</v>
      </c>
      <c r="S105">
        <v>12</v>
      </c>
      <c r="T105">
        <f t="shared" si="8"/>
        <v>5399.88</v>
      </c>
      <c r="U105">
        <v>0.06</v>
      </c>
      <c r="V105">
        <f t="shared" si="9"/>
        <v>323.99279999999999</v>
      </c>
      <c r="W105">
        <f t="shared" si="10"/>
        <v>5075.8872000000001</v>
      </c>
      <c r="X105">
        <v>49</v>
      </c>
      <c r="Y105">
        <f t="shared" si="11"/>
        <v>5124.8872000000001</v>
      </c>
    </row>
    <row r="106" spans="1:25" x14ac:dyDescent="0.25">
      <c r="A106" t="s">
        <v>595</v>
      </c>
      <c r="B106">
        <v>41477</v>
      </c>
      <c r="C106" t="str">
        <f t="shared" si="6"/>
        <v>2013</v>
      </c>
      <c r="D106" t="s">
        <v>596</v>
      </c>
      <c r="E106" t="s">
        <v>352</v>
      </c>
      <c r="F106" t="s">
        <v>257</v>
      </c>
      <c r="G106" t="s">
        <v>258</v>
      </c>
      <c r="H106" t="s">
        <v>259</v>
      </c>
      <c r="I106" t="s">
        <v>275</v>
      </c>
      <c r="J106" t="s">
        <v>243</v>
      </c>
      <c r="K106" t="s">
        <v>543</v>
      </c>
      <c r="L106" t="s">
        <v>245</v>
      </c>
      <c r="M106" t="s">
        <v>246</v>
      </c>
      <c r="N106" t="s">
        <v>263</v>
      </c>
      <c r="O106">
        <v>41478</v>
      </c>
      <c r="P106">
        <v>1.33</v>
      </c>
      <c r="Q106">
        <v>2.08</v>
      </c>
      <c r="R106">
        <f t="shared" si="7"/>
        <v>0.75</v>
      </c>
      <c r="S106">
        <v>11</v>
      </c>
      <c r="T106">
        <f t="shared" si="8"/>
        <v>22.880000000000003</v>
      </c>
      <c r="U106">
        <v>0.01</v>
      </c>
      <c r="V106">
        <f t="shared" si="9"/>
        <v>0.22880000000000003</v>
      </c>
      <c r="W106">
        <f t="shared" si="10"/>
        <v>22.651200000000003</v>
      </c>
      <c r="X106">
        <v>1.49</v>
      </c>
      <c r="Y106">
        <f t="shared" si="11"/>
        <v>24.141200000000001</v>
      </c>
    </row>
    <row r="107" spans="1:25" x14ac:dyDescent="0.25">
      <c r="A107" t="s">
        <v>597</v>
      </c>
      <c r="B107">
        <v>41477</v>
      </c>
      <c r="C107" t="str">
        <f t="shared" si="6"/>
        <v>2013</v>
      </c>
      <c r="D107" t="s">
        <v>345</v>
      </c>
      <c r="E107" t="s">
        <v>346</v>
      </c>
      <c r="F107" t="s">
        <v>257</v>
      </c>
      <c r="G107" t="s">
        <v>258</v>
      </c>
      <c r="H107" t="s">
        <v>259</v>
      </c>
      <c r="I107" t="s">
        <v>309</v>
      </c>
      <c r="J107" t="s">
        <v>279</v>
      </c>
      <c r="K107" t="s">
        <v>598</v>
      </c>
      <c r="L107" t="s">
        <v>268</v>
      </c>
      <c r="M107" t="s">
        <v>246</v>
      </c>
      <c r="N107" t="s">
        <v>247</v>
      </c>
      <c r="O107">
        <v>41481</v>
      </c>
      <c r="P107">
        <v>6.51</v>
      </c>
      <c r="Q107">
        <v>30.98</v>
      </c>
      <c r="R107">
        <f t="shared" si="7"/>
        <v>24.47</v>
      </c>
      <c r="S107">
        <v>29</v>
      </c>
      <c r="T107">
        <f t="shared" si="8"/>
        <v>898.42</v>
      </c>
      <c r="U107">
        <v>0.03</v>
      </c>
      <c r="V107">
        <f t="shared" si="9"/>
        <v>26.952599999999997</v>
      </c>
      <c r="W107">
        <f t="shared" si="10"/>
        <v>871.4674</v>
      </c>
      <c r="X107">
        <v>6.5</v>
      </c>
      <c r="Y107">
        <f t="shared" si="11"/>
        <v>877.9674</v>
      </c>
    </row>
    <row r="108" spans="1:25" x14ac:dyDescent="0.25">
      <c r="A108" t="s">
        <v>599</v>
      </c>
      <c r="B108">
        <v>41478</v>
      </c>
      <c r="C108" t="str">
        <f t="shared" si="6"/>
        <v>2013</v>
      </c>
      <c r="D108" t="s">
        <v>315</v>
      </c>
      <c r="E108" t="s">
        <v>316</v>
      </c>
      <c r="F108" t="s">
        <v>239</v>
      </c>
      <c r="G108" t="s">
        <v>240</v>
      </c>
      <c r="H108" t="s">
        <v>259</v>
      </c>
      <c r="I108" t="s">
        <v>242</v>
      </c>
      <c r="J108" t="s">
        <v>294</v>
      </c>
      <c r="K108" t="s">
        <v>600</v>
      </c>
      <c r="L108" t="s">
        <v>245</v>
      </c>
      <c r="M108" t="s">
        <v>253</v>
      </c>
      <c r="N108" t="s">
        <v>247</v>
      </c>
      <c r="O108">
        <v>41480</v>
      </c>
      <c r="P108">
        <v>2.98</v>
      </c>
      <c r="Q108">
        <v>5.84</v>
      </c>
      <c r="R108">
        <f t="shared" si="7"/>
        <v>2.86</v>
      </c>
      <c r="S108">
        <v>11</v>
      </c>
      <c r="T108">
        <f t="shared" si="8"/>
        <v>64.239999999999995</v>
      </c>
      <c r="U108">
        <v>0.01</v>
      </c>
      <c r="V108">
        <f t="shared" si="9"/>
        <v>0.64239999999999997</v>
      </c>
      <c r="W108">
        <f t="shared" si="10"/>
        <v>63.597599999999993</v>
      </c>
      <c r="X108">
        <v>0.83</v>
      </c>
      <c r="Y108">
        <f t="shared" si="11"/>
        <v>64.427599999999998</v>
      </c>
    </row>
    <row r="109" spans="1:25" x14ac:dyDescent="0.25">
      <c r="A109" t="s">
        <v>601</v>
      </c>
      <c r="B109">
        <v>41479</v>
      </c>
      <c r="C109" t="str">
        <f t="shared" si="6"/>
        <v>2013</v>
      </c>
      <c r="D109" t="s">
        <v>602</v>
      </c>
      <c r="E109" t="s">
        <v>428</v>
      </c>
      <c r="F109" t="s">
        <v>257</v>
      </c>
      <c r="G109" t="s">
        <v>258</v>
      </c>
      <c r="H109" t="s">
        <v>241</v>
      </c>
      <c r="I109" t="s">
        <v>333</v>
      </c>
      <c r="J109" t="s">
        <v>261</v>
      </c>
      <c r="K109" t="s">
        <v>603</v>
      </c>
      <c r="L109" t="s">
        <v>245</v>
      </c>
      <c r="M109" t="s">
        <v>246</v>
      </c>
      <c r="N109" t="s">
        <v>247</v>
      </c>
      <c r="O109">
        <v>41481</v>
      </c>
      <c r="P109">
        <v>3.65</v>
      </c>
      <c r="Q109">
        <v>5.98</v>
      </c>
      <c r="R109">
        <f t="shared" si="7"/>
        <v>2.3300000000000005</v>
      </c>
      <c r="S109">
        <v>14</v>
      </c>
      <c r="T109">
        <f t="shared" si="8"/>
        <v>83.72</v>
      </c>
      <c r="U109">
        <v>0.09</v>
      </c>
      <c r="V109">
        <f t="shared" si="9"/>
        <v>7.5347999999999997</v>
      </c>
      <c r="W109">
        <f t="shared" si="10"/>
        <v>76.185199999999995</v>
      </c>
      <c r="X109">
        <v>1.49</v>
      </c>
      <c r="Y109">
        <f t="shared" si="11"/>
        <v>77.67519999999999</v>
      </c>
    </row>
    <row r="110" spans="1:25" x14ac:dyDescent="0.25">
      <c r="A110" t="s">
        <v>604</v>
      </c>
      <c r="B110">
        <v>41481</v>
      </c>
      <c r="C110" t="str">
        <f t="shared" si="6"/>
        <v>2013</v>
      </c>
      <c r="D110" t="s">
        <v>605</v>
      </c>
      <c r="E110" t="s">
        <v>606</v>
      </c>
      <c r="F110" t="s">
        <v>448</v>
      </c>
      <c r="G110" t="s">
        <v>449</v>
      </c>
      <c r="H110" t="s">
        <v>274</v>
      </c>
      <c r="I110" t="s">
        <v>284</v>
      </c>
      <c r="J110" t="s">
        <v>279</v>
      </c>
      <c r="K110" t="s">
        <v>607</v>
      </c>
      <c r="L110" t="s">
        <v>245</v>
      </c>
      <c r="M110" t="s">
        <v>246</v>
      </c>
      <c r="N110" t="s">
        <v>247</v>
      </c>
      <c r="O110">
        <v>41486</v>
      </c>
      <c r="P110">
        <v>4.46</v>
      </c>
      <c r="Q110">
        <v>10.89</v>
      </c>
      <c r="R110">
        <f t="shared" si="7"/>
        <v>6.4300000000000006</v>
      </c>
      <c r="S110">
        <v>37</v>
      </c>
      <c r="T110">
        <f t="shared" si="8"/>
        <v>402.93</v>
      </c>
      <c r="U110">
        <v>0.06</v>
      </c>
      <c r="V110">
        <f t="shared" si="9"/>
        <v>24.175799999999999</v>
      </c>
      <c r="W110">
        <f t="shared" si="10"/>
        <v>378.75420000000003</v>
      </c>
      <c r="X110">
        <v>4.5</v>
      </c>
      <c r="Y110">
        <f t="shared" si="11"/>
        <v>383.25420000000003</v>
      </c>
    </row>
    <row r="111" spans="1:25" x14ac:dyDescent="0.25">
      <c r="A111" t="s">
        <v>608</v>
      </c>
      <c r="B111">
        <v>41481</v>
      </c>
      <c r="C111" t="str">
        <f t="shared" si="6"/>
        <v>2013</v>
      </c>
      <c r="D111" t="s">
        <v>609</v>
      </c>
      <c r="E111" t="s">
        <v>528</v>
      </c>
      <c r="F111" t="s">
        <v>239</v>
      </c>
      <c r="G111" t="s">
        <v>240</v>
      </c>
      <c r="H111" t="s">
        <v>259</v>
      </c>
      <c r="I111" t="s">
        <v>251</v>
      </c>
      <c r="J111" t="s">
        <v>279</v>
      </c>
      <c r="K111" t="s">
        <v>598</v>
      </c>
      <c r="L111" t="s">
        <v>268</v>
      </c>
      <c r="M111" t="s">
        <v>246</v>
      </c>
      <c r="N111" t="s">
        <v>247</v>
      </c>
      <c r="O111">
        <v>41483</v>
      </c>
      <c r="P111">
        <v>6.51</v>
      </c>
      <c r="Q111">
        <v>30.98</v>
      </c>
      <c r="R111">
        <f t="shared" si="7"/>
        <v>24.47</v>
      </c>
      <c r="S111">
        <v>8</v>
      </c>
      <c r="T111">
        <f t="shared" si="8"/>
        <v>247.84</v>
      </c>
      <c r="U111">
        <v>0.01</v>
      </c>
      <c r="V111">
        <f t="shared" si="9"/>
        <v>2.4784000000000002</v>
      </c>
      <c r="W111">
        <f t="shared" si="10"/>
        <v>245.36160000000001</v>
      </c>
      <c r="X111">
        <v>6.5</v>
      </c>
      <c r="Y111">
        <f t="shared" si="11"/>
        <v>251.86160000000001</v>
      </c>
    </row>
    <row r="112" spans="1:25" x14ac:dyDescent="0.25">
      <c r="A112" t="s">
        <v>610</v>
      </c>
      <c r="B112">
        <v>41482</v>
      </c>
      <c r="C112" t="str">
        <f t="shared" si="6"/>
        <v>2013</v>
      </c>
      <c r="D112" t="s">
        <v>611</v>
      </c>
      <c r="E112" t="s">
        <v>612</v>
      </c>
      <c r="F112" t="s">
        <v>239</v>
      </c>
      <c r="G112" t="s">
        <v>240</v>
      </c>
      <c r="H112" t="s">
        <v>293</v>
      </c>
      <c r="I112" t="s">
        <v>242</v>
      </c>
      <c r="J112" t="s">
        <v>279</v>
      </c>
      <c r="K112" t="s">
        <v>377</v>
      </c>
      <c r="L112" t="s">
        <v>268</v>
      </c>
      <c r="M112" t="s">
        <v>246</v>
      </c>
      <c r="N112" t="s">
        <v>247</v>
      </c>
      <c r="O112">
        <v>41484</v>
      </c>
      <c r="P112">
        <v>39.64</v>
      </c>
      <c r="Q112">
        <v>152.47999999999999</v>
      </c>
      <c r="R112">
        <f t="shared" si="7"/>
        <v>112.83999999999999</v>
      </c>
      <c r="S112">
        <v>31</v>
      </c>
      <c r="T112">
        <f t="shared" si="8"/>
        <v>4726.88</v>
      </c>
      <c r="U112">
        <v>7.0000000000000007E-2</v>
      </c>
      <c r="V112">
        <f t="shared" si="9"/>
        <v>330.88160000000005</v>
      </c>
      <c r="W112">
        <f t="shared" si="10"/>
        <v>4395.9984000000004</v>
      </c>
      <c r="X112">
        <v>6.5</v>
      </c>
      <c r="Y112">
        <f t="shared" si="11"/>
        <v>4402.4984000000004</v>
      </c>
    </row>
    <row r="113" spans="1:25" x14ac:dyDescent="0.25">
      <c r="A113" t="s">
        <v>613</v>
      </c>
      <c r="B113">
        <v>41483</v>
      </c>
      <c r="C113" t="str">
        <f t="shared" si="6"/>
        <v>2013</v>
      </c>
      <c r="D113" t="s">
        <v>446</v>
      </c>
      <c r="E113" t="s">
        <v>447</v>
      </c>
      <c r="F113" t="s">
        <v>448</v>
      </c>
      <c r="G113" t="s">
        <v>449</v>
      </c>
      <c r="H113" t="s">
        <v>259</v>
      </c>
      <c r="I113" t="s">
        <v>333</v>
      </c>
      <c r="J113" t="s">
        <v>294</v>
      </c>
      <c r="K113" t="s">
        <v>614</v>
      </c>
      <c r="L113" t="s">
        <v>245</v>
      </c>
      <c r="M113" t="s">
        <v>253</v>
      </c>
      <c r="N113" t="s">
        <v>247</v>
      </c>
      <c r="O113">
        <v>41485</v>
      </c>
      <c r="P113">
        <v>1.95</v>
      </c>
      <c r="Q113">
        <v>3.98</v>
      </c>
      <c r="R113">
        <f t="shared" si="7"/>
        <v>2.0300000000000002</v>
      </c>
      <c r="S113">
        <v>30</v>
      </c>
      <c r="T113">
        <f t="shared" si="8"/>
        <v>119.4</v>
      </c>
      <c r="U113">
        <v>0.1</v>
      </c>
      <c r="V113">
        <f t="shared" si="9"/>
        <v>11.940000000000001</v>
      </c>
      <c r="W113">
        <f t="shared" si="10"/>
        <v>107.46000000000001</v>
      </c>
      <c r="X113">
        <v>0.83</v>
      </c>
      <c r="Y113">
        <f t="shared" si="11"/>
        <v>108.29</v>
      </c>
    </row>
    <row r="114" spans="1:25" x14ac:dyDescent="0.25">
      <c r="A114" t="s">
        <v>615</v>
      </c>
      <c r="B114">
        <v>41484</v>
      </c>
      <c r="C114" t="str">
        <f t="shared" si="6"/>
        <v>2013</v>
      </c>
      <c r="D114" t="s">
        <v>616</v>
      </c>
      <c r="E114" t="s">
        <v>522</v>
      </c>
      <c r="F114" t="s">
        <v>239</v>
      </c>
      <c r="G114" t="s">
        <v>240</v>
      </c>
      <c r="H114" t="s">
        <v>293</v>
      </c>
      <c r="I114" t="s">
        <v>251</v>
      </c>
      <c r="J114" t="s">
        <v>294</v>
      </c>
      <c r="K114" t="s">
        <v>617</v>
      </c>
      <c r="L114" t="s">
        <v>245</v>
      </c>
      <c r="M114" t="s">
        <v>246</v>
      </c>
      <c r="N114" t="s">
        <v>247</v>
      </c>
      <c r="O114">
        <v>41485</v>
      </c>
      <c r="P114">
        <v>1.94</v>
      </c>
      <c r="Q114">
        <v>3.08</v>
      </c>
      <c r="R114">
        <f t="shared" si="7"/>
        <v>1.1400000000000001</v>
      </c>
      <c r="S114">
        <v>38</v>
      </c>
      <c r="T114">
        <f t="shared" si="8"/>
        <v>117.04</v>
      </c>
      <c r="U114">
        <v>0.04</v>
      </c>
      <c r="V114">
        <f t="shared" si="9"/>
        <v>4.6816000000000004</v>
      </c>
      <c r="W114">
        <f t="shared" si="10"/>
        <v>112.3584</v>
      </c>
      <c r="X114">
        <v>0.99</v>
      </c>
      <c r="Y114">
        <f t="shared" si="11"/>
        <v>113.3484</v>
      </c>
    </row>
    <row r="115" spans="1:25" x14ac:dyDescent="0.25">
      <c r="A115" t="s">
        <v>618</v>
      </c>
      <c r="B115">
        <v>41485</v>
      </c>
      <c r="C115" t="str">
        <f t="shared" si="6"/>
        <v>2013</v>
      </c>
      <c r="D115" t="s">
        <v>619</v>
      </c>
      <c r="E115" t="s">
        <v>620</v>
      </c>
      <c r="F115" t="s">
        <v>257</v>
      </c>
      <c r="G115" t="s">
        <v>258</v>
      </c>
      <c r="H115" t="s">
        <v>259</v>
      </c>
      <c r="I115" t="s">
        <v>275</v>
      </c>
      <c r="J115" t="s">
        <v>294</v>
      </c>
      <c r="K115" t="s">
        <v>621</v>
      </c>
      <c r="L115" t="s">
        <v>268</v>
      </c>
      <c r="M115" t="s">
        <v>269</v>
      </c>
      <c r="N115" t="s">
        <v>270</v>
      </c>
      <c r="O115">
        <v>41486</v>
      </c>
      <c r="P115">
        <v>76.790000000000006</v>
      </c>
      <c r="Q115">
        <v>119.99</v>
      </c>
      <c r="R115">
        <f t="shared" si="7"/>
        <v>43.199999999999989</v>
      </c>
      <c r="S115">
        <v>24</v>
      </c>
      <c r="T115">
        <f t="shared" si="8"/>
        <v>2879.7599999999998</v>
      </c>
      <c r="U115">
        <v>0.02</v>
      </c>
      <c r="V115">
        <f t="shared" si="9"/>
        <v>57.595199999999998</v>
      </c>
      <c r="W115">
        <f t="shared" si="10"/>
        <v>2822.1647999999996</v>
      </c>
      <c r="X115">
        <v>14</v>
      </c>
      <c r="Y115">
        <f t="shared" si="11"/>
        <v>2836.1647999999996</v>
      </c>
    </row>
    <row r="116" spans="1:25" x14ac:dyDescent="0.25">
      <c r="A116" t="s">
        <v>622</v>
      </c>
      <c r="B116">
        <v>41486</v>
      </c>
      <c r="C116" t="str">
        <f t="shared" si="6"/>
        <v>2013</v>
      </c>
      <c r="D116" t="s">
        <v>623</v>
      </c>
      <c r="E116" t="s">
        <v>624</v>
      </c>
      <c r="F116" t="s">
        <v>257</v>
      </c>
      <c r="G116" t="s">
        <v>258</v>
      </c>
      <c r="H116" t="s">
        <v>274</v>
      </c>
      <c r="I116" t="s">
        <v>504</v>
      </c>
      <c r="J116" t="s">
        <v>304</v>
      </c>
      <c r="K116" t="s">
        <v>625</v>
      </c>
      <c r="L116" t="s">
        <v>245</v>
      </c>
      <c r="M116" t="s">
        <v>246</v>
      </c>
      <c r="N116" t="s">
        <v>247</v>
      </c>
      <c r="O116">
        <v>41487</v>
      </c>
      <c r="P116">
        <v>1.84</v>
      </c>
      <c r="Q116">
        <v>2.88</v>
      </c>
      <c r="R116">
        <f t="shared" si="7"/>
        <v>1.0399999999999998</v>
      </c>
      <c r="S116">
        <v>11</v>
      </c>
      <c r="T116">
        <f t="shared" si="8"/>
        <v>31.68</v>
      </c>
      <c r="U116">
        <v>0.09</v>
      </c>
      <c r="V116">
        <f t="shared" si="9"/>
        <v>2.8512</v>
      </c>
      <c r="W116">
        <f t="shared" si="10"/>
        <v>28.828800000000001</v>
      </c>
      <c r="X116">
        <v>1.49</v>
      </c>
      <c r="Y116">
        <f t="shared" si="11"/>
        <v>30.3188</v>
      </c>
    </row>
    <row r="117" spans="1:25" x14ac:dyDescent="0.25">
      <c r="A117" t="s">
        <v>626</v>
      </c>
      <c r="B117">
        <v>41486</v>
      </c>
      <c r="C117" t="str">
        <f t="shared" si="6"/>
        <v>2013</v>
      </c>
      <c r="D117" t="s">
        <v>623</v>
      </c>
      <c r="E117" t="s">
        <v>627</v>
      </c>
      <c r="F117" t="s">
        <v>257</v>
      </c>
      <c r="G117" t="s">
        <v>258</v>
      </c>
      <c r="H117" t="s">
        <v>274</v>
      </c>
      <c r="I117" t="s">
        <v>504</v>
      </c>
      <c r="J117" t="s">
        <v>304</v>
      </c>
      <c r="K117" t="s">
        <v>373</v>
      </c>
      <c r="L117" t="s">
        <v>268</v>
      </c>
      <c r="M117" t="s">
        <v>246</v>
      </c>
      <c r="N117" t="s">
        <v>247</v>
      </c>
      <c r="O117">
        <v>41488</v>
      </c>
      <c r="P117">
        <v>6.39</v>
      </c>
      <c r="Q117">
        <v>19.98</v>
      </c>
      <c r="R117">
        <f t="shared" si="7"/>
        <v>13.59</v>
      </c>
      <c r="S117">
        <v>43</v>
      </c>
      <c r="T117">
        <f t="shared" si="8"/>
        <v>859.14</v>
      </c>
      <c r="U117">
        <v>0.1</v>
      </c>
      <c r="V117">
        <f t="shared" si="9"/>
        <v>85.914000000000001</v>
      </c>
      <c r="W117">
        <f t="shared" si="10"/>
        <v>773.226</v>
      </c>
      <c r="X117">
        <v>4</v>
      </c>
      <c r="Y117">
        <f t="shared" si="11"/>
        <v>777.226</v>
      </c>
    </row>
    <row r="118" spans="1:25" x14ac:dyDescent="0.25">
      <c r="A118" t="s">
        <v>628</v>
      </c>
      <c r="B118">
        <v>41488</v>
      </c>
      <c r="C118" t="str">
        <f t="shared" si="6"/>
        <v>2013</v>
      </c>
      <c r="D118" t="s">
        <v>629</v>
      </c>
      <c r="E118" t="s">
        <v>393</v>
      </c>
      <c r="F118" t="s">
        <v>257</v>
      </c>
      <c r="G118" t="s">
        <v>258</v>
      </c>
      <c r="H118" t="s">
        <v>259</v>
      </c>
      <c r="I118" t="s">
        <v>342</v>
      </c>
      <c r="J118" t="s">
        <v>294</v>
      </c>
      <c r="K118" t="s">
        <v>630</v>
      </c>
      <c r="L118" t="s">
        <v>245</v>
      </c>
      <c r="M118" t="s">
        <v>253</v>
      </c>
      <c r="N118" t="s">
        <v>263</v>
      </c>
      <c r="O118">
        <v>41490</v>
      </c>
      <c r="P118">
        <v>1.53</v>
      </c>
      <c r="Q118">
        <v>2.78</v>
      </c>
      <c r="R118">
        <f t="shared" si="7"/>
        <v>1.2499999999999998</v>
      </c>
      <c r="S118">
        <v>40</v>
      </c>
      <c r="T118">
        <f t="shared" si="8"/>
        <v>111.19999999999999</v>
      </c>
      <c r="U118">
        <v>0.03</v>
      </c>
      <c r="V118">
        <f t="shared" si="9"/>
        <v>3.3359999999999994</v>
      </c>
      <c r="W118">
        <f t="shared" si="10"/>
        <v>107.86399999999999</v>
      </c>
      <c r="X118">
        <v>1.34</v>
      </c>
      <c r="Y118">
        <f t="shared" si="11"/>
        <v>109.20399999999999</v>
      </c>
    </row>
    <row r="119" spans="1:25" x14ac:dyDescent="0.25">
      <c r="A119" t="s">
        <v>631</v>
      </c>
      <c r="B119">
        <v>41492</v>
      </c>
      <c r="C119" t="str">
        <f t="shared" si="6"/>
        <v>2013</v>
      </c>
      <c r="D119" t="s">
        <v>632</v>
      </c>
      <c r="E119" t="s">
        <v>633</v>
      </c>
      <c r="F119" t="s">
        <v>239</v>
      </c>
      <c r="G119" t="s">
        <v>240</v>
      </c>
      <c r="H119" t="s">
        <v>241</v>
      </c>
      <c r="I119" t="s">
        <v>242</v>
      </c>
      <c r="J119" t="s">
        <v>261</v>
      </c>
      <c r="K119" t="s">
        <v>634</v>
      </c>
      <c r="L119" t="s">
        <v>245</v>
      </c>
      <c r="M119" t="s">
        <v>246</v>
      </c>
      <c r="N119" t="s">
        <v>247</v>
      </c>
      <c r="O119">
        <v>41494</v>
      </c>
      <c r="P119">
        <v>2.2599999999999998</v>
      </c>
      <c r="Q119">
        <v>3.58</v>
      </c>
      <c r="R119">
        <f t="shared" si="7"/>
        <v>1.3200000000000003</v>
      </c>
      <c r="S119">
        <v>46</v>
      </c>
      <c r="T119">
        <f t="shared" si="8"/>
        <v>164.68</v>
      </c>
      <c r="U119">
        <v>0.06</v>
      </c>
      <c r="V119">
        <f t="shared" si="9"/>
        <v>9.8808000000000007</v>
      </c>
      <c r="W119">
        <f t="shared" si="10"/>
        <v>154.79920000000001</v>
      </c>
      <c r="X119">
        <v>5.47</v>
      </c>
      <c r="Y119">
        <f t="shared" si="11"/>
        <v>160.26920000000001</v>
      </c>
    </row>
    <row r="120" spans="1:25" x14ac:dyDescent="0.25">
      <c r="A120" t="s">
        <v>635</v>
      </c>
      <c r="B120">
        <v>41493</v>
      </c>
      <c r="C120" t="str">
        <f t="shared" si="6"/>
        <v>2013</v>
      </c>
      <c r="D120" t="s">
        <v>636</v>
      </c>
      <c r="E120" t="s">
        <v>637</v>
      </c>
      <c r="F120" t="s">
        <v>239</v>
      </c>
      <c r="G120" t="s">
        <v>240</v>
      </c>
      <c r="H120" t="s">
        <v>241</v>
      </c>
      <c r="I120" t="s">
        <v>242</v>
      </c>
      <c r="J120" t="s">
        <v>243</v>
      </c>
      <c r="K120" t="s">
        <v>638</v>
      </c>
      <c r="L120" t="s">
        <v>245</v>
      </c>
      <c r="M120" t="s">
        <v>323</v>
      </c>
      <c r="N120" t="s">
        <v>247</v>
      </c>
      <c r="O120">
        <v>41495</v>
      </c>
      <c r="P120">
        <v>1.46</v>
      </c>
      <c r="Q120">
        <v>3.57</v>
      </c>
      <c r="R120">
        <f t="shared" si="7"/>
        <v>2.11</v>
      </c>
      <c r="S120">
        <v>23</v>
      </c>
      <c r="T120">
        <f t="shared" si="8"/>
        <v>82.11</v>
      </c>
      <c r="U120">
        <v>0.09</v>
      </c>
      <c r="V120">
        <f t="shared" si="9"/>
        <v>7.3898999999999999</v>
      </c>
      <c r="W120">
        <f t="shared" si="10"/>
        <v>74.720100000000002</v>
      </c>
      <c r="X120">
        <v>4.17</v>
      </c>
      <c r="Y120">
        <f t="shared" si="11"/>
        <v>78.890100000000004</v>
      </c>
    </row>
    <row r="121" spans="1:25" x14ac:dyDescent="0.25">
      <c r="A121" t="s">
        <v>639</v>
      </c>
      <c r="B121">
        <v>41494</v>
      </c>
      <c r="C121" t="str">
        <f t="shared" si="6"/>
        <v>2013</v>
      </c>
      <c r="D121" t="s">
        <v>640</v>
      </c>
      <c r="E121" t="s">
        <v>402</v>
      </c>
      <c r="F121" t="s">
        <v>257</v>
      </c>
      <c r="G121" t="s">
        <v>258</v>
      </c>
      <c r="H121" t="s">
        <v>241</v>
      </c>
      <c r="I121" t="s">
        <v>333</v>
      </c>
      <c r="J121" t="s">
        <v>294</v>
      </c>
      <c r="K121" t="s">
        <v>598</v>
      </c>
      <c r="L121" t="s">
        <v>268</v>
      </c>
      <c r="M121" t="s">
        <v>246</v>
      </c>
      <c r="N121" t="s">
        <v>263</v>
      </c>
      <c r="O121">
        <v>41495</v>
      </c>
      <c r="P121">
        <v>6.51</v>
      </c>
      <c r="Q121">
        <v>30.98</v>
      </c>
      <c r="R121">
        <f t="shared" si="7"/>
        <v>24.47</v>
      </c>
      <c r="S121">
        <v>44</v>
      </c>
      <c r="T121">
        <f t="shared" si="8"/>
        <v>1363.1200000000001</v>
      </c>
      <c r="U121">
        <v>0.02</v>
      </c>
      <c r="V121">
        <f t="shared" si="9"/>
        <v>27.262400000000003</v>
      </c>
      <c r="W121">
        <f t="shared" si="10"/>
        <v>1335.8576</v>
      </c>
      <c r="X121">
        <v>6.5</v>
      </c>
      <c r="Y121">
        <f t="shared" si="11"/>
        <v>1342.3576</v>
      </c>
    </row>
    <row r="122" spans="1:25" x14ac:dyDescent="0.25">
      <c r="A122" t="s">
        <v>641</v>
      </c>
      <c r="B122">
        <v>41495</v>
      </c>
      <c r="C122" t="str">
        <f t="shared" si="6"/>
        <v>2013</v>
      </c>
      <c r="D122" t="s">
        <v>642</v>
      </c>
      <c r="E122" t="s">
        <v>643</v>
      </c>
      <c r="F122" t="s">
        <v>257</v>
      </c>
      <c r="G122" t="s">
        <v>258</v>
      </c>
      <c r="H122" t="s">
        <v>241</v>
      </c>
      <c r="I122" t="s">
        <v>342</v>
      </c>
      <c r="J122" t="s">
        <v>294</v>
      </c>
      <c r="K122" t="s">
        <v>644</v>
      </c>
      <c r="L122" t="s">
        <v>245</v>
      </c>
      <c r="M122" t="s">
        <v>246</v>
      </c>
      <c r="N122" t="s">
        <v>247</v>
      </c>
      <c r="O122">
        <v>41496</v>
      </c>
      <c r="P122">
        <v>18.38</v>
      </c>
      <c r="Q122">
        <v>29.17</v>
      </c>
      <c r="R122">
        <f t="shared" si="7"/>
        <v>10.790000000000003</v>
      </c>
      <c r="S122">
        <v>8</v>
      </c>
      <c r="T122">
        <f t="shared" si="8"/>
        <v>233.36</v>
      </c>
      <c r="U122">
        <v>0.02</v>
      </c>
      <c r="V122">
        <f t="shared" si="9"/>
        <v>4.6672000000000002</v>
      </c>
      <c r="W122">
        <f t="shared" si="10"/>
        <v>228.69280000000001</v>
      </c>
      <c r="X122">
        <v>6.27</v>
      </c>
      <c r="Y122">
        <f t="shared" si="11"/>
        <v>234.96280000000002</v>
      </c>
    </row>
    <row r="123" spans="1:25" x14ac:dyDescent="0.25">
      <c r="A123" t="s">
        <v>645</v>
      </c>
      <c r="B123">
        <v>41495</v>
      </c>
      <c r="C123" t="str">
        <f t="shared" si="6"/>
        <v>2013</v>
      </c>
      <c r="D123" t="s">
        <v>646</v>
      </c>
      <c r="E123" t="s">
        <v>376</v>
      </c>
      <c r="F123" t="s">
        <v>239</v>
      </c>
      <c r="G123" t="s">
        <v>240</v>
      </c>
      <c r="H123" t="s">
        <v>293</v>
      </c>
      <c r="I123" t="s">
        <v>242</v>
      </c>
      <c r="J123" t="s">
        <v>279</v>
      </c>
      <c r="K123" t="s">
        <v>594</v>
      </c>
      <c r="L123" t="s">
        <v>268</v>
      </c>
      <c r="M123" t="s">
        <v>647</v>
      </c>
      <c r="N123" t="s">
        <v>247</v>
      </c>
      <c r="O123">
        <v>41499</v>
      </c>
      <c r="P123">
        <v>216</v>
      </c>
      <c r="Q123">
        <v>449.99</v>
      </c>
      <c r="R123">
        <f t="shared" si="7"/>
        <v>233.99</v>
      </c>
      <c r="S123">
        <v>40</v>
      </c>
      <c r="T123">
        <f t="shared" si="8"/>
        <v>17999.599999999999</v>
      </c>
      <c r="U123">
        <v>0.04</v>
      </c>
      <c r="V123">
        <f t="shared" si="9"/>
        <v>719.98399999999992</v>
      </c>
      <c r="W123">
        <f t="shared" si="10"/>
        <v>17279.615999999998</v>
      </c>
      <c r="X123">
        <v>24.49</v>
      </c>
      <c r="Y123">
        <f t="shared" si="11"/>
        <v>17304.106</v>
      </c>
    </row>
    <row r="124" spans="1:25" x14ac:dyDescent="0.25">
      <c r="A124" t="s">
        <v>648</v>
      </c>
      <c r="B124">
        <v>41495</v>
      </c>
      <c r="C124" t="str">
        <f t="shared" si="6"/>
        <v>2013</v>
      </c>
      <c r="D124" t="s">
        <v>649</v>
      </c>
      <c r="E124" t="s">
        <v>650</v>
      </c>
      <c r="F124" t="s">
        <v>257</v>
      </c>
      <c r="G124" t="s">
        <v>258</v>
      </c>
      <c r="H124" t="s">
        <v>259</v>
      </c>
      <c r="I124" t="s">
        <v>299</v>
      </c>
      <c r="J124" t="s">
        <v>279</v>
      </c>
      <c r="K124" t="s">
        <v>267</v>
      </c>
      <c r="L124" t="s">
        <v>268</v>
      </c>
      <c r="M124" t="s">
        <v>269</v>
      </c>
      <c r="N124" t="s">
        <v>270</v>
      </c>
      <c r="O124">
        <v>41502</v>
      </c>
      <c r="P124">
        <v>75</v>
      </c>
      <c r="Q124">
        <v>120.97</v>
      </c>
      <c r="R124">
        <f t="shared" si="7"/>
        <v>45.97</v>
      </c>
      <c r="S124">
        <v>35</v>
      </c>
      <c r="T124">
        <f t="shared" si="8"/>
        <v>4233.95</v>
      </c>
      <c r="U124">
        <v>0.08</v>
      </c>
      <c r="V124">
        <f t="shared" si="9"/>
        <v>338.71600000000001</v>
      </c>
      <c r="W124">
        <f t="shared" si="10"/>
        <v>3895.2339999999999</v>
      </c>
      <c r="X124">
        <v>26.3</v>
      </c>
      <c r="Y124">
        <f t="shared" si="11"/>
        <v>3921.5340000000001</v>
      </c>
    </row>
    <row r="125" spans="1:25" x14ac:dyDescent="0.25">
      <c r="A125" t="s">
        <v>651</v>
      </c>
      <c r="B125">
        <v>41496</v>
      </c>
      <c r="C125" t="str">
        <f t="shared" si="6"/>
        <v>2013</v>
      </c>
      <c r="D125" t="s">
        <v>652</v>
      </c>
      <c r="E125" t="s">
        <v>522</v>
      </c>
      <c r="F125" t="s">
        <v>239</v>
      </c>
      <c r="G125" t="s">
        <v>240</v>
      </c>
      <c r="H125" t="s">
        <v>274</v>
      </c>
      <c r="I125" t="s">
        <v>251</v>
      </c>
      <c r="J125" t="s">
        <v>243</v>
      </c>
      <c r="K125" t="s">
        <v>653</v>
      </c>
      <c r="L125" t="s">
        <v>245</v>
      </c>
      <c r="M125" t="s">
        <v>246</v>
      </c>
      <c r="N125" t="s">
        <v>247</v>
      </c>
      <c r="O125">
        <v>41498</v>
      </c>
      <c r="P125">
        <v>3.5</v>
      </c>
      <c r="Q125">
        <v>5.74</v>
      </c>
      <c r="R125">
        <f t="shared" si="7"/>
        <v>2.2400000000000002</v>
      </c>
      <c r="S125">
        <v>50</v>
      </c>
      <c r="T125">
        <f t="shared" si="8"/>
        <v>287</v>
      </c>
      <c r="U125">
        <v>0.1</v>
      </c>
      <c r="V125">
        <f t="shared" si="9"/>
        <v>28.700000000000003</v>
      </c>
      <c r="W125">
        <f t="shared" si="10"/>
        <v>258.3</v>
      </c>
      <c r="X125">
        <v>5.01</v>
      </c>
      <c r="Y125">
        <f t="shared" si="11"/>
        <v>263.31</v>
      </c>
    </row>
    <row r="126" spans="1:25" x14ac:dyDescent="0.25">
      <c r="A126" t="s">
        <v>654</v>
      </c>
      <c r="B126">
        <v>41497</v>
      </c>
      <c r="C126" t="str">
        <f t="shared" si="6"/>
        <v>2013</v>
      </c>
      <c r="D126" t="s">
        <v>655</v>
      </c>
      <c r="E126" t="s">
        <v>612</v>
      </c>
      <c r="F126" t="s">
        <v>239</v>
      </c>
      <c r="G126" t="s">
        <v>240</v>
      </c>
      <c r="H126" t="s">
        <v>259</v>
      </c>
      <c r="I126" t="s">
        <v>242</v>
      </c>
      <c r="J126" t="s">
        <v>279</v>
      </c>
      <c r="K126" t="s">
        <v>656</v>
      </c>
      <c r="L126" t="s">
        <v>245</v>
      </c>
      <c r="M126" t="s">
        <v>253</v>
      </c>
      <c r="N126" t="s">
        <v>247</v>
      </c>
      <c r="O126">
        <v>41499</v>
      </c>
      <c r="P126">
        <v>0.93</v>
      </c>
      <c r="Q126">
        <v>1.48</v>
      </c>
      <c r="R126">
        <f t="shared" si="7"/>
        <v>0.54999999999999993</v>
      </c>
      <c r="S126">
        <v>19</v>
      </c>
      <c r="T126">
        <f t="shared" si="8"/>
        <v>28.12</v>
      </c>
      <c r="U126">
        <v>0.09</v>
      </c>
      <c r="V126">
        <f t="shared" si="9"/>
        <v>2.5308000000000002</v>
      </c>
      <c r="W126">
        <f t="shared" si="10"/>
        <v>25.589200000000002</v>
      </c>
      <c r="X126">
        <v>0.7</v>
      </c>
      <c r="Y126">
        <f t="shared" si="11"/>
        <v>26.289200000000001</v>
      </c>
    </row>
    <row r="127" spans="1:25" x14ac:dyDescent="0.25">
      <c r="A127" t="s">
        <v>657</v>
      </c>
      <c r="B127">
        <v>41498</v>
      </c>
      <c r="C127" t="str">
        <f t="shared" si="6"/>
        <v>2013</v>
      </c>
      <c r="D127" t="s">
        <v>658</v>
      </c>
      <c r="E127" t="s">
        <v>328</v>
      </c>
      <c r="F127" t="s">
        <v>257</v>
      </c>
      <c r="G127" t="s">
        <v>258</v>
      </c>
      <c r="H127" t="s">
        <v>293</v>
      </c>
      <c r="I127" t="s">
        <v>299</v>
      </c>
      <c r="J127" t="s">
        <v>243</v>
      </c>
      <c r="K127" t="s">
        <v>659</v>
      </c>
      <c r="L127" t="s">
        <v>245</v>
      </c>
      <c r="M127" t="s">
        <v>246</v>
      </c>
      <c r="N127" t="s">
        <v>263</v>
      </c>
      <c r="O127">
        <v>41500</v>
      </c>
      <c r="P127">
        <v>67.73</v>
      </c>
      <c r="Q127">
        <v>165.2</v>
      </c>
      <c r="R127">
        <f t="shared" si="7"/>
        <v>97.469999999999985</v>
      </c>
      <c r="S127">
        <v>37</v>
      </c>
      <c r="T127">
        <f t="shared" si="8"/>
        <v>6112.4</v>
      </c>
      <c r="U127">
        <v>0.04</v>
      </c>
      <c r="V127">
        <f t="shared" si="9"/>
        <v>244.49599999999998</v>
      </c>
      <c r="W127">
        <f t="shared" si="10"/>
        <v>5867.9039999999995</v>
      </c>
      <c r="X127">
        <v>19.989999999999998</v>
      </c>
      <c r="Y127">
        <f t="shared" si="11"/>
        <v>5887.8939999999993</v>
      </c>
    </row>
    <row r="128" spans="1:25" x14ac:dyDescent="0.25">
      <c r="A128" t="s">
        <v>660</v>
      </c>
      <c r="B128">
        <v>41500</v>
      </c>
      <c r="C128" t="str">
        <f t="shared" si="6"/>
        <v>2013</v>
      </c>
      <c r="D128" t="s">
        <v>351</v>
      </c>
      <c r="E128" t="s">
        <v>352</v>
      </c>
      <c r="F128" t="s">
        <v>257</v>
      </c>
      <c r="G128" t="s">
        <v>258</v>
      </c>
      <c r="H128" t="s">
        <v>259</v>
      </c>
      <c r="I128" t="s">
        <v>275</v>
      </c>
      <c r="J128" t="s">
        <v>279</v>
      </c>
      <c r="K128" t="s">
        <v>661</v>
      </c>
      <c r="L128" t="s">
        <v>245</v>
      </c>
      <c r="M128" t="s">
        <v>246</v>
      </c>
      <c r="N128" t="s">
        <v>247</v>
      </c>
      <c r="O128">
        <v>41509</v>
      </c>
      <c r="P128">
        <v>2.1800000000000002</v>
      </c>
      <c r="Q128">
        <v>3.52</v>
      </c>
      <c r="R128">
        <f t="shared" si="7"/>
        <v>1.3399999999999999</v>
      </c>
      <c r="S128">
        <v>12</v>
      </c>
      <c r="T128">
        <f t="shared" si="8"/>
        <v>42.24</v>
      </c>
      <c r="U128">
        <v>0.04</v>
      </c>
      <c r="V128">
        <f t="shared" si="9"/>
        <v>1.6896000000000002</v>
      </c>
      <c r="W128">
        <f t="shared" si="10"/>
        <v>40.550400000000003</v>
      </c>
      <c r="X128">
        <v>6.83</v>
      </c>
      <c r="Y128">
        <f t="shared" si="11"/>
        <v>47.380400000000002</v>
      </c>
    </row>
    <row r="129" spans="1:25" x14ac:dyDescent="0.25">
      <c r="A129" t="s">
        <v>662</v>
      </c>
      <c r="B129">
        <v>41501</v>
      </c>
      <c r="C129" t="str">
        <f t="shared" si="6"/>
        <v>2013</v>
      </c>
      <c r="D129" t="s">
        <v>649</v>
      </c>
      <c r="E129" t="s">
        <v>650</v>
      </c>
      <c r="F129" t="s">
        <v>257</v>
      </c>
      <c r="G129" t="s">
        <v>258</v>
      </c>
      <c r="H129" t="s">
        <v>259</v>
      </c>
      <c r="I129" t="s">
        <v>299</v>
      </c>
      <c r="J129" t="s">
        <v>243</v>
      </c>
      <c r="K129" t="s">
        <v>578</v>
      </c>
      <c r="L129" t="s">
        <v>245</v>
      </c>
      <c r="M129" t="s">
        <v>253</v>
      </c>
      <c r="N129" t="s">
        <v>263</v>
      </c>
      <c r="O129">
        <v>41502</v>
      </c>
      <c r="P129">
        <v>1.31</v>
      </c>
      <c r="Q129">
        <v>2.84</v>
      </c>
      <c r="R129">
        <f t="shared" si="7"/>
        <v>1.5299999999999998</v>
      </c>
      <c r="S129">
        <v>13</v>
      </c>
      <c r="T129">
        <f t="shared" si="8"/>
        <v>36.92</v>
      </c>
      <c r="U129">
        <v>0.01</v>
      </c>
      <c r="V129">
        <f t="shared" si="9"/>
        <v>0.36920000000000003</v>
      </c>
      <c r="W129">
        <f t="shared" si="10"/>
        <v>36.550800000000002</v>
      </c>
      <c r="X129">
        <v>0.93</v>
      </c>
      <c r="Y129">
        <f t="shared" si="11"/>
        <v>37.480800000000002</v>
      </c>
    </row>
    <row r="130" spans="1:25" x14ac:dyDescent="0.25">
      <c r="A130" t="s">
        <v>663</v>
      </c>
      <c r="B130">
        <v>41503</v>
      </c>
      <c r="C130" t="str">
        <f t="shared" si="6"/>
        <v>2013</v>
      </c>
      <c r="D130" t="s">
        <v>664</v>
      </c>
      <c r="E130" t="s">
        <v>665</v>
      </c>
      <c r="F130" t="s">
        <v>448</v>
      </c>
      <c r="G130" t="s">
        <v>449</v>
      </c>
      <c r="H130" t="s">
        <v>259</v>
      </c>
      <c r="I130" t="s">
        <v>333</v>
      </c>
      <c r="J130" t="s">
        <v>294</v>
      </c>
      <c r="K130" t="s">
        <v>360</v>
      </c>
      <c r="L130" t="s">
        <v>245</v>
      </c>
      <c r="M130" t="s">
        <v>253</v>
      </c>
      <c r="N130" t="s">
        <v>247</v>
      </c>
      <c r="O130">
        <v>41503</v>
      </c>
      <c r="P130">
        <v>2.52</v>
      </c>
      <c r="Q130">
        <v>4</v>
      </c>
      <c r="R130">
        <f t="shared" si="7"/>
        <v>1.48</v>
      </c>
      <c r="S130">
        <v>41</v>
      </c>
      <c r="T130">
        <f t="shared" si="8"/>
        <v>164</v>
      </c>
      <c r="U130">
        <v>0.02</v>
      </c>
      <c r="V130">
        <f t="shared" si="9"/>
        <v>3.2800000000000002</v>
      </c>
      <c r="W130">
        <f t="shared" si="10"/>
        <v>160.72</v>
      </c>
      <c r="X130">
        <v>1.3</v>
      </c>
      <c r="Y130">
        <f t="shared" si="11"/>
        <v>162.02000000000001</v>
      </c>
    </row>
    <row r="131" spans="1:25" x14ac:dyDescent="0.25">
      <c r="A131" t="s">
        <v>666</v>
      </c>
      <c r="B131">
        <v>41506</v>
      </c>
      <c r="C131" t="str">
        <f t="shared" si="6"/>
        <v>2013</v>
      </c>
      <c r="D131" t="s">
        <v>667</v>
      </c>
      <c r="E131" t="s">
        <v>341</v>
      </c>
      <c r="F131" t="s">
        <v>257</v>
      </c>
      <c r="G131" t="s">
        <v>258</v>
      </c>
      <c r="H131" t="s">
        <v>241</v>
      </c>
      <c r="I131" t="s">
        <v>342</v>
      </c>
      <c r="J131" t="s">
        <v>243</v>
      </c>
      <c r="K131" t="s">
        <v>668</v>
      </c>
      <c r="L131" t="s">
        <v>440</v>
      </c>
      <c r="M131" t="s">
        <v>647</v>
      </c>
      <c r="N131" t="s">
        <v>263</v>
      </c>
      <c r="O131">
        <v>41508</v>
      </c>
      <c r="P131">
        <v>56.16</v>
      </c>
      <c r="Q131">
        <v>136.97999999999999</v>
      </c>
      <c r="R131">
        <f t="shared" si="7"/>
        <v>80.819999999999993</v>
      </c>
      <c r="S131">
        <v>41</v>
      </c>
      <c r="T131">
        <f t="shared" si="8"/>
        <v>5616.1799999999994</v>
      </c>
      <c r="U131">
        <v>0.04</v>
      </c>
      <c r="V131">
        <f t="shared" si="9"/>
        <v>224.64719999999997</v>
      </c>
      <c r="W131">
        <f t="shared" si="10"/>
        <v>5391.532799999999</v>
      </c>
      <c r="X131">
        <v>24.49</v>
      </c>
      <c r="Y131">
        <f t="shared" si="11"/>
        <v>5416.0227999999988</v>
      </c>
    </row>
    <row r="132" spans="1:25" x14ac:dyDescent="0.25">
      <c r="A132" t="s">
        <v>669</v>
      </c>
      <c r="B132">
        <v>41506</v>
      </c>
      <c r="C132" t="str">
        <f t="shared" si="6"/>
        <v>2013</v>
      </c>
      <c r="D132" t="s">
        <v>670</v>
      </c>
      <c r="E132" t="s">
        <v>558</v>
      </c>
      <c r="F132" t="s">
        <v>257</v>
      </c>
      <c r="G132" t="s">
        <v>258</v>
      </c>
      <c r="H132" t="s">
        <v>293</v>
      </c>
      <c r="I132" t="s">
        <v>333</v>
      </c>
      <c r="J132" t="s">
        <v>279</v>
      </c>
      <c r="K132" t="s">
        <v>399</v>
      </c>
      <c r="L132" t="s">
        <v>245</v>
      </c>
      <c r="M132" t="s">
        <v>253</v>
      </c>
      <c r="N132" t="s">
        <v>247</v>
      </c>
      <c r="O132">
        <v>41508</v>
      </c>
      <c r="P132">
        <v>3.47</v>
      </c>
      <c r="Q132">
        <v>6.68</v>
      </c>
      <c r="R132">
        <f t="shared" si="7"/>
        <v>3.2099999999999995</v>
      </c>
      <c r="S132">
        <v>5</v>
      </c>
      <c r="T132">
        <f t="shared" si="8"/>
        <v>33.4</v>
      </c>
      <c r="U132">
        <v>0.09</v>
      </c>
      <c r="V132">
        <f t="shared" si="9"/>
        <v>3.0059999999999998</v>
      </c>
      <c r="W132">
        <f t="shared" si="10"/>
        <v>30.393999999999998</v>
      </c>
      <c r="X132">
        <v>1.5</v>
      </c>
      <c r="Y132">
        <f t="shared" si="11"/>
        <v>31.893999999999998</v>
      </c>
    </row>
    <row r="133" spans="1:25" x14ac:dyDescent="0.25">
      <c r="A133" t="s">
        <v>671</v>
      </c>
      <c r="B133">
        <v>41508</v>
      </c>
      <c r="C133" t="str">
        <f t="shared" si="6"/>
        <v>2013</v>
      </c>
      <c r="D133" t="s">
        <v>672</v>
      </c>
      <c r="E133" t="s">
        <v>673</v>
      </c>
      <c r="F133" t="s">
        <v>257</v>
      </c>
      <c r="G133" t="s">
        <v>258</v>
      </c>
      <c r="H133" t="s">
        <v>293</v>
      </c>
      <c r="I133" t="s">
        <v>372</v>
      </c>
      <c r="J133" t="s">
        <v>279</v>
      </c>
      <c r="K133" t="s">
        <v>659</v>
      </c>
      <c r="L133" t="s">
        <v>245</v>
      </c>
      <c r="M133" t="s">
        <v>246</v>
      </c>
      <c r="N133" t="s">
        <v>247</v>
      </c>
      <c r="O133">
        <v>41510</v>
      </c>
      <c r="P133">
        <v>67.73</v>
      </c>
      <c r="Q133">
        <v>165.2</v>
      </c>
      <c r="R133">
        <f t="shared" si="7"/>
        <v>97.469999999999985</v>
      </c>
      <c r="S133">
        <v>23</v>
      </c>
      <c r="T133">
        <f t="shared" si="8"/>
        <v>3799.6</v>
      </c>
      <c r="U133">
        <v>7.0000000000000007E-2</v>
      </c>
      <c r="V133">
        <f t="shared" si="9"/>
        <v>265.97200000000004</v>
      </c>
      <c r="W133">
        <f t="shared" si="10"/>
        <v>3533.6279999999997</v>
      </c>
      <c r="X133">
        <v>19.989999999999998</v>
      </c>
      <c r="Y133">
        <f t="shared" si="11"/>
        <v>3553.6179999999995</v>
      </c>
    </row>
    <row r="134" spans="1:25" x14ac:dyDescent="0.25">
      <c r="A134" t="s">
        <v>674</v>
      </c>
      <c r="B134">
        <v>41510</v>
      </c>
      <c r="C134" t="str">
        <f t="shared" ref="C134:C197" si="12">TEXT(B134,"yyyy")</f>
        <v>2013</v>
      </c>
      <c r="D134" t="s">
        <v>675</v>
      </c>
      <c r="E134" t="s">
        <v>298</v>
      </c>
      <c r="F134" t="s">
        <v>257</v>
      </c>
      <c r="G134" t="s">
        <v>258</v>
      </c>
      <c r="H134" t="s">
        <v>241</v>
      </c>
      <c r="I134" t="s">
        <v>299</v>
      </c>
      <c r="J134" t="s">
        <v>294</v>
      </c>
      <c r="K134" t="s">
        <v>676</v>
      </c>
      <c r="L134" t="s">
        <v>245</v>
      </c>
      <c r="M134" t="s">
        <v>323</v>
      </c>
      <c r="N134" t="s">
        <v>247</v>
      </c>
      <c r="O134">
        <v>41513</v>
      </c>
      <c r="P134">
        <v>5.19</v>
      </c>
      <c r="Q134">
        <v>12.98</v>
      </c>
      <c r="R134">
        <f t="shared" ref="R134:R197" si="13">Q134-P134</f>
        <v>7.79</v>
      </c>
      <c r="S134">
        <v>45</v>
      </c>
      <c r="T134">
        <f t="shared" ref="T134:T197" si="14">Q134*S134</f>
        <v>584.1</v>
      </c>
      <c r="U134">
        <v>0.02</v>
      </c>
      <c r="V134">
        <f t="shared" ref="V134:V197" si="15">T134*U134</f>
        <v>11.682</v>
      </c>
      <c r="W134">
        <f t="shared" ref="W134:W197" si="16">T134-V134</f>
        <v>572.41800000000001</v>
      </c>
      <c r="X134">
        <v>3.14</v>
      </c>
      <c r="Y134">
        <f t="shared" ref="Y134:Y197" si="17">W134+X134</f>
        <v>575.55799999999999</v>
      </c>
    </row>
    <row r="135" spans="1:25" x14ac:dyDescent="0.25">
      <c r="A135" t="s">
        <v>677</v>
      </c>
      <c r="B135">
        <v>41511</v>
      </c>
      <c r="C135" t="str">
        <f t="shared" si="12"/>
        <v>2013</v>
      </c>
      <c r="D135" t="s">
        <v>678</v>
      </c>
      <c r="E135" t="s">
        <v>346</v>
      </c>
      <c r="F135" t="s">
        <v>257</v>
      </c>
      <c r="G135" t="s">
        <v>258</v>
      </c>
      <c r="H135" t="s">
        <v>241</v>
      </c>
      <c r="I135" t="s">
        <v>309</v>
      </c>
      <c r="J135" t="s">
        <v>294</v>
      </c>
      <c r="K135" t="s">
        <v>453</v>
      </c>
      <c r="L135" t="s">
        <v>245</v>
      </c>
      <c r="M135" t="s">
        <v>246</v>
      </c>
      <c r="N135" t="s">
        <v>247</v>
      </c>
      <c r="O135">
        <v>41512</v>
      </c>
      <c r="P135">
        <v>1.18</v>
      </c>
      <c r="Q135">
        <v>1.88</v>
      </c>
      <c r="R135">
        <f t="shared" si="13"/>
        <v>0.7</v>
      </c>
      <c r="S135">
        <v>42</v>
      </c>
      <c r="T135">
        <f t="shared" si="14"/>
        <v>78.959999999999994</v>
      </c>
      <c r="U135">
        <v>0</v>
      </c>
      <c r="V135">
        <f t="shared" si="15"/>
        <v>0</v>
      </c>
      <c r="W135">
        <f t="shared" si="16"/>
        <v>78.959999999999994</v>
      </c>
      <c r="X135">
        <v>1.49</v>
      </c>
      <c r="Y135">
        <f t="shared" si="17"/>
        <v>80.449999999999989</v>
      </c>
    </row>
    <row r="136" spans="1:25" x14ac:dyDescent="0.25">
      <c r="A136" t="s">
        <v>679</v>
      </c>
      <c r="B136">
        <v>41511</v>
      </c>
      <c r="C136" t="str">
        <f t="shared" si="12"/>
        <v>2013</v>
      </c>
      <c r="D136" t="s">
        <v>680</v>
      </c>
      <c r="E136" t="s">
        <v>681</v>
      </c>
      <c r="F136" t="s">
        <v>257</v>
      </c>
      <c r="G136" t="s">
        <v>258</v>
      </c>
      <c r="H136" t="s">
        <v>293</v>
      </c>
      <c r="I136" t="s">
        <v>299</v>
      </c>
      <c r="J136" t="s">
        <v>304</v>
      </c>
      <c r="K136" t="s">
        <v>349</v>
      </c>
      <c r="L136" t="s">
        <v>245</v>
      </c>
      <c r="M136" t="s">
        <v>246</v>
      </c>
      <c r="N136" t="s">
        <v>247</v>
      </c>
      <c r="O136">
        <v>41512</v>
      </c>
      <c r="P136">
        <v>3.52</v>
      </c>
      <c r="Q136">
        <v>5.68</v>
      </c>
      <c r="R136">
        <f t="shared" si="13"/>
        <v>2.1599999999999997</v>
      </c>
      <c r="S136">
        <v>32</v>
      </c>
      <c r="T136">
        <f t="shared" si="14"/>
        <v>181.76</v>
      </c>
      <c r="U136">
        <v>0.05</v>
      </c>
      <c r="V136">
        <f t="shared" si="15"/>
        <v>9.0879999999999992</v>
      </c>
      <c r="W136">
        <f t="shared" si="16"/>
        <v>172.672</v>
      </c>
      <c r="X136">
        <v>1.39</v>
      </c>
      <c r="Y136">
        <f t="shared" si="17"/>
        <v>174.06199999999998</v>
      </c>
    </row>
    <row r="137" spans="1:25" x14ac:dyDescent="0.25">
      <c r="A137" t="s">
        <v>682</v>
      </c>
      <c r="B137">
        <v>41514</v>
      </c>
      <c r="C137" t="str">
        <f t="shared" si="12"/>
        <v>2013</v>
      </c>
      <c r="D137" t="s">
        <v>683</v>
      </c>
      <c r="E137" t="s">
        <v>341</v>
      </c>
      <c r="F137" t="s">
        <v>257</v>
      </c>
      <c r="G137" t="s">
        <v>258</v>
      </c>
      <c r="H137" t="s">
        <v>274</v>
      </c>
      <c r="I137" t="s">
        <v>342</v>
      </c>
      <c r="J137" t="s">
        <v>294</v>
      </c>
      <c r="K137" t="s">
        <v>617</v>
      </c>
      <c r="L137" t="s">
        <v>245</v>
      </c>
      <c r="M137" t="s">
        <v>246</v>
      </c>
      <c r="N137" t="s">
        <v>247</v>
      </c>
      <c r="O137">
        <v>41515</v>
      </c>
      <c r="P137">
        <v>1.94</v>
      </c>
      <c r="Q137">
        <v>3.08</v>
      </c>
      <c r="R137">
        <f t="shared" si="13"/>
        <v>1.1400000000000001</v>
      </c>
      <c r="S137">
        <v>45</v>
      </c>
      <c r="T137">
        <f t="shared" si="14"/>
        <v>138.6</v>
      </c>
      <c r="U137">
        <v>0.04</v>
      </c>
      <c r="V137">
        <f t="shared" si="15"/>
        <v>5.5439999999999996</v>
      </c>
      <c r="W137">
        <f t="shared" si="16"/>
        <v>133.05599999999998</v>
      </c>
      <c r="X137">
        <v>0.99</v>
      </c>
      <c r="Y137">
        <f t="shared" si="17"/>
        <v>134.04599999999999</v>
      </c>
    </row>
    <row r="138" spans="1:25" x14ac:dyDescent="0.25">
      <c r="A138" t="s">
        <v>684</v>
      </c>
      <c r="B138">
        <v>41515</v>
      </c>
      <c r="C138" t="str">
        <f t="shared" si="12"/>
        <v>2013</v>
      </c>
      <c r="D138" t="s">
        <v>680</v>
      </c>
      <c r="E138" t="s">
        <v>681</v>
      </c>
      <c r="F138" t="s">
        <v>257</v>
      </c>
      <c r="G138" t="s">
        <v>258</v>
      </c>
      <c r="H138" t="s">
        <v>274</v>
      </c>
      <c r="I138" t="s">
        <v>299</v>
      </c>
      <c r="J138" t="s">
        <v>294</v>
      </c>
      <c r="K138" t="s">
        <v>390</v>
      </c>
      <c r="L138" t="s">
        <v>245</v>
      </c>
      <c r="M138" t="s">
        <v>246</v>
      </c>
      <c r="N138" t="s">
        <v>247</v>
      </c>
      <c r="O138">
        <v>41516</v>
      </c>
      <c r="P138">
        <v>8.7100000000000009</v>
      </c>
      <c r="Q138">
        <v>14.28</v>
      </c>
      <c r="R138">
        <f t="shared" si="13"/>
        <v>5.5699999999999985</v>
      </c>
      <c r="S138">
        <v>8</v>
      </c>
      <c r="T138">
        <f t="shared" si="14"/>
        <v>114.24</v>
      </c>
      <c r="U138">
        <v>0.01</v>
      </c>
      <c r="V138">
        <f t="shared" si="15"/>
        <v>1.1424000000000001</v>
      </c>
      <c r="W138">
        <f t="shared" si="16"/>
        <v>113.0976</v>
      </c>
      <c r="X138">
        <v>2.99</v>
      </c>
      <c r="Y138">
        <f t="shared" si="17"/>
        <v>116.08759999999999</v>
      </c>
    </row>
    <row r="139" spans="1:25" x14ac:dyDescent="0.25">
      <c r="A139" t="s">
        <v>685</v>
      </c>
      <c r="B139">
        <v>41515</v>
      </c>
      <c r="C139" t="str">
        <f t="shared" si="12"/>
        <v>2013</v>
      </c>
      <c r="D139" t="s">
        <v>686</v>
      </c>
      <c r="E139" t="s">
        <v>341</v>
      </c>
      <c r="F139" t="s">
        <v>257</v>
      </c>
      <c r="G139" t="s">
        <v>258</v>
      </c>
      <c r="H139" t="s">
        <v>241</v>
      </c>
      <c r="I139" t="s">
        <v>342</v>
      </c>
      <c r="J139" t="s">
        <v>279</v>
      </c>
      <c r="K139" t="s">
        <v>482</v>
      </c>
      <c r="L139" t="s">
        <v>268</v>
      </c>
      <c r="M139" t="s">
        <v>246</v>
      </c>
      <c r="N139" t="s">
        <v>247</v>
      </c>
      <c r="O139">
        <v>41520</v>
      </c>
      <c r="P139">
        <v>60.59</v>
      </c>
      <c r="Q139">
        <v>100.98</v>
      </c>
      <c r="R139">
        <f t="shared" si="13"/>
        <v>40.39</v>
      </c>
      <c r="S139">
        <v>12</v>
      </c>
      <c r="T139">
        <f t="shared" si="14"/>
        <v>1211.76</v>
      </c>
      <c r="U139">
        <v>0.04</v>
      </c>
      <c r="V139">
        <f t="shared" si="15"/>
        <v>48.470399999999998</v>
      </c>
      <c r="W139">
        <f t="shared" si="16"/>
        <v>1163.2896000000001</v>
      </c>
      <c r="X139">
        <v>7.18</v>
      </c>
      <c r="Y139">
        <f t="shared" si="17"/>
        <v>1170.4696000000001</v>
      </c>
    </row>
    <row r="140" spans="1:25" x14ac:dyDescent="0.25">
      <c r="A140" t="s">
        <v>687</v>
      </c>
      <c r="B140">
        <v>41516</v>
      </c>
      <c r="C140" t="str">
        <f t="shared" si="12"/>
        <v>2013</v>
      </c>
      <c r="D140" t="s">
        <v>686</v>
      </c>
      <c r="E140" t="s">
        <v>341</v>
      </c>
      <c r="F140" t="s">
        <v>257</v>
      </c>
      <c r="G140" t="s">
        <v>258</v>
      </c>
      <c r="H140" t="s">
        <v>241</v>
      </c>
      <c r="I140" t="s">
        <v>342</v>
      </c>
      <c r="J140" t="s">
        <v>304</v>
      </c>
      <c r="K140" t="s">
        <v>688</v>
      </c>
      <c r="L140" t="s">
        <v>245</v>
      </c>
      <c r="M140" t="s">
        <v>246</v>
      </c>
      <c r="N140" t="s">
        <v>263</v>
      </c>
      <c r="O140">
        <v>41518</v>
      </c>
      <c r="P140">
        <v>2.4500000000000002</v>
      </c>
      <c r="Q140">
        <v>3.89</v>
      </c>
      <c r="R140">
        <f t="shared" si="13"/>
        <v>1.44</v>
      </c>
      <c r="S140">
        <v>32</v>
      </c>
      <c r="T140">
        <f t="shared" si="14"/>
        <v>124.48</v>
      </c>
      <c r="U140">
        <v>0.09</v>
      </c>
      <c r="V140">
        <f t="shared" si="15"/>
        <v>11.203200000000001</v>
      </c>
      <c r="W140">
        <f t="shared" si="16"/>
        <v>113.27680000000001</v>
      </c>
      <c r="X140">
        <v>7.01</v>
      </c>
      <c r="Y140">
        <f t="shared" si="17"/>
        <v>120.28680000000001</v>
      </c>
    </row>
    <row r="141" spans="1:25" x14ac:dyDescent="0.25">
      <c r="A141" t="s">
        <v>689</v>
      </c>
      <c r="B141">
        <v>41518</v>
      </c>
      <c r="C141" t="str">
        <f t="shared" si="12"/>
        <v>2013</v>
      </c>
      <c r="D141" t="s">
        <v>690</v>
      </c>
      <c r="E141" t="s">
        <v>691</v>
      </c>
      <c r="F141" t="s">
        <v>448</v>
      </c>
      <c r="G141" t="s">
        <v>449</v>
      </c>
      <c r="H141" t="s">
        <v>241</v>
      </c>
      <c r="I141" t="s">
        <v>504</v>
      </c>
      <c r="J141" t="s">
        <v>261</v>
      </c>
      <c r="K141" t="s">
        <v>453</v>
      </c>
      <c r="L141" t="s">
        <v>245</v>
      </c>
      <c r="M141" t="s">
        <v>246</v>
      </c>
      <c r="N141" t="s">
        <v>247</v>
      </c>
      <c r="O141">
        <v>41519</v>
      </c>
      <c r="P141">
        <v>1.18</v>
      </c>
      <c r="Q141">
        <v>1.88</v>
      </c>
      <c r="R141">
        <f t="shared" si="13"/>
        <v>0.7</v>
      </c>
      <c r="S141">
        <v>43</v>
      </c>
      <c r="T141">
        <f t="shared" si="14"/>
        <v>80.839999999999989</v>
      </c>
      <c r="U141">
        <v>0.03</v>
      </c>
      <c r="V141">
        <f t="shared" si="15"/>
        <v>2.4251999999999998</v>
      </c>
      <c r="W141">
        <f t="shared" si="16"/>
        <v>78.414799999999985</v>
      </c>
      <c r="X141">
        <v>1.49</v>
      </c>
      <c r="Y141">
        <f t="shared" si="17"/>
        <v>79.90479999999998</v>
      </c>
    </row>
    <row r="142" spans="1:25" x14ac:dyDescent="0.25">
      <c r="A142" t="s">
        <v>692</v>
      </c>
      <c r="B142">
        <v>41519</v>
      </c>
      <c r="C142" t="str">
        <f t="shared" si="12"/>
        <v>2013</v>
      </c>
      <c r="D142" t="s">
        <v>693</v>
      </c>
      <c r="E142" t="s">
        <v>694</v>
      </c>
      <c r="F142" t="s">
        <v>257</v>
      </c>
      <c r="G142" t="s">
        <v>258</v>
      </c>
      <c r="H142" t="s">
        <v>259</v>
      </c>
      <c r="I142" t="s">
        <v>284</v>
      </c>
      <c r="J142" t="s">
        <v>243</v>
      </c>
      <c r="K142" t="s">
        <v>607</v>
      </c>
      <c r="L142" t="s">
        <v>245</v>
      </c>
      <c r="M142" t="s">
        <v>246</v>
      </c>
      <c r="N142" t="s">
        <v>247</v>
      </c>
      <c r="O142">
        <v>41520</v>
      </c>
      <c r="P142">
        <v>4.46</v>
      </c>
      <c r="Q142">
        <v>10.89</v>
      </c>
      <c r="R142">
        <f t="shared" si="13"/>
        <v>6.4300000000000006</v>
      </c>
      <c r="S142">
        <v>9</v>
      </c>
      <c r="T142">
        <f t="shared" si="14"/>
        <v>98.01</v>
      </c>
      <c r="U142">
        <v>0.03</v>
      </c>
      <c r="V142">
        <f t="shared" si="15"/>
        <v>2.9403000000000001</v>
      </c>
      <c r="W142">
        <f t="shared" si="16"/>
        <v>95.069700000000012</v>
      </c>
      <c r="X142">
        <v>4.5</v>
      </c>
      <c r="Y142">
        <f t="shared" si="17"/>
        <v>99.569700000000012</v>
      </c>
    </row>
    <row r="143" spans="1:25" x14ac:dyDescent="0.25">
      <c r="A143" t="s">
        <v>695</v>
      </c>
      <c r="B143">
        <v>41520</v>
      </c>
      <c r="C143" t="str">
        <f t="shared" si="12"/>
        <v>2013</v>
      </c>
      <c r="D143" t="s">
        <v>366</v>
      </c>
      <c r="E143" t="s">
        <v>367</v>
      </c>
      <c r="F143" t="s">
        <v>239</v>
      </c>
      <c r="G143" t="s">
        <v>240</v>
      </c>
      <c r="H143" t="s">
        <v>259</v>
      </c>
      <c r="I143" t="s">
        <v>251</v>
      </c>
      <c r="J143" t="s">
        <v>279</v>
      </c>
      <c r="K143" t="s">
        <v>638</v>
      </c>
      <c r="L143" t="s">
        <v>245</v>
      </c>
      <c r="M143" t="s">
        <v>323</v>
      </c>
      <c r="N143" t="s">
        <v>247</v>
      </c>
      <c r="O143">
        <v>41522</v>
      </c>
      <c r="P143">
        <v>1.46</v>
      </c>
      <c r="Q143">
        <v>3.57</v>
      </c>
      <c r="R143">
        <f t="shared" si="13"/>
        <v>2.11</v>
      </c>
      <c r="S143">
        <v>26</v>
      </c>
      <c r="T143">
        <f t="shared" si="14"/>
        <v>92.82</v>
      </c>
      <c r="U143">
        <v>0.04</v>
      </c>
      <c r="V143">
        <f t="shared" si="15"/>
        <v>3.7127999999999997</v>
      </c>
      <c r="W143">
        <f t="shared" si="16"/>
        <v>89.107199999999992</v>
      </c>
      <c r="X143">
        <v>4.17</v>
      </c>
      <c r="Y143">
        <f t="shared" si="17"/>
        <v>93.277199999999993</v>
      </c>
    </row>
    <row r="144" spans="1:25" x14ac:dyDescent="0.25">
      <c r="A144" t="s">
        <v>696</v>
      </c>
      <c r="B144">
        <v>41521</v>
      </c>
      <c r="C144" t="str">
        <f t="shared" si="12"/>
        <v>2013</v>
      </c>
      <c r="D144" t="s">
        <v>697</v>
      </c>
      <c r="E144" t="s">
        <v>238</v>
      </c>
      <c r="F144" t="s">
        <v>239</v>
      </c>
      <c r="G144" t="s">
        <v>240</v>
      </c>
      <c r="H144" t="s">
        <v>293</v>
      </c>
      <c r="I144" t="s">
        <v>242</v>
      </c>
      <c r="J144" t="s">
        <v>294</v>
      </c>
      <c r="K144" t="s">
        <v>698</v>
      </c>
      <c r="L144" t="s">
        <v>245</v>
      </c>
      <c r="M144" t="s">
        <v>253</v>
      </c>
      <c r="N144" t="s">
        <v>263</v>
      </c>
      <c r="O144">
        <v>41523</v>
      </c>
      <c r="P144">
        <v>3.32</v>
      </c>
      <c r="Q144">
        <v>5.18</v>
      </c>
      <c r="R144">
        <f t="shared" si="13"/>
        <v>1.8599999999999999</v>
      </c>
      <c r="S144">
        <v>37</v>
      </c>
      <c r="T144">
        <f t="shared" si="14"/>
        <v>191.66</v>
      </c>
      <c r="U144">
        <v>7.0000000000000007E-2</v>
      </c>
      <c r="V144">
        <f t="shared" si="15"/>
        <v>13.416200000000002</v>
      </c>
      <c r="W144">
        <f t="shared" si="16"/>
        <v>178.24379999999999</v>
      </c>
      <c r="X144">
        <v>2.04</v>
      </c>
      <c r="Y144">
        <f t="shared" si="17"/>
        <v>180.28379999999999</v>
      </c>
    </row>
    <row r="145" spans="1:25" x14ac:dyDescent="0.25">
      <c r="A145" t="s">
        <v>699</v>
      </c>
      <c r="B145">
        <v>41521</v>
      </c>
      <c r="C145" t="str">
        <f t="shared" si="12"/>
        <v>2013</v>
      </c>
      <c r="D145" t="s">
        <v>700</v>
      </c>
      <c r="E145" t="s">
        <v>701</v>
      </c>
      <c r="F145" t="s">
        <v>257</v>
      </c>
      <c r="G145" t="s">
        <v>258</v>
      </c>
      <c r="H145" t="s">
        <v>259</v>
      </c>
      <c r="I145" t="s">
        <v>275</v>
      </c>
      <c r="J145" t="s">
        <v>279</v>
      </c>
      <c r="K145" t="s">
        <v>460</v>
      </c>
      <c r="L145" t="s">
        <v>245</v>
      </c>
      <c r="M145" t="s">
        <v>246</v>
      </c>
      <c r="N145" t="s">
        <v>247</v>
      </c>
      <c r="O145">
        <v>41526</v>
      </c>
      <c r="P145">
        <v>3.84</v>
      </c>
      <c r="Q145">
        <v>6.3</v>
      </c>
      <c r="R145">
        <f t="shared" si="13"/>
        <v>2.46</v>
      </c>
      <c r="S145">
        <v>39</v>
      </c>
      <c r="T145">
        <f t="shared" si="14"/>
        <v>245.7</v>
      </c>
      <c r="U145">
        <v>0.1</v>
      </c>
      <c r="V145">
        <f t="shared" si="15"/>
        <v>24.57</v>
      </c>
      <c r="W145">
        <f t="shared" si="16"/>
        <v>221.13</v>
      </c>
      <c r="X145">
        <v>0.5</v>
      </c>
      <c r="Y145">
        <f t="shared" si="17"/>
        <v>221.63</v>
      </c>
    </row>
    <row r="146" spans="1:25" x14ac:dyDescent="0.25">
      <c r="A146" t="s">
        <v>702</v>
      </c>
      <c r="B146">
        <v>41526</v>
      </c>
      <c r="C146" t="str">
        <f t="shared" si="12"/>
        <v>2013</v>
      </c>
      <c r="D146" t="s">
        <v>703</v>
      </c>
      <c r="E146" t="s">
        <v>288</v>
      </c>
      <c r="F146" t="s">
        <v>257</v>
      </c>
      <c r="G146" t="s">
        <v>258</v>
      </c>
      <c r="H146" t="s">
        <v>259</v>
      </c>
      <c r="I146" t="s">
        <v>284</v>
      </c>
      <c r="J146" t="s">
        <v>294</v>
      </c>
      <c r="K146" t="s">
        <v>617</v>
      </c>
      <c r="L146" t="s">
        <v>245</v>
      </c>
      <c r="M146" t="s">
        <v>246</v>
      </c>
      <c r="N146" t="s">
        <v>247</v>
      </c>
      <c r="O146">
        <v>41527</v>
      </c>
      <c r="P146">
        <v>1.94</v>
      </c>
      <c r="Q146">
        <v>3.08</v>
      </c>
      <c r="R146">
        <f t="shared" si="13"/>
        <v>1.1400000000000001</v>
      </c>
      <c r="S146">
        <v>24</v>
      </c>
      <c r="T146">
        <f t="shared" si="14"/>
        <v>73.92</v>
      </c>
      <c r="U146">
        <v>0.04</v>
      </c>
      <c r="V146">
        <f t="shared" si="15"/>
        <v>2.9568000000000003</v>
      </c>
      <c r="W146">
        <f t="shared" si="16"/>
        <v>70.963200000000001</v>
      </c>
      <c r="X146">
        <v>0.99</v>
      </c>
      <c r="Y146">
        <f t="shared" si="17"/>
        <v>71.953199999999995</v>
      </c>
    </row>
    <row r="147" spans="1:25" x14ac:dyDescent="0.25">
      <c r="A147" t="s">
        <v>704</v>
      </c>
      <c r="B147">
        <v>41527</v>
      </c>
      <c r="C147" t="str">
        <f t="shared" si="12"/>
        <v>2013</v>
      </c>
      <c r="D147" t="s">
        <v>705</v>
      </c>
      <c r="E147" t="s">
        <v>706</v>
      </c>
      <c r="F147" t="s">
        <v>257</v>
      </c>
      <c r="G147" t="s">
        <v>258</v>
      </c>
      <c r="H147" t="s">
        <v>259</v>
      </c>
      <c r="I147" t="s">
        <v>299</v>
      </c>
      <c r="J147" t="s">
        <v>294</v>
      </c>
      <c r="K147" t="s">
        <v>493</v>
      </c>
      <c r="L147" t="s">
        <v>245</v>
      </c>
      <c r="M147" t="s">
        <v>253</v>
      </c>
      <c r="N147" t="s">
        <v>247</v>
      </c>
      <c r="O147">
        <v>41529</v>
      </c>
      <c r="P147">
        <v>1.76</v>
      </c>
      <c r="Q147">
        <v>3.38</v>
      </c>
      <c r="R147">
        <f t="shared" si="13"/>
        <v>1.6199999999999999</v>
      </c>
      <c r="S147">
        <v>27</v>
      </c>
      <c r="T147">
        <f t="shared" si="14"/>
        <v>91.259999999999991</v>
      </c>
      <c r="U147">
        <v>0.08</v>
      </c>
      <c r="V147">
        <f t="shared" si="15"/>
        <v>7.3007999999999997</v>
      </c>
      <c r="W147">
        <f t="shared" si="16"/>
        <v>83.959199999999996</v>
      </c>
      <c r="X147">
        <v>0.85</v>
      </c>
      <c r="Y147">
        <f t="shared" si="17"/>
        <v>84.80919999999999</v>
      </c>
    </row>
    <row r="148" spans="1:25" x14ac:dyDescent="0.25">
      <c r="A148" t="s">
        <v>707</v>
      </c>
      <c r="B148">
        <v>41529</v>
      </c>
      <c r="C148" t="str">
        <f t="shared" si="12"/>
        <v>2013</v>
      </c>
      <c r="D148" t="s">
        <v>708</v>
      </c>
      <c r="E148" t="s">
        <v>709</v>
      </c>
      <c r="F148" t="s">
        <v>257</v>
      </c>
      <c r="G148" t="s">
        <v>258</v>
      </c>
      <c r="H148" t="s">
        <v>293</v>
      </c>
      <c r="I148" t="s">
        <v>275</v>
      </c>
      <c r="J148" t="s">
        <v>261</v>
      </c>
      <c r="K148" t="s">
        <v>607</v>
      </c>
      <c r="L148" t="s">
        <v>245</v>
      </c>
      <c r="M148" t="s">
        <v>246</v>
      </c>
      <c r="N148" t="s">
        <v>247</v>
      </c>
      <c r="O148">
        <v>41531</v>
      </c>
      <c r="P148">
        <v>4.46</v>
      </c>
      <c r="Q148">
        <v>10.89</v>
      </c>
      <c r="R148">
        <f t="shared" si="13"/>
        <v>6.4300000000000006</v>
      </c>
      <c r="S148">
        <v>37</v>
      </c>
      <c r="T148">
        <f t="shared" si="14"/>
        <v>402.93</v>
      </c>
      <c r="U148">
        <v>0.1</v>
      </c>
      <c r="V148">
        <f t="shared" si="15"/>
        <v>40.293000000000006</v>
      </c>
      <c r="W148">
        <f t="shared" si="16"/>
        <v>362.637</v>
      </c>
      <c r="X148">
        <v>4.5</v>
      </c>
      <c r="Y148">
        <f t="shared" si="17"/>
        <v>367.137</v>
      </c>
    </row>
    <row r="149" spans="1:25" x14ac:dyDescent="0.25">
      <c r="A149" t="s">
        <v>710</v>
      </c>
      <c r="B149">
        <v>41529</v>
      </c>
      <c r="C149" t="str">
        <f t="shared" si="12"/>
        <v>2013</v>
      </c>
      <c r="D149" t="s">
        <v>711</v>
      </c>
      <c r="E149" t="s">
        <v>409</v>
      </c>
      <c r="F149" t="s">
        <v>257</v>
      </c>
      <c r="G149" t="s">
        <v>258</v>
      </c>
      <c r="H149" t="s">
        <v>274</v>
      </c>
      <c r="I149" t="s">
        <v>342</v>
      </c>
      <c r="J149" t="s">
        <v>294</v>
      </c>
      <c r="K149" t="s">
        <v>305</v>
      </c>
      <c r="L149" t="s">
        <v>245</v>
      </c>
      <c r="M149" t="s">
        <v>246</v>
      </c>
      <c r="N149" t="s">
        <v>247</v>
      </c>
      <c r="O149">
        <v>41532</v>
      </c>
      <c r="P149">
        <v>4.8899999999999997</v>
      </c>
      <c r="Q149">
        <v>7.64</v>
      </c>
      <c r="R149">
        <f t="shared" si="13"/>
        <v>2.75</v>
      </c>
      <c r="S149">
        <v>44</v>
      </c>
      <c r="T149">
        <f t="shared" si="14"/>
        <v>336.15999999999997</v>
      </c>
      <c r="U149">
        <v>0.01</v>
      </c>
      <c r="V149">
        <f t="shared" si="15"/>
        <v>3.3615999999999997</v>
      </c>
      <c r="W149">
        <f t="shared" si="16"/>
        <v>332.79839999999996</v>
      </c>
      <c r="X149">
        <v>1.39</v>
      </c>
      <c r="Y149">
        <f t="shared" si="17"/>
        <v>334.18839999999994</v>
      </c>
    </row>
    <row r="150" spans="1:25" x14ac:dyDescent="0.25">
      <c r="A150" t="s">
        <v>712</v>
      </c>
      <c r="B150">
        <v>41529</v>
      </c>
      <c r="C150" t="str">
        <f t="shared" si="12"/>
        <v>2013</v>
      </c>
      <c r="D150" t="s">
        <v>713</v>
      </c>
      <c r="E150" t="s">
        <v>552</v>
      </c>
      <c r="F150" t="s">
        <v>257</v>
      </c>
      <c r="G150" t="s">
        <v>258</v>
      </c>
      <c r="H150" t="s">
        <v>259</v>
      </c>
      <c r="I150" t="s">
        <v>284</v>
      </c>
      <c r="J150" t="s">
        <v>304</v>
      </c>
      <c r="K150" t="s">
        <v>714</v>
      </c>
      <c r="L150" t="s">
        <v>268</v>
      </c>
      <c r="M150" t="s">
        <v>246</v>
      </c>
      <c r="N150" t="s">
        <v>247</v>
      </c>
      <c r="O150">
        <v>41531</v>
      </c>
      <c r="P150">
        <v>42.11</v>
      </c>
      <c r="Q150">
        <v>80.98</v>
      </c>
      <c r="R150">
        <f t="shared" si="13"/>
        <v>38.870000000000005</v>
      </c>
      <c r="S150">
        <v>34</v>
      </c>
      <c r="T150">
        <f t="shared" si="14"/>
        <v>2753.32</v>
      </c>
      <c r="U150">
        <v>7.0000000000000007E-2</v>
      </c>
      <c r="V150">
        <f t="shared" si="15"/>
        <v>192.73240000000004</v>
      </c>
      <c r="W150">
        <f t="shared" si="16"/>
        <v>2560.5876000000003</v>
      </c>
      <c r="X150">
        <v>7.18</v>
      </c>
      <c r="Y150">
        <f t="shared" si="17"/>
        <v>2567.7676000000001</v>
      </c>
    </row>
    <row r="151" spans="1:25" x14ac:dyDescent="0.25">
      <c r="A151" t="s">
        <v>715</v>
      </c>
      <c r="B151">
        <v>41531</v>
      </c>
      <c r="C151" t="str">
        <f t="shared" si="12"/>
        <v>2013</v>
      </c>
      <c r="D151" t="s">
        <v>716</v>
      </c>
      <c r="E151" t="s">
        <v>717</v>
      </c>
      <c r="F151" t="s">
        <v>448</v>
      </c>
      <c r="G151" t="s">
        <v>449</v>
      </c>
      <c r="H151" t="s">
        <v>241</v>
      </c>
      <c r="I151" t="s">
        <v>504</v>
      </c>
      <c r="J151" t="s">
        <v>279</v>
      </c>
      <c r="K151" t="s">
        <v>718</v>
      </c>
      <c r="L151" t="s">
        <v>245</v>
      </c>
      <c r="M151" t="s">
        <v>323</v>
      </c>
      <c r="N151" t="s">
        <v>263</v>
      </c>
      <c r="O151">
        <v>41535</v>
      </c>
      <c r="P151">
        <v>2.5</v>
      </c>
      <c r="Q151">
        <v>5.68</v>
      </c>
      <c r="R151">
        <f t="shared" si="13"/>
        <v>3.1799999999999997</v>
      </c>
      <c r="S151">
        <v>46</v>
      </c>
      <c r="T151">
        <f t="shared" si="14"/>
        <v>261.27999999999997</v>
      </c>
      <c r="U151">
        <v>0.1</v>
      </c>
      <c r="V151">
        <f t="shared" si="15"/>
        <v>26.128</v>
      </c>
      <c r="W151">
        <f t="shared" si="16"/>
        <v>235.15199999999999</v>
      </c>
      <c r="X151">
        <v>3.6</v>
      </c>
      <c r="Y151">
        <f t="shared" si="17"/>
        <v>238.75199999999998</v>
      </c>
    </row>
    <row r="152" spans="1:25" x14ac:dyDescent="0.25">
      <c r="A152" t="s">
        <v>719</v>
      </c>
      <c r="B152">
        <v>41534</v>
      </c>
      <c r="C152" t="str">
        <f t="shared" si="12"/>
        <v>2013</v>
      </c>
      <c r="D152" t="s">
        <v>720</v>
      </c>
      <c r="E152" t="s">
        <v>332</v>
      </c>
      <c r="F152" t="s">
        <v>257</v>
      </c>
      <c r="G152" t="s">
        <v>258</v>
      </c>
      <c r="H152" t="s">
        <v>259</v>
      </c>
      <c r="I152" t="s">
        <v>333</v>
      </c>
      <c r="J152" t="s">
        <v>243</v>
      </c>
      <c r="K152" t="s">
        <v>653</v>
      </c>
      <c r="L152" t="s">
        <v>245</v>
      </c>
      <c r="M152" t="s">
        <v>246</v>
      </c>
      <c r="N152" t="s">
        <v>247</v>
      </c>
      <c r="O152">
        <v>41536</v>
      </c>
      <c r="P152">
        <v>3.5</v>
      </c>
      <c r="Q152">
        <v>5.74</v>
      </c>
      <c r="R152">
        <f t="shared" si="13"/>
        <v>2.2400000000000002</v>
      </c>
      <c r="S152">
        <v>3</v>
      </c>
      <c r="T152">
        <f t="shared" si="14"/>
        <v>17.22</v>
      </c>
      <c r="U152">
        <v>0.08</v>
      </c>
      <c r="V152">
        <f t="shared" si="15"/>
        <v>1.3775999999999999</v>
      </c>
      <c r="W152">
        <f t="shared" si="16"/>
        <v>15.8424</v>
      </c>
      <c r="X152">
        <v>5.01</v>
      </c>
      <c r="Y152">
        <f t="shared" si="17"/>
        <v>20.852399999999999</v>
      </c>
    </row>
    <row r="153" spans="1:25" x14ac:dyDescent="0.25">
      <c r="A153" t="s">
        <v>721</v>
      </c>
      <c r="B153">
        <v>41535</v>
      </c>
      <c r="C153" t="str">
        <f t="shared" si="12"/>
        <v>2013</v>
      </c>
      <c r="D153" t="s">
        <v>722</v>
      </c>
      <c r="E153" t="s">
        <v>256</v>
      </c>
      <c r="F153" t="s">
        <v>257</v>
      </c>
      <c r="G153" t="s">
        <v>258</v>
      </c>
      <c r="H153" t="s">
        <v>241</v>
      </c>
      <c r="I153" t="s">
        <v>260</v>
      </c>
      <c r="J153" t="s">
        <v>279</v>
      </c>
      <c r="K153" t="s">
        <v>421</v>
      </c>
      <c r="L153" t="s">
        <v>245</v>
      </c>
      <c r="M153" t="s">
        <v>246</v>
      </c>
      <c r="N153" t="s">
        <v>263</v>
      </c>
      <c r="O153">
        <v>41542</v>
      </c>
      <c r="P153">
        <v>13.88</v>
      </c>
      <c r="Q153">
        <v>22.38</v>
      </c>
      <c r="R153">
        <f t="shared" si="13"/>
        <v>8.4999999999999982</v>
      </c>
      <c r="S153">
        <v>16</v>
      </c>
      <c r="T153">
        <f t="shared" si="14"/>
        <v>358.08</v>
      </c>
      <c r="U153">
        <v>0</v>
      </c>
      <c r="V153">
        <f t="shared" si="15"/>
        <v>0</v>
      </c>
      <c r="W153">
        <f t="shared" si="16"/>
        <v>358.08</v>
      </c>
      <c r="X153">
        <v>15.1</v>
      </c>
      <c r="Y153">
        <f t="shared" si="17"/>
        <v>373.18</v>
      </c>
    </row>
    <row r="154" spans="1:25" x14ac:dyDescent="0.25">
      <c r="A154" t="s">
        <v>723</v>
      </c>
      <c r="B154">
        <v>41537</v>
      </c>
      <c r="C154" t="str">
        <f t="shared" si="12"/>
        <v>2013</v>
      </c>
      <c r="D154" t="s">
        <v>724</v>
      </c>
      <c r="E154" t="s">
        <v>507</v>
      </c>
      <c r="F154" t="s">
        <v>257</v>
      </c>
      <c r="G154" t="s">
        <v>258</v>
      </c>
      <c r="H154" t="s">
        <v>259</v>
      </c>
      <c r="I154" t="s">
        <v>492</v>
      </c>
      <c r="J154" t="s">
        <v>243</v>
      </c>
      <c r="K154" t="s">
        <v>313</v>
      </c>
      <c r="L154" t="s">
        <v>245</v>
      </c>
      <c r="M154" t="s">
        <v>246</v>
      </c>
      <c r="N154" t="s">
        <v>247</v>
      </c>
      <c r="O154">
        <v>41538</v>
      </c>
      <c r="P154">
        <v>36.020000000000003</v>
      </c>
      <c r="Q154">
        <v>58.1</v>
      </c>
      <c r="R154">
        <f t="shared" si="13"/>
        <v>22.08</v>
      </c>
      <c r="S154">
        <v>7</v>
      </c>
      <c r="T154">
        <f t="shared" si="14"/>
        <v>406.7</v>
      </c>
      <c r="U154">
        <v>0.1</v>
      </c>
      <c r="V154">
        <f t="shared" si="15"/>
        <v>40.67</v>
      </c>
      <c r="W154">
        <f t="shared" si="16"/>
        <v>366.03</v>
      </c>
      <c r="X154">
        <v>1.49</v>
      </c>
      <c r="Y154">
        <f t="shared" si="17"/>
        <v>367.52</v>
      </c>
    </row>
    <row r="155" spans="1:25" x14ac:dyDescent="0.25">
      <c r="A155" t="s">
        <v>725</v>
      </c>
      <c r="B155">
        <v>41539</v>
      </c>
      <c r="C155" t="str">
        <f t="shared" si="12"/>
        <v>2013</v>
      </c>
      <c r="D155" t="s">
        <v>726</v>
      </c>
      <c r="E155" t="s">
        <v>727</v>
      </c>
      <c r="F155" t="s">
        <v>257</v>
      </c>
      <c r="G155" t="s">
        <v>258</v>
      </c>
      <c r="H155" t="s">
        <v>241</v>
      </c>
      <c r="I155" t="s">
        <v>333</v>
      </c>
      <c r="J155" t="s">
        <v>261</v>
      </c>
      <c r="K155" t="s">
        <v>353</v>
      </c>
      <c r="L155" t="s">
        <v>245</v>
      </c>
      <c r="M155" t="s">
        <v>323</v>
      </c>
      <c r="N155" t="s">
        <v>247</v>
      </c>
      <c r="O155">
        <v>41541</v>
      </c>
      <c r="P155">
        <v>0.94</v>
      </c>
      <c r="Q155">
        <v>2.08</v>
      </c>
      <c r="R155">
        <f t="shared" si="13"/>
        <v>1.1400000000000001</v>
      </c>
      <c r="S155">
        <v>43</v>
      </c>
      <c r="T155">
        <f t="shared" si="14"/>
        <v>89.44</v>
      </c>
      <c r="U155">
        <v>0.05</v>
      </c>
      <c r="V155">
        <f t="shared" si="15"/>
        <v>4.4720000000000004</v>
      </c>
      <c r="W155">
        <f t="shared" si="16"/>
        <v>84.968000000000004</v>
      </c>
      <c r="X155">
        <v>2.56</v>
      </c>
      <c r="Y155">
        <f t="shared" si="17"/>
        <v>87.528000000000006</v>
      </c>
    </row>
    <row r="156" spans="1:25" x14ac:dyDescent="0.25">
      <c r="A156" t="s">
        <v>728</v>
      </c>
      <c r="B156">
        <v>41540</v>
      </c>
      <c r="C156" t="str">
        <f t="shared" si="12"/>
        <v>2013</v>
      </c>
      <c r="D156" t="s">
        <v>729</v>
      </c>
      <c r="E156" t="s">
        <v>730</v>
      </c>
      <c r="F156" t="s">
        <v>257</v>
      </c>
      <c r="G156" t="s">
        <v>258</v>
      </c>
      <c r="H156" t="s">
        <v>274</v>
      </c>
      <c r="I156" t="s">
        <v>321</v>
      </c>
      <c r="J156" t="s">
        <v>279</v>
      </c>
      <c r="K156" t="s">
        <v>433</v>
      </c>
      <c r="L156" t="s">
        <v>268</v>
      </c>
      <c r="M156" t="s">
        <v>414</v>
      </c>
      <c r="N156" t="s">
        <v>247</v>
      </c>
      <c r="O156">
        <v>41547</v>
      </c>
      <c r="P156">
        <v>9.91</v>
      </c>
      <c r="Q156">
        <v>15.99</v>
      </c>
      <c r="R156">
        <f t="shared" si="13"/>
        <v>6.08</v>
      </c>
      <c r="S156">
        <v>27</v>
      </c>
      <c r="T156">
        <f t="shared" si="14"/>
        <v>431.73</v>
      </c>
      <c r="U156">
        <v>0.01</v>
      </c>
      <c r="V156">
        <f t="shared" si="15"/>
        <v>4.3173000000000004</v>
      </c>
      <c r="W156">
        <f t="shared" si="16"/>
        <v>427.41270000000003</v>
      </c>
      <c r="X156">
        <v>11.28</v>
      </c>
      <c r="Y156">
        <f t="shared" si="17"/>
        <v>438.6927</v>
      </c>
    </row>
    <row r="157" spans="1:25" x14ac:dyDescent="0.25">
      <c r="A157" t="s">
        <v>731</v>
      </c>
      <c r="B157">
        <v>41543</v>
      </c>
      <c r="C157" t="str">
        <f t="shared" si="12"/>
        <v>2013</v>
      </c>
      <c r="D157" t="s">
        <v>535</v>
      </c>
      <c r="E157" t="s">
        <v>536</v>
      </c>
      <c r="F157" t="s">
        <v>448</v>
      </c>
      <c r="G157" t="s">
        <v>449</v>
      </c>
      <c r="H157" t="s">
        <v>241</v>
      </c>
      <c r="I157" t="s">
        <v>333</v>
      </c>
      <c r="J157" t="s">
        <v>304</v>
      </c>
      <c r="K157" t="s">
        <v>698</v>
      </c>
      <c r="L157" t="s">
        <v>245</v>
      </c>
      <c r="M157" t="s">
        <v>253</v>
      </c>
      <c r="N157" t="s">
        <v>247</v>
      </c>
      <c r="O157">
        <v>41545</v>
      </c>
      <c r="P157">
        <v>3.32</v>
      </c>
      <c r="Q157">
        <v>5.18</v>
      </c>
      <c r="R157">
        <f t="shared" si="13"/>
        <v>1.8599999999999999</v>
      </c>
      <c r="S157">
        <v>23</v>
      </c>
      <c r="T157">
        <f t="shared" si="14"/>
        <v>119.13999999999999</v>
      </c>
      <c r="U157">
        <v>0.05</v>
      </c>
      <c r="V157">
        <f t="shared" si="15"/>
        <v>5.9569999999999999</v>
      </c>
      <c r="W157">
        <f t="shared" si="16"/>
        <v>113.18299999999999</v>
      </c>
      <c r="X157">
        <v>2.04</v>
      </c>
      <c r="Y157">
        <f t="shared" si="17"/>
        <v>115.223</v>
      </c>
    </row>
    <row r="158" spans="1:25" x14ac:dyDescent="0.25">
      <c r="A158" t="s">
        <v>732</v>
      </c>
      <c r="B158">
        <v>41543</v>
      </c>
      <c r="C158" t="str">
        <f t="shared" si="12"/>
        <v>2013</v>
      </c>
      <c r="D158" t="s">
        <v>733</v>
      </c>
      <c r="E158" t="s">
        <v>367</v>
      </c>
      <c r="F158" t="s">
        <v>239</v>
      </c>
      <c r="G158" t="s">
        <v>240</v>
      </c>
      <c r="H158" t="s">
        <v>241</v>
      </c>
      <c r="I158" t="s">
        <v>251</v>
      </c>
      <c r="J158" t="s">
        <v>243</v>
      </c>
      <c r="K158" t="s">
        <v>734</v>
      </c>
      <c r="L158" t="s">
        <v>245</v>
      </c>
      <c r="M158" t="s">
        <v>246</v>
      </c>
      <c r="N158" t="s">
        <v>247</v>
      </c>
      <c r="O158">
        <v>41545</v>
      </c>
      <c r="P158">
        <v>14.95</v>
      </c>
      <c r="Q158">
        <v>34.76</v>
      </c>
      <c r="R158">
        <f t="shared" si="13"/>
        <v>19.809999999999999</v>
      </c>
      <c r="S158">
        <v>15</v>
      </c>
      <c r="T158">
        <f t="shared" si="14"/>
        <v>521.4</v>
      </c>
      <c r="U158">
        <v>0.09</v>
      </c>
      <c r="V158">
        <f t="shared" si="15"/>
        <v>46.925999999999995</v>
      </c>
      <c r="W158">
        <f t="shared" si="16"/>
        <v>474.47399999999999</v>
      </c>
      <c r="X158">
        <v>8.2200000000000006</v>
      </c>
      <c r="Y158">
        <f t="shared" si="17"/>
        <v>482.69400000000002</v>
      </c>
    </row>
    <row r="159" spans="1:25" x14ac:dyDescent="0.25">
      <c r="A159" t="s">
        <v>735</v>
      </c>
      <c r="B159">
        <v>41544</v>
      </c>
      <c r="C159" t="str">
        <f t="shared" si="12"/>
        <v>2013</v>
      </c>
      <c r="D159" t="s">
        <v>327</v>
      </c>
      <c r="E159" t="s">
        <v>328</v>
      </c>
      <c r="F159" t="s">
        <v>257</v>
      </c>
      <c r="G159" t="s">
        <v>258</v>
      </c>
      <c r="H159" t="s">
        <v>259</v>
      </c>
      <c r="I159" t="s">
        <v>299</v>
      </c>
      <c r="J159" t="s">
        <v>279</v>
      </c>
      <c r="K159" t="s">
        <v>736</v>
      </c>
      <c r="L159" t="s">
        <v>245</v>
      </c>
      <c r="M159" t="s">
        <v>246</v>
      </c>
      <c r="N159" t="s">
        <v>247</v>
      </c>
      <c r="O159">
        <v>41549</v>
      </c>
      <c r="P159">
        <v>22.18</v>
      </c>
      <c r="Q159">
        <v>54.1</v>
      </c>
      <c r="R159">
        <f t="shared" si="13"/>
        <v>31.92</v>
      </c>
      <c r="S159">
        <v>19</v>
      </c>
      <c r="T159">
        <f t="shared" si="14"/>
        <v>1027.9000000000001</v>
      </c>
      <c r="U159">
        <v>0.1</v>
      </c>
      <c r="V159">
        <f t="shared" si="15"/>
        <v>102.79000000000002</v>
      </c>
      <c r="W159">
        <f t="shared" si="16"/>
        <v>925.11000000000013</v>
      </c>
      <c r="X159">
        <v>19.989999999999998</v>
      </c>
      <c r="Y159">
        <f t="shared" si="17"/>
        <v>945.10000000000014</v>
      </c>
    </row>
    <row r="160" spans="1:25" x14ac:dyDescent="0.25">
      <c r="A160" t="s">
        <v>737</v>
      </c>
      <c r="B160">
        <v>41547</v>
      </c>
      <c r="C160" t="str">
        <f t="shared" si="12"/>
        <v>2013</v>
      </c>
      <c r="D160" t="s">
        <v>738</v>
      </c>
      <c r="E160" t="s">
        <v>739</v>
      </c>
      <c r="F160" t="s">
        <v>257</v>
      </c>
      <c r="G160" t="s">
        <v>258</v>
      </c>
      <c r="H160" t="s">
        <v>259</v>
      </c>
      <c r="I160" t="s">
        <v>299</v>
      </c>
      <c r="J160" t="s">
        <v>294</v>
      </c>
      <c r="K160" t="s">
        <v>698</v>
      </c>
      <c r="L160" t="s">
        <v>245</v>
      </c>
      <c r="M160" t="s">
        <v>253</v>
      </c>
      <c r="N160" t="s">
        <v>247</v>
      </c>
      <c r="O160">
        <v>41549</v>
      </c>
      <c r="P160">
        <v>3.32</v>
      </c>
      <c r="Q160">
        <v>5.18</v>
      </c>
      <c r="R160">
        <f t="shared" si="13"/>
        <v>1.8599999999999999</v>
      </c>
      <c r="S160">
        <v>10</v>
      </c>
      <c r="T160">
        <f t="shared" si="14"/>
        <v>51.8</v>
      </c>
      <c r="U160">
        <v>0.01</v>
      </c>
      <c r="V160">
        <f t="shared" si="15"/>
        <v>0.51800000000000002</v>
      </c>
      <c r="W160">
        <f t="shared" si="16"/>
        <v>51.281999999999996</v>
      </c>
      <c r="X160">
        <v>2.04</v>
      </c>
      <c r="Y160">
        <f t="shared" si="17"/>
        <v>53.321999999999996</v>
      </c>
    </row>
    <row r="161" spans="1:25" x14ac:dyDescent="0.25">
      <c r="A161" t="s">
        <v>740</v>
      </c>
      <c r="B161">
        <v>41548</v>
      </c>
      <c r="C161" t="str">
        <f t="shared" si="12"/>
        <v>2013</v>
      </c>
      <c r="D161" t="s">
        <v>741</v>
      </c>
      <c r="E161" t="s">
        <v>367</v>
      </c>
      <c r="F161" t="s">
        <v>239</v>
      </c>
      <c r="G161" t="s">
        <v>240</v>
      </c>
      <c r="H161" t="s">
        <v>259</v>
      </c>
      <c r="I161" t="s">
        <v>251</v>
      </c>
      <c r="J161" t="s">
        <v>304</v>
      </c>
      <c r="K161" t="s">
        <v>488</v>
      </c>
      <c r="L161" t="s">
        <v>268</v>
      </c>
      <c r="M161" t="s">
        <v>323</v>
      </c>
      <c r="N161" t="s">
        <v>263</v>
      </c>
      <c r="O161">
        <v>41549</v>
      </c>
      <c r="P161">
        <v>20.18</v>
      </c>
      <c r="Q161">
        <v>35.409999999999997</v>
      </c>
      <c r="R161">
        <f t="shared" si="13"/>
        <v>15.229999999999997</v>
      </c>
      <c r="S161">
        <v>16</v>
      </c>
      <c r="T161">
        <f t="shared" si="14"/>
        <v>566.55999999999995</v>
      </c>
      <c r="U161">
        <v>0</v>
      </c>
      <c r="V161">
        <f t="shared" si="15"/>
        <v>0</v>
      </c>
      <c r="W161">
        <f t="shared" si="16"/>
        <v>566.55999999999995</v>
      </c>
      <c r="X161">
        <v>1.99</v>
      </c>
      <c r="Y161">
        <f t="shared" si="17"/>
        <v>568.54999999999995</v>
      </c>
    </row>
    <row r="162" spans="1:25" x14ac:dyDescent="0.25">
      <c r="A162" t="s">
        <v>742</v>
      </c>
      <c r="B162">
        <v>41550</v>
      </c>
      <c r="C162" t="str">
        <f t="shared" si="12"/>
        <v>2013</v>
      </c>
      <c r="D162" t="s">
        <v>605</v>
      </c>
      <c r="E162" t="s">
        <v>606</v>
      </c>
      <c r="F162" t="s">
        <v>448</v>
      </c>
      <c r="G162" t="s">
        <v>449</v>
      </c>
      <c r="H162" t="s">
        <v>274</v>
      </c>
      <c r="I162" t="s">
        <v>284</v>
      </c>
      <c r="J162" t="s">
        <v>243</v>
      </c>
      <c r="K162" t="s">
        <v>425</v>
      </c>
      <c r="L162" t="s">
        <v>245</v>
      </c>
      <c r="M162" t="s">
        <v>253</v>
      </c>
      <c r="N162" t="s">
        <v>263</v>
      </c>
      <c r="O162">
        <v>41551</v>
      </c>
      <c r="P162">
        <v>21.56</v>
      </c>
      <c r="Q162">
        <v>36.549999999999997</v>
      </c>
      <c r="R162">
        <f t="shared" si="13"/>
        <v>14.989999999999998</v>
      </c>
      <c r="S162">
        <v>46</v>
      </c>
      <c r="T162">
        <f t="shared" si="14"/>
        <v>1681.3</v>
      </c>
      <c r="U162">
        <v>0.05</v>
      </c>
      <c r="V162">
        <f t="shared" si="15"/>
        <v>84.064999999999998</v>
      </c>
      <c r="W162">
        <f t="shared" si="16"/>
        <v>1597.2349999999999</v>
      </c>
      <c r="X162">
        <v>13.89</v>
      </c>
      <c r="Y162">
        <f t="shared" si="17"/>
        <v>1611.125</v>
      </c>
    </row>
    <row r="163" spans="1:25" x14ac:dyDescent="0.25">
      <c r="A163" t="s">
        <v>743</v>
      </c>
      <c r="B163">
        <v>41551</v>
      </c>
      <c r="C163" t="str">
        <f t="shared" si="12"/>
        <v>2013</v>
      </c>
      <c r="D163" t="s">
        <v>744</v>
      </c>
      <c r="E163" t="s">
        <v>745</v>
      </c>
      <c r="F163" t="s">
        <v>257</v>
      </c>
      <c r="G163" t="s">
        <v>258</v>
      </c>
      <c r="H163" t="s">
        <v>259</v>
      </c>
      <c r="I163" t="s">
        <v>372</v>
      </c>
      <c r="J163" t="s">
        <v>243</v>
      </c>
      <c r="K163" t="s">
        <v>508</v>
      </c>
      <c r="L163" t="s">
        <v>245</v>
      </c>
      <c r="M163" t="s">
        <v>246</v>
      </c>
      <c r="N163" t="s">
        <v>247</v>
      </c>
      <c r="O163">
        <v>41552</v>
      </c>
      <c r="P163">
        <v>178.83</v>
      </c>
      <c r="Q163">
        <v>415.88</v>
      </c>
      <c r="R163">
        <f t="shared" si="13"/>
        <v>237.04999999999998</v>
      </c>
      <c r="S163">
        <v>2</v>
      </c>
      <c r="T163">
        <f t="shared" si="14"/>
        <v>831.76</v>
      </c>
      <c r="U163">
        <v>0.08</v>
      </c>
      <c r="V163">
        <f t="shared" si="15"/>
        <v>66.540800000000004</v>
      </c>
      <c r="W163">
        <f t="shared" si="16"/>
        <v>765.2192</v>
      </c>
      <c r="X163">
        <v>11.37</v>
      </c>
      <c r="Y163">
        <f t="shared" si="17"/>
        <v>776.58920000000001</v>
      </c>
    </row>
    <row r="164" spans="1:25" x14ac:dyDescent="0.25">
      <c r="A164" t="s">
        <v>746</v>
      </c>
      <c r="B164">
        <v>41552</v>
      </c>
      <c r="C164" t="str">
        <f t="shared" si="12"/>
        <v>2013</v>
      </c>
      <c r="D164" t="s">
        <v>747</v>
      </c>
      <c r="E164" t="s">
        <v>650</v>
      </c>
      <c r="F164" t="s">
        <v>257</v>
      </c>
      <c r="G164" t="s">
        <v>258</v>
      </c>
      <c r="H164" t="s">
        <v>274</v>
      </c>
      <c r="I164" t="s">
        <v>299</v>
      </c>
      <c r="J164" t="s">
        <v>279</v>
      </c>
      <c r="K164" t="s">
        <v>748</v>
      </c>
      <c r="L164" t="s">
        <v>268</v>
      </c>
      <c r="M164" t="s">
        <v>246</v>
      </c>
      <c r="N164" t="s">
        <v>247</v>
      </c>
      <c r="O164">
        <v>41559</v>
      </c>
      <c r="P164">
        <v>41.28</v>
      </c>
      <c r="Q164">
        <v>95.99</v>
      </c>
      <c r="R164">
        <f t="shared" si="13"/>
        <v>54.709999999999994</v>
      </c>
      <c r="S164">
        <v>17</v>
      </c>
      <c r="T164">
        <f t="shared" si="14"/>
        <v>1631.83</v>
      </c>
      <c r="U164">
        <v>0.09</v>
      </c>
      <c r="V164">
        <f t="shared" si="15"/>
        <v>146.8647</v>
      </c>
      <c r="W164">
        <f t="shared" si="16"/>
        <v>1484.9652999999998</v>
      </c>
      <c r="X164">
        <v>8.99</v>
      </c>
      <c r="Y164">
        <f t="shared" si="17"/>
        <v>1493.9552999999999</v>
      </c>
    </row>
    <row r="165" spans="1:25" x14ac:dyDescent="0.25">
      <c r="A165" t="s">
        <v>749</v>
      </c>
      <c r="B165">
        <v>41552</v>
      </c>
      <c r="C165" t="str">
        <f t="shared" si="12"/>
        <v>2013</v>
      </c>
      <c r="D165" t="s">
        <v>495</v>
      </c>
      <c r="E165" t="s">
        <v>402</v>
      </c>
      <c r="F165" t="s">
        <v>257</v>
      </c>
      <c r="G165" t="s">
        <v>258</v>
      </c>
      <c r="H165" t="s">
        <v>259</v>
      </c>
      <c r="I165" t="s">
        <v>333</v>
      </c>
      <c r="J165" t="s">
        <v>304</v>
      </c>
      <c r="K165" t="s">
        <v>543</v>
      </c>
      <c r="L165" t="s">
        <v>245</v>
      </c>
      <c r="M165" t="s">
        <v>246</v>
      </c>
      <c r="N165" t="s">
        <v>247</v>
      </c>
      <c r="O165">
        <v>41554</v>
      </c>
      <c r="P165">
        <v>1.33</v>
      </c>
      <c r="Q165">
        <v>2.08</v>
      </c>
      <c r="R165">
        <f t="shared" si="13"/>
        <v>0.75</v>
      </c>
      <c r="S165">
        <v>16</v>
      </c>
      <c r="T165">
        <f t="shared" si="14"/>
        <v>33.28</v>
      </c>
      <c r="U165">
        <v>0.04</v>
      </c>
      <c r="V165">
        <f t="shared" si="15"/>
        <v>1.3312000000000002</v>
      </c>
      <c r="W165">
        <f t="shared" si="16"/>
        <v>31.948800000000002</v>
      </c>
      <c r="X165">
        <v>1.49</v>
      </c>
      <c r="Y165">
        <f t="shared" si="17"/>
        <v>33.438800000000001</v>
      </c>
    </row>
    <row r="166" spans="1:25" x14ac:dyDescent="0.25">
      <c r="A166" t="s">
        <v>750</v>
      </c>
      <c r="B166">
        <v>41553</v>
      </c>
      <c r="C166" t="str">
        <f t="shared" si="12"/>
        <v>2013</v>
      </c>
      <c r="D166" t="s">
        <v>437</v>
      </c>
      <c r="E166" t="s">
        <v>438</v>
      </c>
      <c r="F166" t="s">
        <v>257</v>
      </c>
      <c r="G166" t="s">
        <v>258</v>
      </c>
      <c r="H166" t="s">
        <v>259</v>
      </c>
      <c r="I166" t="s">
        <v>309</v>
      </c>
      <c r="J166" t="s">
        <v>304</v>
      </c>
      <c r="K166" t="s">
        <v>413</v>
      </c>
      <c r="L166" t="s">
        <v>268</v>
      </c>
      <c r="M166" t="s">
        <v>414</v>
      </c>
      <c r="N166" t="s">
        <v>247</v>
      </c>
      <c r="O166">
        <v>41554</v>
      </c>
      <c r="P166">
        <v>8.82</v>
      </c>
      <c r="Q166">
        <v>20.99</v>
      </c>
      <c r="R166">
        <f t="shared" si="13"/>
        <v>12.169999999999998</v>
      </c>
      <c r="S166">
        <v>25</v>
      </c>
      <c r="T166">
        <f t="shared" si="14"/>
        <v>524.75</v>
      </c>
      <c r="U166">
        <v>0.05</v>
      </c>
      <c r="V166">
        <f t="shared" si="15"/>
        <v>26.237500000000001</v>
      </c>
      <c r="W166">
        <f t="shared" si="16"/>
        <v>498.51249999999999</v>
      </c>
      <c r="X166">
        <v>4.8099999999999996</v>
      </c>
      <c r="Y166">
        <f t="shared" si="17"/>
        <v>503.32249999999999</v>
      </c>
    </row>
    <row r="167" spans="1:25" x14ac:dyDescent="0.25">
      <c r="A167" t="s">
        <v>751</v>
      </c>
      <c r="B167">
        <v>41556</v>
      </c>
      <c r="C167" t="str">
        <f t="shared" si="12"/>
        <v>2013</v>
      </c>
      <c r="D167" t="s">
        <v>752</v>
      </c>
      <c r="E167" t="s">
        <v>503</v>
      </c>
      <c r="F167" t="s">
        <v>257</v>
      </c>
      <c r="G167" t="s">
        <v>258</v>
      </c>
      <c r="H167" t="s">
        <v>259</v>
      </c>
      <c r="I167" t="s">
        <v>504</v>
      </c>
      <c r="J167" t="s">
        <v>304</v>
      </c>
      <c r="K167" t="s">
        <v>630</v>
      </c>
      <c r="L167" t="s">
        <v>245</v>
      </c>
      <c r="M167" t="s">
        <v>253</v>
      </c>
      <c r="N167" t="s">
        <v>247</v>
      </c>
      <c r="O167">
        <v>41558</v>
      </c>
      <c r="P167">
        <v>1.53</v>
      </c>
      <c r="Q167">
        <v>2.78</v>
      </c>
      <c r="R167">
        <f t="shared" si="13"/>
        <v>1.2499999999999998</v>
      </c>
      <c r="S167">
        <v>6</v>
      </c>
      <c r="T167">
        <f t="shared" si="14"/>
        <v>16.68</v>
      </c>
      <c r="U167">
        <v>0.01</v>
      </c>
      <c r="V167">
        <f t="shared" si="15"/>
        <v>0.1668</v>
      </c>
      <c r="W167">
        <f t="shared" si="16"/>
        <v>16.513200000000001</v>
      </c>
      <c r="X167">
        <v>1.34</v>
      </c>
      <c r="Y167">
        <f t="shared" si="17"/>
        <v>17.853200000000001</v>
      </c>
    </row>
    <row r="168" spans="1:25" x14ac:dyDescent="0.25">
      <c r="A168" t="s">
        <v>753</v>
      </c>
      <c r="B168">
        <v>41558</v>
      </c>
      <c r="C168" t="str">
        <f t="shared" si="12"/>
        <v>2013</v>
      </c>
      <c r="D168" t="s">
        <v>754</v>
      </c>
      <c r="E168" t="s">
        <v>316</v>
      </c>
      <c r="F168" t="s">
        <v>239</v>
      </c>
      <c r="G168" t="s">
        <v>240</v>
      </c>
      <c r="H168" t="s">
        <v>274</v>
      </c>
      <c r="I168" t="s">
        <v>242</v>
      </c>
      <c r="J168" t="s">
        <v>294</v>
      </c>
      <c r="K168" t="s">
        <v>688</v>
      </c>
      <c r="L168" t="s">
        <v>245</v>
      </c>
      <c r="M168" t="s">
        <v>246</v>
      </c>
      <c r="N168" t="s">
        <v>247</v>
      </c>
      <c r="O168">
        <v>41560</v>
      </c>
      <c r="P168">
        <v>2.4500000000000002</v>
      </c>
      <c r="Q168">
        <v>3.89</v>
      </c>
      <c r="R168">
        <f t="shared" si="13"/>
        <v>1.44</v>
      </c>
      <c r="S168">
        <v>2</v>
      </c>
      <c r="T168">
        <f t="shared" si="14"/>
        <v>7.78</v>
      </c>
      <c r="U168">
        <v>7.0000000000000007E-2</v>
      </c>
      <c r="V168">
        <f t="shared" si="15"/>
        <v>0.54460000000000008</v>
      </c>
      <c r="W168">
        <f t="shared" si="16"/>
        <v>7.2354000000000003</v>
      </c>
      <c r="X168">
        <v>7.01</v>
      </c>
      <c r="Y168">
        <f t="shared" si="17"/>
        <v>14.2454</v>
      </c>
    </row>
    <row r="169" spans="1:25" x14ac:dyDescent="0.25">
      <c r="A169" t="s">
        <v>755</v>
      </c>
      <c r="B169">
        <v>41558</v>
      </c>
      <c r="C169" t="str">
        <f t="shared" si="12"/>
        <v>2013</v>
      </c>
      <c r="D169" t="s">
        <v>754</v>
      </c>
      <c r="E169" t="s">
        <v>316</v>
      </c>
      <c r="F169" t="s">
        <v>239</v>
      </c>
      <c r="G169" t="s">
        <v>240</v>
      </c>
      <c r="H169" t="s">
        <v>274</v>
      </c>
      <c r="I169" t="s">
        <v>242</v>
      </c>
      <c r="J169" t="s">
        <v>294</v>
      </c>
      <c r="K169" t="s">
        <v>659</v>
      </c>
      <c r="L169" t="s">
        <v>245</v>
      </c>
      <c r="M169" t="s">
        <v>246</v>
      </c>
      <c r="N169" t="s">
        <v>247</v>
      </c>
      <c r="O169">
        <v>41559</v>
      </c>
      <c r="P169">
        <v>67.73</v>
      </c>
      <c r="Q169">
        <v>165.2</v>
      </c>
      <c r="R169">
        <f t="shared" si="13"/>
        <v>97.469999999999985</v>
      </c>
      <c r="S169">
        <v>6</v>
      </c>
      <c r="T169">
        <f t="shared" si="14"/>
        <v>991.19999999999993</v>
      </c>
      <c r="U169">
        <v>0.09</v>
      </c>
      <c r="V169">
        <f t="shared" si="15"/>
        <v>89.207999999999984</v>
      </c>
      <c r="W169">
        <f t="shared" si="16"/>
        <v>901.99199999999996</v>
      </c>
      <c r="X169">
        <v>19.989999999999998</v>
      </c>
      <c r="Y169">
        <f t="shared" si="17"/>
        <v>921.98199999999997</v>
      </c>
    </row>
    <row r="170" spans="1:25" x14ac:dyDescent="0.25">
      <c r="A170" t="s">
        <v>756</v>
      </c>
      <c r="B170">
        <v>41558</v>
      </c>
      <c r="C170" t="str">
        <f t="shared" si="12"/>
        <v>2013</v>
      </c>
      <c r="D170" t="s">
        <v>757</v>
      </c>
      <c r="E170" t="s">
        <v>694</v>
      </c>
      <c r="F170" t="s">
        <v>257</v>
      </c>
      <c r="G170" t="s">
        <v>258</v>
      </c>
      <c r="H170" t="s">
        <v>293</v>
      </c>
      <c r="I170" t="s">
        <v>342</v>
      </c>
      <c r="J170" t="s">
        <v>261</v>
      </c>
      <c r="K170" t="s">
        <v>289</v>
      </c>
      <c r="L170" t="s">
        <v>245</v>
      </c>
      <c r="M170" t="s">
        <v>253</v>
      </c>
      <c r="N170" t="s">
        <v>247</v>
      </c>
      <c r="O170">
        <v>41559</v>
      </c>
      <c r="P170">
        <v>1.0900000000000001</v>
      </c>
      <c r="Q170">
        <v>1.68</v>
      </c>
      <c r="R170">
        <f t="shared" si="13"/>
        <v>0.58999999999999986</v>
      </c>
      <c r="S170">
        <v>38</v>
      </c>
      <c r="T170">
        <f t="shared" si="14"/>
        <v>63.839999999999996</v>
      </c>
      <c r="U170">
        <v>7.0000000000000007E-2</v>
      </c>
      <c r="V170">
        <f t="shared" si="15"/>
        <v>4.4687999999999999</v>
      </c>
      <c r="W170">
        <f t="shared" si="16"/>
        <v>59.371199999999995</v>
      </c>
      <c r="X170">
        <v>1</v>
      </c>
      <c r="Y170">
        <f t="shared" si="17"/>
        <v>60.371199999999995</v>
      </c>
    </row>
    <row r="171" spans="1:25" x14ac:dyDescent="0.25">
      <c r="A171" t="s">
        <v>758</v>
      </c>
      <c r="B171">
        <v>41560</v>
      </c>
      <c r="C171" t="str">
        <f t="shared" si="12"/>
        <v>2013</v>
      </c>
      <c r="D171" t="s">
        <v>759</v>
      </c>
      <c r="E171" t="s">
        <v>760</v>
      </c>
      <c r="F171" t="s">
        <v>448</v>
      </c>
      <c r="G171" t="s">
        <v>449</v>
      </c>
      <c r="H171" t="s">
        <v>259</v>
      </c>
      <c r="I171" t="s">
        <v>333</v>
      </c>
      <c r="J171" t="s">
        <v>261</v>
      </c>
      <c r="K171" t="s">
        <v>761</v>
      </c>
      <c r="L171" t="s">
        <v>268</v>
      </c>
      <c r="M171" t="s">
        <v>246</v>
      </c>
      <c r="N171" t="s">
        <v>247</v>
      </c>
      <c r="O171">
        <v>41561</v>
      </c>
      <c r="P171">
        <v>62.4</v>
      </c>
      <c r="Q171">
        <v>155.99</v>
      </c>
      <c r="R171">
        <f t="shared" si="13"/>
        <v>93.59</v>
      </c>
      <c r="S171">
        <v>48</v>
      </c>
      <c r="T171">
        <f t="shared" si="14"/>
        <v>7487.52</v>
      </c>
      <c r="U171">
        <v>0.04</v>
      </c>
      <c r="V171">
        <f t="shared" si="15"/>
        <v>299.50080000000003</v>
      </c>
      <c r="W171">
        <f t="shared" si="16"/>
        <v>7188.0192000000006</v>
      </c>
      <c r="X171">
        <v>8.08</v>
      </c>
      <c r="Y171">
        <f t="shared" si="17"/>
        <v>7196.0992000000006</v>
      </c>
    </row>
    <row r="172" spans="1:25" x14ac:dyDescent="0.25">
      <c r="A172" t="s">
        <v>762</v>
      </c>
      <c r="B172">
        <v>41560</v>
      </c>
      <c r="C172" t="str">
        <f t="shared" si="12"/>
        <v>2013</v>
      </c>
      <c r="D172" t="s">
        <v>759</v>
      </c>
      <c r="E172" t="s">
        <v>760</v>
      </c>
      <c r="F172" t="s">
        <v>448</v>
      </c>
      <c r="G172" t="s">
        <v>449</v>
      </c>
      <c r="H172" t="s">
        <v>259</v>
      </c>
      <c r="I172" t="s">
        <v>333</v>
      </c>
      <c r="J172" t="s">
        <v>261</v>
      </c>
      <c r="K172" t="s">
        <v>533</v>
      </c>
      <c r="L172" t="s">
        <v>245</v>
      </c>
      <c r="M172" t="s">
        <v>246</v>
      </c>
      <c r="N172" t="s">
        <v>247</v>
      </c>
      <c r="O172">
        <v>41560</v>
      </c>
      <c r="P172">
        <v>3.4</v>
      </c>
      <c r="Q172">
        <v>5.4</v>
      </c>
      <c r="R172">
        <f t="shared" si="13"/>
        <v>2.0000000000000004</v>
      </c>
      <c r="S172">
        <v>8</v>
      </c>
      <c r="T172">
        <f t="shared" si="14"/>
        <v>43.2</v>
      </c>
      <c r="U172">
        <v>0.08</v>
      </c>
      <c r="V172">
        <f t="shared" si="15"/>
        <v>3.4560000000000004</v>
      </c>
      <c r="W172">
        <f t="shared" si="16"/>
        <v>39.744</v>
      </c>
      <c r="X172">
        <v>7.78</v>
      </c>
      <c r="Y172">
        <f t="shared" si="17"/>
        <v>47.524000000000001</v>
      </c>
    </row>
    <row r="173" spans="1:25" x14ac:dyDescent="0.25">
      <c r="A173" t="s">
        <v>763</v>
      </c>
      <c r="B173">
        <v>41567</v>
      </c>
      <c r="C173" t="str">
        <f t="shared" si="12"/>
        <v>2013</v>
      </c>
      <c r="D173" t="s">
        <v>764</v>
      </c>
      <c r="E173" t="s">
        <v>612</v>
      </c>
      <c r="F173" t="s">
        <v>239</v>
      </c>
      <c r="G173" t="s">
        <v>240</v>
      </c>
      <c r="H173" t="s">
        <v>259</v>
      </c>
      <c r="I173" t="s">
        <v>242</v>
      </c>
      <c r="J173" t="s">
        <v>261</v>
      </c>
      <c r="K173" t="s">
        <v>280</v>
      </c>
      <c r="L173" t="s">
        <v>245</v>
      </c>
      <c r="M173" t="s">
        <v>253</v>
      </c>
      <c r="N173" t="s">
        <v>247</v>
      </c>
      <c r="O173">
        <v>41569</v>
      </c>
      <c r="P173">
        <v>1.0900000000000001</v>
      </c>
      <c r="Q173">
        <v>2.6</v>
      </c>
      <c r="R173">
        <f t="shared" si="13"/>
        <v>1.51</v>
      </c>
      <c r="S173">
        <v>36</v>
      </c>
      <c r="T173">
        <f t="shared" si="14"/>
        <v>93.600000000000009</v>
      </c>
      <c r="U173">
        <v>0</v>
      </c>
      <c r="V173">
        <f t="shared" si="15"/>
        <v>0</v>
      </c>
      <c r="W173">
        <f t="shared" si="16"/>
        <v>93.600000000000009</v>
      </c>
      <c r="X173">
        <v>2.4</v>
      </c>
      <c r="Y173">
        <f t="shared" si="17"/>
        <v>96.000000000000014</v>
      </c>
    </row>
    <row r="174" spans="1:25" x14ac:dyDescent="0.25">
      <c r="A174" t="s">
        <v>765</v>
      </c>
      <c r="B174">
        <v>41567</v>
      </c>
      <c r="C174" t="str">
        <f t="shared" si="12"/>
        <v>2013</v>
      </c>
      <c r="D174" t="s">
        <v>766</v>
      </c>
      <c r="E174" t="s">
        <v>767</v>
      </c>
      <c r="F174" t="s">
        <v>257</v>
      </c>
      <c r="G174" t="s">
        <v>258</v>
      </c>
      <c r="H174" t="s">
        <v>259</v>
      </c>
      <c r="I174" t="s">
        <v>260</v>
      </c>
      <c r="J174" t="s">
        <v>261</v>
      </c>
      <c r="K174" t="s">
        <v>368</v>
      </c>
      <c r="L174" t="s">
        <v>245</v>
      </c>
      <c r="M174" t="s">
        <v>246</v>
      </c>
      <c r="N174" t="s">
        <v>263</v>
      </c>
      <c r="O174">
        <v>41567</v>
      </c>
      <c r="P174">
        <v>1.59</v>
      </c>
      <c r="Q174">
        <v>2.61</v>
      </c>
      <c r="R174">
        <f t="shared" si="13"/>
        <v>1.0199999999999998</v>
      </c>
      <c r="S174">
        <v>1</v>
      </c>
      <c r="T174">
        <f t="shared" si="14"/>
        <v>2.61</v>
      </c>
      <c r="U174">
        <v>0.06</v>
      </c>
      <c r="V174">
        <f t="shared" si="15"/>
        <v>0.15659999999999999</v>
      </c>
      <c r="W174">
        <f t="shared" si="16"/>
        <v>2.4533999999999998</v>
      </c>
      <c r="X174">
        <v>0.5</v>
      </c>
      <c r="Y174">
        <f t="shared" si="17"/>
        <v>2.9533999999999998</v>
      </c>
    </row>
    <row r="175" spans="1:25" x14ac:dyDescent="0.25">
      <c r="A175" t="s">
        <v>768</v>
      </c>
      <c r="B175">
        <v>41567</v>
      </c>
      <c r="C175" t="str">
        <f t="shared" si="12"/>
        <v>2013</v>
      </c>
      <c r="D175" t="s">
        <v>769</v>
      </c>
      <c r="E175" t="s">
        <v>288</v>
      </c>
      <c r="F175" t="s">
        <v>257</v>
      </c>
      <c r="G175" t="s">
        <v>258</v>
      </c>
      <c r="H175" t="s">
        <v>259</v>
      </c>
      <c r="I175" t="s">
        <v>284</v>
      </c>
      <c r="J175" t="s">
        <v>304</v>
      </c>
      <c r="K175" t="s">
        <v>603</v>
      </c>
      <c r="L175" t="s">
        <v>245</v>
      </c>
      <c r="M175" t="s">
        <v>246</v>
      </c>
      <c r="N175" t="s">
        <v>247</v>
      </c>
      <c r="O175">
        <v>41568</v>
      </c>
      <c r="P175">
        <v>3.65</v>
      </c>
      <c r="Q175">
        <v>5.98</v>
      </c>
      <c r="R175">
        <f t="shared" si="13"/>
        <v>2.3300000000000005</v>
      </c>
      <c r="S175">
        <v>21</v>
      </c>
      <c r="T175">
        <f t="shared" si="14"/>
        <v>125.58000000000001</v>
      </c>
      <c r="U175">
        <v>0.02</v>
      </c>
      <c r="V175">
        <f t="shared" si="15"/>
        <v>2.5116000000000005</v>
      </c>
      <c r="W175">
        <f t="shared" si="16"/>
        <v>123.06840000000001</v>
      </c>
      <c r="X175">
        <v>1.49</v>
      </c>
      <c r="Y175">
        <f t="shared" si="17"/>
        <v>124.55840000000001</v>
      </c>
    </row>
    <row r="176" spans="1:25" x14ac:dyDescent="0.25">
      <c r="A176" t="s">
        <v>770</v>
      </c>
      <c r="B176">
        <v>41568</v>
      </c>
      <c r="C176" t="str">
        <f t="shared" si="12"/>
        <v>2013</v>
      </c>
      <c r="D176" t="s">
        <v>771</v>
      </c>
      <c r="E176" t="s">
        <v>288</v>
      </c>
      <c r="F176" t="s">
        <v>257</v>
      </c>
      <c r="G176" t="s">
        <v>258</v>
      </c>
      <c r="H176" t="s">
        <v>274</v>
      </c>
      <c r="I176" t="s">
        <v>284</v>
      </c>
      <c r="J176" t="s">
        <v>294</v>
      </c>
      <c r="K176" t="s">
        <v>603</v>
      </c>
      <c r="L176" t="s">
        <v>245</v>
      </c>
      <c r="M176" t="s">
        <v>246</v>
      </c>
      <c r="N176" t="s">
        <v>247</v>
      </c>
      <c r="O176">
        <v>41570</v>
      </c>
      <c r="P176">
        <v>3.65</v>
      </c>
      <c r="Q176">
        <v>5.98</v>
      </c>
      <c r="R176">
        <f t="shared" si="13"/>
        <v>2.3300000000000005</v>
      </c>
      <c r="S176">
        <v>40</v>
      </c>
      <c r="T176">
        <f t="shared" si="14"/>
        <v>239.20000000000002</v>
      </c>
      <c r="U176">
        <v>0</v>
      </c>
      <c r="V176">
        <f t="shared" si="15"/>
        <v>0</v>
      </c>
      <c r="W176">
        <f t="shared" si="16"/>
        <v>239.20000000000002</v>
      </c>
      <c r="X176">
        <v>1.49</v>
      </c>
      <c r="Y176">
        <f t="shared" si="17"/>
        <v>240.69000000000003</v>
      </c>
    </row>
    <row r="177" spans="1:25" x14ac:dyDescent="0.25">
      <c r="A177" t="s">
        <v>772</v>
      </c>
      <c r="B177">
        <v>41568</v>
      </c>
      <c r="C177" t="str">
        <f t="shared" si="12"/>
        <v>2013</v>
      </c>
      <c r="D177" t="s">
        <v>757</v>
      </c>
      <c r="E177" t="s">
        <v>250</v>
      </c>
      <c r="F177" t="s">
        <v>257</v>
      </c>
      <c r="G177" t="s">
        <v>258</v>
      </c>
      <c r="H177" t="s">
        <v>293</v>
      </c>
      <c r="I177" t="s">
        <v>342</v>
      </c>
      <c r="J177" t="s">
        <v>294</v>
      </c>
      <c r="K177" t="s">
        <v>453</v>
      </c>
      <c r="L177" t="s">
        <v>245</v>
      </c>
      <c r="M177" t="s">
        <v>246</v>
      </c>
      <c r="N177" t="s">
        <v>247</v>
      </c>
      <c r="O177">
        <v>41570</v>
      </c>
      <c r="P177">
        <v>1.18</v>
      </c>
      <c r="Q177">
        <v>1.88</v>
      </c>
      <c r="R177">
        <f t="shared" si="13"/>
        <v>0.7</v>
      </c>
      <c r="S177">
        <v>33</v>
      </c>
      <c r="T177">
        <f t="shared" si="14"/>
        <v>62.04</v>
      </c>
      <c r="U177">
        <v>7.0000000000000007E-2</v>
      </c>
      <c r="V177">
        <f t="shared" si="15"/>
        <v>4.3428000000000004</v>
      </c>
      <c r="W177">
        <f t="shared" si="16"/>
        <v>57.697199999999995</v>
      </c>
      <c r="X177">
        <v>1.49</v>
      </c>
      <c r="Y177">
        <f t="shared" si="17"/>
        <v>59.187199999999997</v>
      </c>
    </row>
    <row r="178" spans="1:25" x14ac:dyDescent="0.25">
      <c r="A178" t="s">
        <v>773</v>
      </c>
      <c r="B178">
        <v>41571</v>
      </c>
      <c r="C178" t="str">
        <f t="shared" si="12"/>
        <v>2013</v>
      </c>
      <c r="D178" t="s">
        <v>774</v>
      </c>
      <c r="E178" t="s">
        <v>775</v>
      </c>
      <c r="F178" t="s">
        <v>257</v>
      </c>
      <c r="G178" t="s">
        <v>258</v>
      </c>
      <c r="H178" t="s">
        <v>293</v>
      </c>
      <c r="I178" t="s">
        <v>381</v>
      </c>
      <c r="J178" t="s">
        <v>243</v>
      </c>
      <c r="K178" t="s">
        <v>776</v>
      </c>
      <c r="L178" t="s">
        <v>245</v>
      </c>
      <c r="M178" t="s">
        <v>246</v>
      </c>
      <c r="N178" t="s">
        <v>247</v>
      </c>
      <c r="O178">
        <v>41574</v>
      </c>
      <c r="P178">
        <v>4.53</v>
      </c>
      <c r="Q178">
        <v>7.3</v>
      </c>
      <c r="R178">
        <f t="shared" si="13"/>
        <v>2.7699999999999996</v>
      </c>
      <c r="S178">
        <v>31</v>
      </c>
      <c r="T178">
        <f t="shared" si="14"/>
        <v>226.29999999999998</v>
      </c>
      <c r="U178">
        <v>0.03</v>
      </c>
      <c r="V178">
        <f t="shared" si="15"/>
        <v>6.7889999999999988</v>
      </c>
      <c r="W178">
        <f t="shared" si="16"/>
        <v>219.511</v>
      </c>
      <c r="X178">
        <v>7.72</v>
      </c>
      <c r="Y178">
        <f t="shared" si="17"/>
        <v>227.23099999999999</v>
      </c>
    </row>
    <row r="179" spans="1:25" x14ac:dyDescent="0.25">
      <c r="A179" t="s">
        <v>777</v>
      </c>
      <c r="B179">
        <v>41572</v>
      </c>
      <c r="C179" t="str">
        <f t="shared" si="12"/>
        <v>2013</v>
      </c>
      <c r="D179" t="s">
        <v>778</v>
      </c>
      <c r="E179" t="s">
        <v>767</v>
      </c>
      <c r="F179" t="s">
        <v>257</v>
      </c>
      <c r="G179" t="s">
        <v>258</v>
      </c>
      <c r="H179" t="s">
        <v>293</v>
      </c>
      <c r="I179" t="s">
        <v>260</v>
      </c>
      <c r="J179" t="s">
        <v>243</v>
      </c>
      <c r="K179" t="s">
        <v>779</v>
      </c>
      <c r="L179" t="s">
        <v>245</v>
      </c>
      <c r="M179" t="s">
        <v>246</v>
      </c>
      <c r="N179" t="s">
        <v>247</v>
      </c>
      <c r="O179">
        <v>41574</v>
      </c>
      <c r="P179">
        <v>11.04</v>
      </c>
      <c r="Q179">
        <v>16.98</v>
      </c>
      <c r="R179">
        <f t="shared" si="13"/>
        <v>5.9400000000000013</v>
      </c>
      <c r="S179">
        <v>27</v>
      </c>
      <c r="T179">
        <f t="shared" si="14"/>
        <v>458.46000000000004</v>
      </c>
      <c r="U179">
        <v>0.1</v>
      </c>
      <c r="V179">
        <f t="shared" si="15"/>
        <v>45.846000000000004</v>
      </c>
      <c r="W179">
        <f t="shared" si="16"/>
        <v>412.61400000000003</v>
      </c>
      <c r="X179">
        <v>12.39</v>
      </c>
      <c r="Y179">
        <f t="shared" si="17"/>
        <v>425.00400000000002</v>
      </c>
    </row>
    <row r="180" spans="1:25" x14ac:dyDescent="0.25">
      <c r="A180" t="s">
        <v>780</v>
      </c>
      <c r="B180">
        <v>41573</v>
      </c>
      <c r="C180" t="str">
        <f t="shared" si="12"/>
        <v>2013</v>
      </c>
      <c r="D180" t="s">
        <v>781</v>
      </c>
      <c r="E180" t="s">
        <v>782</v>
      </c>
      <c r="F180" t="s">
        <v>257</v>
      </c>
      <c r="G180" t="s">
        <v>258</v>
      </c>
      <c r="H180" t="s">
        <v>274</v>
      </c>
      <c r="I180" t="s">
        <v>381</v>
      </c>
      <c r="J180" t="s">
        <v>294</v>
      </c>
      <c r="K180" t="s">
        <v>533</v>
      </c>
      <c r="L180" t="s">
        <v>245</v>
      </c>
      <c r="M180" t="s">
        <v>246</v>
      </c>
      <c r="N180" t="s">
        <v>247</v>
      </c>
      <c r="O180">
        <v>41575</v>
      </c>
      <c r="P180">
        <v>3.4</v>
      </c>
      <c r="Q180">
        <v>5.4</v>
      </c>
      <c r="R180">
        <f t="shared" si="13"/>
        <v>2.0000000000000004</v>
      </c>
      <c r="S180">
        <v>47</v>
      </c>
      <c r="T180">
        <f t="shared" si="14"/>
        <v>253.8</v>
      </c>
      <c r="U180">
        <v>0.03</v>
      </c>
      <c r="V180">
        <f t="shared" si="15"/>
        <v>7.6139999999999999</v>
      </c>
      <c r="W180">
        <f t="shared" si="16"/>
        <v>246.18600000000001</v>
      </c>
      <c r="X180">
        <v>7.78</v>
      </c>
      <c r="Y180">
        <f t="shared" si="17"/>
        <v>253.96600000000001</v>
      </c>
    </row>
    <row r="181" spans="1:25" x14ac:dyDescent="0.25">
      <c r="A181" t="s">
        <v>783</v>
      </c>
      <c r="B181">
        <v>41575</v>
      </c>
      <c r="C181" t="str">
        <f t="shared" si="12"/>
        <v>2013</v>
      </c>
      <c r="D181" t="s">
        <v>784</v>
      </c>
      <c r="E181" t="s">
        <v>637</v>
      </c>
      <c r="F181" t="s">
        <v>239</v>
      </c>
      <c r="G181" t="s">
        <v>240</v>
      </c>
      <c r="H181" t="s">
        <v>259</v>
      </c>
      <c r="I181" t="s">
        <v>251</v>
      </c>
      <c r="J181" t="s">
        <v>243</v>
      </c>
      <c r="K181" t="s">
        <v>403</v>
      </c>
      <c r="L181" t="s">
        <v>268</v>
      </c>
      <c r="M181" t="s">
        <v>323</v>
      </c>
      <c r="N181" t="s">
        <v>247</v>
      </c>
      <c r="O181">
        <v>41576</v>
      </c>
      <c r="P181">
        <v>1.87</v>
      </c>
      <c r="Q181">
        <v>8.1199999999999992</v>
      </c>
      <c r="R181">
        <f t="shared" si="13"/>
        <v>6.2499999999999991</v>
      </c>
      <c r="S181">
        <v>37</v>
      </c>
      <c r="T181">
        <f t="shared" si="14"/>
        <v>300.44</v>
      </c>
      <c r="U181">
        <v>0</v>
      </c>
      <c r="V181">
        <f t="shared" si="15"/>
        <v>0</v>
      </c>
      <c r="W181">
        <f t="shared" si="16"/>
        <v>300.44</v>
      </c>
      <c r="X181">
        <v>2.83</v>
      </c>
      <c r="Y181">
        <f t="shared" si="17"/>
        <v>303.27</v>
      </c>
    </row>
    <row r="182" spans="1:25" x14ac:dyDescent="0.25">
      <c r="A182" t="s">
        <v>785</v>
      </c>
      <c r="B182">
        <v>41575</v>
      </c>
      <c r="C182" t="str">
        <f t="shared" si="12"/>
        <v>2013</v>
      </c>
      <c r="D182" t="s">
        <v>302</v>
      </c>
      <c r="E182" t="s">
        <v>303</v>
      </c>
      <c r="F182" t="s">
        <v>239</v>
      </c>
      <c r="G182" t="s">
        <v>240</v>
      </c>
      <c r="H182" t="s">
        <v>259</v>
      </c>
      <c r="I182" t="s">
        <v>251</v>
      </c>
      <c r="J182" t="s">
        <v>243</v>
      </c>
      <c r="K182" t="s">
        <v>786</v>
      </c>
      <c r="L182" t="s">
        <v>245</v>
      </c>
      <c r="M182" t="s">
        <v>323</v>
      </c>
      <c r="N182" t="s">
        <v>263</v>
      </c>
      <c r="O182">
        <v>41576</v>
      </c>
      <c r="P182">
        <v>16.8</v>
      </c>
      <c r="Q182">
        <v>40.97</v>
      </c>
      <c r="R182">
        <f t="shared" si="13"/>
        <v>24.169999999999998</v>
      </c>
      <c r="S182">
        <v>11</v>
      </c>
      <c r="T182">
        <f t="shared" si="14"/>
        <v>450.66999999999996</v>
      </c>
      <c r="U182">
        <v>0.03</v>
      </c>
      <c r="V182">
        <f t="shared" si="15"/>
        <v>13.520099999999998</v>
      </c>
      <c r="W182">
        <f t="shared" si="16"/>
        <v>437.14989999999995</v>
      </c>
      <c r="X182">
        <v>8.99</v>
      </c>
      <c r="Y182">
        <f t="shared" si="17"/>
        <v>446.13989999999995</v>
      </c>
    </row>
    <row r="183" spans="1:25" x14ac:dyDescent="0.25">
      <c r="A183" t="s">
        <v>787</v>
      </c>
      <c r="B183">
        <v>41576</v>
      </c>
      <c r="C183" t="str">
        <f t="shared" si="12"/>
        <v>2013</v>
      </c>
      <c r="D183" t="s">
        <v>788</v>
      </c>
      <c r="E183" t="s">
        <v>789</v>
      </c>
      <c r="F183" t="s">
        <v>257</v>
      </c>
      <c r="G183" t="s">
        <v>258</v>
      </c>
      <c r="H183" t="s">
        <v>241</v>
      </c>
      <c r="I183" t="s">
        <v>309</v>
      </c>
      <c r="J183" t="s">
        <v>261</v>
      </c>
      <c r="K183" t="s">
        <v>617</v>
      </c>
      <c r="L183" t="s">
        <v>245</v>
      </c>
      <c r="M183" t="s">
        <v>246</v>
      </c>
      <c r="N183" t="s">
        <v>247</v>
      </c>
      <c r="O183">
        <v>41577</v>
      </c>
      <c r="P183">
        <v>1.94</v>
      </c>
      <c r="Q183">
        <v>3.08</v>
      </c>
      <c r="R183">
        <f t="shared" si="13"/>
        <v>1.1400000000000001</v>
      </c>
      <c r="S183">
        <v>41</v>
      </c>
      <c r="T183">
        <f t="shared" si="14"/>
        <v>126.28</v>
      </c>
      <c r="U183">
        <v>0.04</v>
      </c>
      <c r="V183">
        <f t="shared" si="15"/>
        <v>5.0512000000000006</v>
      </c>
      <c r="W183">
        <f t="shared" si="16"/>
        <v>121.22880000000001</v>
      </c>
      <c r="X183">
        <v>0.99</v>
      </c>
      <c r="Y183">
        <f t="shared" si="17"/>
        <v>122.2188</v>
      </c>
    </row>
    <row r="184" spans="1:25" x14ac:dyDescent="0.25">
      <c r="A184" t="s">
        <v>790</v>
      </c>
      <c r="B184">
        <v>41579</v>
      </c>
      <c r="C184" t="str">
        <f t="shared" si="12"/>
        <v>2013</v>
      </c>
      <c r="D184" t="s">
        <v>791</v>
      </c>
      <c r="E184" t="s">
        <v>775</v>
      </c>
      <c r="F184" t="s">
        <v>257</v>
      </c>
      <c r="G184" t="s">
        <v>258</v>
      </c>
      <c r="H184" t="s">
        <v>274</v>
      </c>
      <c r="I184" t="s">
        <v>381</v>
      </c>
      <c r="J184" t="s">
        <v>261</v>
      </c>
      <c r="K184" t="s">
        <v>403</v>
      </c>
      <c r="L184" t="s">
        <v>268</v>
      </c>
      <c r="M184" t="s">
        <v>323</v>
      </c>
      <c r="N184" t="s">
        <v>247</v>
      </c>
      <c r="O184">
        <v>41580</v>
      </c>
      <c r="P184">
        <v>1.87</v>
      </c>
      <c r="Q184">
        <v>8.1199999999999992</v>
      </c>
      <c r="R184">
        <f t="shared" si="13"/>
        <v>6.2499999999999991</v>
      </c>
      <c r="S184">
        <v>16</v>
      </c>
      <c r="T184">
        <f t="shared" si="14"/>
        <v>129.91999999999999</v>
      </c>
      <c r="U184">
        <v>0.03</v>
      </c>
      <c r="V184">
        <f t="shared" si="15"/>
        <v>3.8975999999999993</v>
      </c>
      <c r="W184">
        <f t="shared" si="16"/>
        <v>126.02239999999999</v>
      </c>
      <c r="X184">
        <v>2.83</v>
      </c>
      <c r="Y184">
        <f t="shared" si="17"/>
        <v>128.85239999999999</v>
      </c>
    </row>
    <row r="185" spans="1:25" x14ac:dyDescent="0.25">
      <c r="A185" t="s">
        <v>792</v>
      </c>
      <c r="B185">
        <v>41580</v>
      </c>
      <c r="C185" t="str">
        <f t="shared" si="12"/>
        <v>2013</v>
      </c>
      <c r="D185" t="s">
        <v>542</v>
      </c>
      <c r="E185" t="s">
        <v>303</v>
      </c>
      <c r="F185" t="s">
        <v>239</v>
      </c>
      <c r="G185" t="s">
        <v>240</v>
      </c>
      <c r="H185" t="s">
        <v>241</v>
      </c>
      <c r="I185" t="s">
        <v>242</v>
      </c>
      <c r="J185" t="s">
        <v>304</v>
      </c>
      <c r="K185" t="s">
        <v>776</v>
      </c>
      <c r="L185" t="s">
        <v>245</v>
      </c>
      <c r="M185" t="s">
        <v>246</v>
      </c>
      <c r="N185" t="s">
        <v>247</v>
      </c>
      <c r="O185">
        <v>41581</v>
      </c>
      <c r="P185">
        <v>4.53</v>
      </c>
      <c r="Q185">
        <v>7.3</v>
      </c>
      <c r="R185">
        <f t="shared" si="13"/>
        <v>2.7699999999999996</v>
      </c>
      <c r="S185">
        <v>45</v>
      </c>
      <c r="T185">
        <f t="shared" si="14"/>
        <v>328.5</v>
      </c>
      <c r="U185">
        <v>0.04</v>
      </c>
      <c r="V185">
        <f t="shared" si="15"/>
        <v>13.14</v>
      </c>
      <c r="W185">
        <f t="shared" si="16"/>
        <v>315.36</v>
      </c>
      <c r="X185">
        <v>7.72</v>
      </c>
      <c r="Y185">
        <f t="shared" si="17"/>
        <v>323.08000000000004</v>
      </c>
    </row>
    <row r="186" spans="1:25" x14ac:dyDescent="0.25">
      <c r="A186" t="s">
        <v>793</v>
      </c>
      <c r="B186">
        <v>41581</v>
      </c>
      <c r="C186" t="str">
        <f t="shared" si="12"/>
        <v>2013</v>
      </c>
      <c r="D186" t="s">
        <v>794</v>
      </c>
      <c r="E186" t="s">
        <v>795</v>
      </c>
      <c r="F186" t="s">
        <v>257</v>
      </c>
      <c r="G186" t="s">
        <v>258</v>
      </c>
      <c r="H186" t="s">
        <v>259</v>
      </c>
      <c r="I186" t="s">
        <v>372</v>
      </c>
      <c r="J186" t="s">
        <v>261</v>
      </c>
      <c r="K186" t="s">
        <v>676</v>
      </c>
      <c r="L186" t="s">
        <v>245</v>
      </c>
      <c r="M186" t="s">
        <v>323</v>
      </c>
      <c r="N186" t="s">
        <v>247</v>
      </c>
      <c r="O186">
        <v>41581</v>
      </c>
      <c r="P186">
        <v>5.19</v>
      </c>
      <c r="Q186">
        <v>12.98</v>
      </c>
      <c r="R186">
        <f t="shared" si="13"/>
        <v>7.79</v>
      </c>
      <c r="S186">
        <v>40</v>
      </c>
      <c r="T186">
        <f t="shared" si="14"/>
        <v>519.20000000000005</v>
      </c>
      <c r="U186">
        <v>0.05</v>
      </c>
      <c r="V186">
        <f t="shared" si="15"/>
        <v>25.960000000000004</v>
      </c>
      <c r="W186">
        <f t="shared" si="16"/>
        <v>493.24000000000007</v>
      </c>
      <c r="X186">
        <v>3.14</v>
      </c>
      <c r="Y186">
        <f t="shared" si="17"/>
        <v>496.38000000000005</v>
      </c>
    </row>
    <row r="187" spans="1:25" x14ac:dyDescent="0.25">
      <c r="A187" t="s">
        <v>796</v>
      </c>
      <c r="B187">
        <v>41583</v>
      </c>
      <c r="C187" t="str">
        <f t="shared" si="12"/>
        <v>2013</v>
      </c>
      <c r="D187" t="s">
        <v>797</v>
      </c>
      <c r="E187" t="s">
        <v>798</v>
      </c>
      <c r="F187" t="s">
        <v>448</v>
      </c>
      <c r="G187" t="s">
        <v>449</v>
      </c>
      <c r="H187" t="s">
        <v>259</v>
      </c>
      <c r="I187" t="s">
        <v>299</v>
      </c>
      <c r="J187" t="s">
        <v>294</v>
      </c>
      <c r="K187" t="s">
        <v>799</v>
      </c>
      <c r="L187" t="s">
        <v>245</v>
      </c>
      <c r="M187" t="s">
        <v>246</v>
      </c>
      <c r="N187" t="s">
        <v>247</v>
      </c>
      <c r="O187">
        <v>41585</v>
      </c>
      <c r="P187">
        <v>2.29</v>
      </c>
      <c r="Q187">
        <v>3.69</v>
      </c>
      <c r="R187">
        <f t="shared" si="13"/>
        <v>1.4</v>
      </c>
      <c r="S187">
        <v>42</v>
      </c>
      <c r="T187">
        <f t="shared" si="14"/>
        <v>154.97999999999999</v>
      </c>
      <c r="U187">
        <v>0.04</v>
      </c>
      <c r="V187">
        <f t="shared" si="15"/>
        <v>6.1991999999999994</v>
      </c>
      <c r="W187">
        <f t="shared" si="16"/>
        <v>148.7808</v>
      </c>
      <c r="X187">
        <v>0.5</v>
      </c>
      <c r="Y187">
        <f t="shared" si="17"/>
        <v>149.2808</v>
      </c>
    </row>
    <row r="188" spans="1:25" x14ac:dyDescent="0.25">
      <c r="A188" t="s">
        <v>800</v>
      </c>
      <c r="B188">
        <v>41583</v>
      </c>
      <c r="C188" t="str">
        <f t="shared" si="12"/>
        <v>2013</v>
      </c>
      <c r="D188" t="s">
        <v>801</v>
      </c>
      <c r="E188" t="s">
        <v>802</v>
      </c>
      <c r="F188" t="s">
        <v>257</v>
      </c>
      <c r="G188" t="s">
        <v>258</v>
      </c>
      <c r="H188" t="s">
        <v>259</v>
      </c>
      <c r="I188" t="s">
        <v>284</v>
      </c>
      <c r="J188" t="s">
        <v>261</v>
      </c>
      <c r="K188" t="s">
        <v>803</v>
      </c>
      <c r="L188" t="s">
        <v>245</v>
      </c>
      <c r="M188" t="s">
        <v>253</v>
      </c>
      <c r="N188" t="s">
        <v>247</v>
      </c>
      <c r="O188">
        <v>41584</v>
      </c>
      <c r="P188">
        <v>5.22</v>
      </c>
      <c r="Q188">
        <v>9.85</v>
      </c>
      <c r="R188">
        <f t="shared" si="13"/>
        <v>4.63</v>
      </c>
      <c r="S188">
        <v>27</v>
      </c>
      <c r="T188">
        <f t="shared" si="14"/>
        <v>265.95</v>
      </c>
      <c r="U188">
        <v>0.1</v>
      </c>
      <c r="V188">
        <f t="shared" si="15"/>
        <v>26.594999999999999</v>
      </c>
      <c r="W188">
        <f t="shared" si="16"/>
        <v>239.35499999999999</v>
      </c>
      <c r="X188">
        <v>4.82</v>
      </c>
      <c r="Y188">
        <f t="shared" si="17"/>
        <v>244.17499999999998</v>
      </c>
    </row>
    <row r="189" spans="1:25" x14ac:dyDescent="0.25">
      <c r="A189" t="s">
        <v>804</v>
      </c>
      <c r="B189">
        <v>41585</v>
      </c>
      <c r="C189" t="str">
        <f t="shared" si="12"/>
        <v>2013</v>
      </c>
      <c r="D189" t="s">
        <v>805</v>
      </c>
      <c r="E189" t="s">
        <v>806</v>
      </c>
      <c r="F189" t="s">
        <v>257</v>
      </c>
      <c r="G189" t="s">
        <v>258</v>
      </c>
      <c r="H189" t="s">
        <v>293</v>
      </c>
      <c r="I189" t="s">
        <v>299</v>
      </c>
      <c r="J189" t="s">
        <v>304</v>
      </c>
      <c r="K189" t="s">
        <v>435</v>
      </c>
      <c r="L189" t="s">
        <v>245</v>
      </c>
      <c r="M189" t="s">
        <v>253</v>
      </c>
      <c r="N189" t="s">
        <v>263</v>
      </c>
      <c r="O189">
        <v>41586</v>
      </c>
      <c r="P189">
        <v>3.75</v>
      </c>
      <c r="Q189">
        <v>7.08</v>
      </c>
      <c r="R189">
        <f t="shared" si="13"/>
        <v>3.33</v>
      </c>
      <c r="S189">
        <v>29</v>
      </c>
      <c r="T189">
        <f t="shared" si="14"/>
        <v>205.32</v>
      </c>
      <c r="U189">
        <v>7.0000000000000007E-2</v>
      </c>
      <c r="V189">
        <f t="shared" si="15"/>
        <v>14.372400000000001</v>
      </c>
      <c r="W189">
        <f t="shared" si="16"/>
        <v>190.94759999999999</v>
      </c>
      <c r="X189">
        <v>2.35</v>
      </c>
      <c r="Y189">
        <f t="shared" si="17"/>
        <v>193.29759999999999</v>
      </c>
    </row>
    <row r="190" spans="1:25" x14ac:dyDescent="0.25">
      <c r="A190" t="s">
        <v>807</v>
      </c>
      <c r="B190">
        <v>41587</v>
      </c>
      <c r="C190" t="str">
        <f t="shared" si="12"/>
        <v>2013</v>
      </c>
      <c r="D190" t="s">
        <v>808</v>
      </c>
      <c r="E190" t="s">
        <v>367</v>
      </c>
      <c r="F190" t="s">
        <v>239</v>
      </c>
      <c r="G190" t="s">
        <v>240</v>
      </c>
      <c r="H190" t="s">
        <v>293</v>
      </c>
      <c r="I190" t="s">
        <v>251</v>
      </c>
      <c r="J190" t="s">
        <v>279</v>
      </c>
      <c r="K190" t="s">
        <v>698</v>
      </c>
      <c r="L190" t="s">
        <v>245</v>
      </c>
      <c r="M190" t="s">
        <v>253</v>
      </c>
      <c r="N190" t="s">
        <v>247</v>
      </c>
      <c r="O190">
        <v>41587</v>
      </c>
      <c r="P190">
        <v>3.32</v>
      </c>
      <c r="Q190">
        <v>5.18</v>
      </c>
      <c r="R190">
        <f t="shared" si="13"/>
        <v>1.8599999999999999</v>
      </c>
      <c r="S190">
        <v>8</v>
      </c>
      <c r="T190">
        <f t="shared" si="14"/>
        <v>41.44</v>
      </c>
      <c r="U190">
        <v>0.06</v>
      </c>
      <c r="V190">
        <f t="shared" si="15"/>
        <v>2.4863999999999997</v>
      </c>
      <c r="W190">
        <f t="shared" si="16"/>
        <v>38.953599999999994</v>
      </c>
      <c r="X190">
        <v>2.04</v>
      </c>
      <c r="Y190">
        <f t="shared" si="17"/>
        <v>40.993599999999994</v>
      </c>
    </row>
    <row r="191" spans="1:25" x14ac:dyDescent="0.25">
      <c r="A191" t="s">
        <v>809</v>
      </c>
      <c r="B191">
        <v>41590</v>
      </c>
      <c r="C191" t="str">
        <f t="shared" si="12"/>
        <v>2013</v>
      </c>
      <c r="D191" t="s">
        <v>810</v>
      </c>
      <c r="E191" t="s">
        <v>266</v>
      </c>
      <c r="F191" t="s">
        <v>239</v>
      </c>
      <c r="G191" t="s">
        <v>240</v>
      </c>
      <c r="H191" t="s">
        <v>259</v>
      </c>
      <c r="I191" t="s">
        <v>242</v>
      </c>
      <c r="J191" t="s">
        <v>304</v>
      </c>
      <c r="K191" t="s">
        <v>811</v>
      </c>
      <c r="L191" t="s">
        <v>245</v>
      </c>
      <c r="M191" t="s">
        <v>246</v>
      </c>
      <c r="N191" t="s">
        <v>247</v>
      </c>
      <c r="O191">
        <v>41592</v>
      </c>
      <c r="P191">
        <v>3.37</v>
      </c>
      <c r="Q191">
        <v>5.53</v>
      </c>
      <c r="R191">
        <f t="shared" si="13"/>
        <v>2.16</v>
      </c>
      <c r="S191">
        <v>17</v>
      </c>
      <c r="T191">
        <f t="shared" si="14"/>
        <v>94.01</v>
      </c>
      <c r="U191">
        <v>0.02</v>
      </c>
      <c r="V191">
        <f t="shared" si="15"/>
        <v>1.8802000000000001</v>
      </c>
      <c r="W191">
        <f t="shared" si="16"/>
        <v>92.129800000000003</v>
      </c>
      <c r="X191">
        <v>6.98</v>
      </c>
      <c r="Y191">
        <f t="shared" si="17"/>
        <v>99.109800000000007</v>
      </c>
    </row>
    <row r="192" spans="1:25" x14ac:dyDescent="0.25">
      <c r="A192" t="s">
        <v>812</v>
      </c>
      <c r="B192">
        <v>41593</v>
      </c>
      <c r="C192" t="str">
        <f t="shared" si="12"/>
        <v>2013</v>
      </c>
      <c r="D192" t="s">
        <v>703</v>
      </c>
      <c r="E192" t="s">
        <v>288</v>
      </c>
      <c r="F192" t="s">
        <v>257</v>
      </c>
      <c r="G192" t="s">
        <v>258</v>
      </c>
      <c r="H192" t="s">
        <v>274</v>
      </c>
      <c r="I192" t="s">
        <v>284</v>
      </c>
      <c r="J192" t="s">
        <v>294</v>
      </c>
      <c r="K192" t="s">
        <v>475</v>
      </c>
      <c r="L192" t="s">
        <v>245</v>
      </c>
      <c r="M192" t="s">
        <v>246</v>
      </c>
      <c r="N192" t="s">
        <v>247</v>
      </c>
      <c r="O192">
        <v>41595</v>
      </c>
      <c r="P192">
        <v>12.39</v>
      </c>
      <c r="Q192">
        <v>19.98</v>
      </c>
      <c r="R192">
        <f t="shared" si="13"/>
        <v>7.59</v>
      </c>
      <c r="S192">
        <v>47</v>
      </c>
      <c r="T192">
        <f t="shared" si="14"/>
        <v>939.06000000000006</v>
      </c>
      <c r="U192">
        <v>0.04</v>
      </c>
      <c r="V192">
        <f t="shared" si="15"/>
        <v>37.562400000000004</v>
      </c>
      <c r="W192">
        <f t="shared" si="16"/>
        <v>901.49760000000003</v>
      </c>
      <c r="X192">
        <v>5.77</v>
      </c>
      <c r="Y192">
        <f t="shared" si="17"/>
        <v>907.26760000000002</v>
      </c>
    </row>
    <row r="193" spans="1:25" x14ac:dyDescent="0.25">
      <c r="A193" t="s">
        <v>813</v>
      </c>
      <c r="B193">
        <v>41594</v>
      </c>
      <c r="C193" t="str">
        <f t="shared" si="12"/>
        <v>2013</v>
      </c>
      <c r="D193" t="s">
        <v>383</v>
      </c>
      <c r="E193" t="s">
        <v>292</v>
      </c>
      <c r="F193" t="s">
        <v>257</v>
      </c>
      <c r="G193" t="s">
        <v>258</v>
      </c>
      <c r="H193" t="s">
        <v>274</v>
      </c>
      <c r="I193" t="s">
        <v>260</v>
      </c>
      <c r="J193" t="s">
        <v>294</v>
      </c>
      <c r="K193" t="s">
        <v>439</v>
      </c>
      <c r="L193" t="s">
        <v>440</v>
      </c>
      <c r="M193" t="s">
        <v>323</v>
      </c>
      <c r="N193" t="s">
        <v>247</v>
      </c>
      <c r="O193">
        <v>41594</v>
      </c>
      <c r="P193">
        <v>5.5</v>
      </c>
      <c r="Q193">
        <v>12.22</v>
      </c>
      <c r="R193">
        <f t="shared" si="13"/>
        <v>6.7200000000000006</v>
      </c>
      <c r="S193">
        <v>27</v>
      </c>
      <c r="T193">
        <f t="shared" si="14"/>
        <v>329.94</v>
      </c>
      <c r="U193">
        <v>7.0000000000000007E-2</v>
      </c>
      <c r="V193">
        <f t="shared" si="15"/>
        <v>23.095800000000001</v>
      </c>
      <c r="W193">
        <f t="shared" si="16"/>
        <v>306.8442</v>
      </c>
      <c r="X193">
        <v>2.85</v>
      </c>
      <c r="Y193">
        <f t="shared" si="17"/>
        <v>309.69420000000002</v>
      </c>
    </row>
    <row r="194" spans="1:25" x14ac:dyDescent="0.25">
      <c r="A194" t="s">
        <v>814</v>
      </c>
      <c r="B194">
        <v>41594</v>
      </c>
      <c r="C194" t="str">
        <f t="shared" si="12"/>
        <v>2013</v>
      </c>
      <c r="D194" t="s">
        <v>815</v>
      </c>
      <c r="E194" t="s">
        <v>816</v>
      </c>
      <c r="F194" t="s">
        <v>257</v>
      </c>
      <c r="G194" t="s">
        <v>258</v>
      </c>
      <c r="H194" t="s">
        <v>259</v>
      </c>
      <c r="I194" t="s">
        <v>492</v>
      </c>
      <c r="J194" t="s">
        <v>261</v>
      </c>
      <c r="K194" t="s">
        <v>817</v>
      </c>
      <c r="L194" t="s">
        <v>245</v>
      </c>
      <c r="M194" t="s">
        <v>253</v>
      </c>
      <c r="N194" t="s">
        <v>247</v>
      </c>
      <c r="O194">
        <v>41595</v>
      </c>
      <c r="P194">
        <v>1.76</v>
      </c>
      <c r="Q194">
        <v>2.94</v>
      </c>
      <c r="R194">
        <f t="shared" si="13"/>
        <v>1.18</v>
      </c>
      <c r="S194">
        <v>23</v>
      </c>
      <c r="T194">
        <f t="shared" si="14"/>
        <v>67.62</v>
      </c>
      <c r="U194">
        <v>7.0000000000000007E-2</v>
      </c>
      <c r="V194">
        <f t="shared" si="15"/>
        <v>4.7334000000000005</v>
      </c>
      <c r="W194">
        <f t="shared" si="16"/>
        <v>62.886600000000001</v>
      </c>
      <c r="X194">
        <v>0.81</v>
      </c>
      <c r="Y194">
        <f t="shared" si="17"/>
        <v>63.696600000000004</v>
      </c>
    </row>
    <row r="195" spans="1:25" x14ac:dyDescent="0.25">
      <c r="A195" t="s">
        <v>818</v>
      </c>
      <c r="B195">
        <v>41595</v>
      </c>
      <c r="C195" t="str">
        <f t="shared" si="12"/>
        <v>2013</v>
      </c>
      <c r="D195" t="s">
        <v>819</v>
      </c>
      <c r="E195" t="s">
        <v>256</v>
      </c>
      <c r="F195" t="s">
        <v>257</v>
      </c>
      <c r="G195" t="s">
        <v>258</v>
      </c>
      <c r="H195" t="s">
        <v>274</v>
      </c>
      <c r="I195" t="s">
        <v>260</v>
      </c>
      <c r="J195" t="s">
        <v>261</v>
      </c>
      <c r="K195" t="s">
        <v>377</v>
      </c>
      <c r="L195" t="s">
        <v>268</v>
      </c>
      <c r="M195" t="s">
        <v>246</v>
      </c>
      <c r="N195" t="s">
        <v>263</v>
      </c>
      <c r="O195">
        <v>41597</v>
      </c>
      <c r="P195">
        <v>39.64</v>
      </c>
      <c r="Q195">
        <v>152.47999999999999</v>
      </c>
      <c r="R195">
        <f t="shared" si="13"/>
        <v>112.83999999999999</v>
      </c>
      <c r="S195">
        <v>2</v>
      </c>
      <c r="T195">
        <f t="shared" si="14"/>
        <v>304.95999999999998</v>
      </c>
      <c r="U195">
        <v>0.02</v>
      </c>
      <c r="V195">
        <f t="shared" si="15"/>
        <v>6.0991999999999997</v>
      </c>
      <c r="W195">
        <f t="shared" si="16"/>
        <v>298.86079999999998</v>
      </c>
      <c r="X195">
        <v>6.5</v>
      </c>
      <c r="Y195">
        <f t="shared" si="17"/>
        <v>305.36079999999998</v>
      </c>
    </row>
    <row r="196" spans="1:25" x14ac:dyDescent="0.25">
      <c r="A196" t="s">
        <v>820</v>
      </c>
      <c r="B196">
        <v>41595</v>
      </c>
      <c r="C196" t="str">
        <f t="shared" si="12"/>
        <v>2013</v>
      </c>
      <c r="D196" t="s">
        <v>821</v>
      </c>
      <c r="E196" t="s">
        <v>250</v>
      </c>
      <c r="F196" t="s">
        <v>239</v>
      </c>
      <c r="G196" t="s">
        <v>240</v>
      </c>
      <c r="H196" t="s">
        <v>241</v>
      </c>
      <c r="I196" t="s">
        <v>251</v>
      </c>
      <c r="J196" t="s">
        <v>261</v>
      </c>
      <c r="K196" t="s">
        <v>822</v>
      </c>
      <c r="L196" t="s">
        <v>245</v>
      </c>
      <c r="M196" t="s">
        <v>323</v>
      </c>
      <c r="N196" t="s">
        <v>247</v>
      </c>
      <c r="O196">
        <v>41596</v>
      </c>
      <c r="P196">
        <v>3.51</v>
      </c>
      <c r="Q196">
        <v>8.57</v>
      </c>
      <c r="R196">
        <f t="shared" si="13"/>
        <v>5.0600000000000005</v>
      </c>
      <c r="S196">
        <v>24</v>
      </c>
      <c r="T196">
        <f t="shared" si="14"/>
        <v>205.68</v>
      </c>
      <c r="U196">
        <v>0.06</v>
      </c>
      <c r="V196">
        <f t="shared" si="15"/>
        <v>12.3408</v>
      </c>
      <c r="W196">
        <f t="shared" si="16"/>
        <v>193.33920000000001</v>
      </c>
      <c r="X196">
        <v>6.14</v>
      </c>
      <c r="Y196">
        <f t="shared" si="17"/>
        <v>199.47919999999999</v>
      </c>
    </row>
    <row r="197" spans="1:25" x14ac:dyDescent="0.25">
      <c r="A197" t="s">
        <v>823</v>
      </c>
      <c r="B197">
        <v>41595</v>
      </c>
      <c r="C197" t="str">
        <f t="shared" si="12"/>
        <v>2013</v>
      </c>
      <c r="D197" t="s">
        <v>824</v>
      </c>
      <c r="E197" t="s">
        <v>637</v>
      </c>
      <c r="F197" t="s">
        <v>239</v>
      </c>
      <c r="G197" t="s">
        <v>240</v>
      </c>
      <c r="H197" t="s">
        <v>259</v>
      </c>
      <c r="I197" t="s">
        <v>251</v>
      </c>
      <c r="J197" t="s">
        <v>243</v>
      </c>
      <c r="K197" t="s">
        <v>688</v>
      </c>
      <c r="L197" t="s">
        <v>245</v>
      </c>
      <c r="M197" t="s">
        <v>246</v>
      </c>
      <c r="N197" t="s">
        <v>247</v>
      </c>
      <c r="O197">
        <v>41595</v>
      </c>
      <c r="P197">
        <v>2.4500000000000002</v>
      </c>
      <c r="Q197">
        <v>3.89</v>
      </c>
      <c r="R197">
        <f t="shared" si="13"/>
        <v>1.44</v>
      </c>
      <c r="S197">
        <v>47</v>
      </c>
      <c r="T197">
        <f t="shared" si="14"/>
        <v>182.83</v>
      </c>
      <c r="U197">
        <v>0</v>
      </c>
      <c r="V197">
        <f t="shared" si="15"/>
        <v>0</v>
      </c>
      <c r="W197">
        <f t="shared" si="16"/>
        <v>182.83</v>
      </c>
      <c r="X197">
        <v>7.01</v>
      </c>
      <c r="Y197">
        <f t="shared" si="17"/>
        <v>189.84</v>
      </c>
    </row>
    <row r="198" spans="1:25" x14ac:dyDescent="0.25">
      <c r="A198" t="s">
        <v>825</v>
      </c>
      <c r="B198">
        <v>41596</v>
      </c>
      <c r="C198" t="str">
        <f t="shared" ref="C198:C261" si="18">TEXT(B198,"yyyy")</f>
        <v>2013</v>
      </c>
      <c r="D198" t="s">
        <v>826</v>
      </c>
      <c r="E198" t="s">
        <v>352</v>
      </c>
      <c r="F198" t="s">
        <v>257</v>
      </c>
      <c r="G198" t="s">
        <v>258</v>
      </c>
      <c r="H198" t="s">
        <v>293</v>
      </c>
      <c r="I198" t="s">
        <v>275</v>
      </c>
      <c r="J198" t="s">
        <v>279</v>
      </c>
      <c r="K198" t="s">
        <v>529</v>
      </c>
      <c r="L198" t="s">
        <v>245</v>
      </c>
      <c r="M198" t="s">
        <v>253</v>
      </c>
      <c r="N198" t="s">
        <v>247</v>
      </c>
      <c r="O198">
        <v>41598</v>
      </c>
      <c r="P198">
        <v>1.6</v>
      </c>
      <c r="Q198">
        <v>2.62</v>
      </c>
      <c r="R198">
        <f t="shared" ref="R198:R261" si="19">Q198-P198</f>
        <v>1.02</v>
      </c>
      <c r="S198">
        <v>26</v>
      </c>
      <c r="T198">
        <f t="shared" ref="T198:T261" si="20">Q198*S198</f>
        <v>68.12</v>
      </c>
      <c r="U198">
        <v>0.09</v>
      </c>
      <c r="V198">
        <f t="shared" ref="V198:V261" si="21">T198*U198</f>
        <v>6.1307999999999998</v>
      </c>
      <c r="W198">
        <f t="shared" ref="W198:W261" si="22">T198-V198</f>
        <v>61.989200000000004</v>
      </c>
      <c r="X198">
        <v>0.8</v>
      </c>
      <c r="Y198">
        <f t="shared" ref="Y198:Y261" si="23">W198+X198</f>
        <v>62.789200000000001</v>
      </c>
    </row>
    <row r="199" spans="1:25" x14ac:dyDescent="0.25">
      <c r="A199" t="s">
        <v>827</v>
      </c>
      <c r="B199">
        <v>41596</v>
      </c>
      <c r="C199" t="str">
        <f t="shared" si="18"/>
        <v>2013</v>
      </c>
      <c r="D199" t="s">
        <v>828</v>
      </c>
      <c r="E199" t="s">
        <v>829</v>
      </c>
      <c r="F199" t="s">
        <v>448</v>
      </c>
      <c r="G199" t="s">
        <v>449</v>
      </c>
      <c r="H199" t="s">
        <v>259</v>
      </c>
      <c r="I199" t="s">
        <v>381</v>
      </c>
      <c r="J199" t="s">
        <v>243</v>
      </c>
      <c r="K199" t="s">
        <v>567</v>
      </c>
      <c r="L199" t="s">
        <v>245</v>
      </c>
      <c r="M199" t="s">
        <v>246</v>
      </c>
      <c r="N199" t="s">
        <v>247</v>
      </c>
      <c r="O199">
        <v>41598</v>
      </c>
      <c r="P199">
        <v>21.56</v>
      </c>
      <c r="Q199">
        <v>35.94</v>
      </c>
      <c r="R199">
        <f t="shared" si="19"/>
        <v>14.379999999999999</v>
      </c>
      <c r="S199">
        <v>19</v>
      </c>
      <c r="T199">
        <f t="shared" si="20"/>
        <v>682.8599999999999</v>
      </c>
      <c r="U199">
        <v>0.09</v>
      </c>
      <c r="V199">
        <f t="shared" si="21"/>
        <v>61.457399999999986</v>
      </c>
      <c r="W199">
        <f t="shared" si="22"/>
        <v>621.40259999999989</v>
      </c>
      <c r="X199">
        <v>6.66</v>
      </c>
      <c r="Y199">
        <f t="shared" si="23"/>
        <v>628.06259999999986</v>
      </c>
    </row>
    <row r="200" spans="1:25" x14ac:dyDescent="0.25">
      <c r="A200" t="s">
        <v>830</v>
      </c>
      <c r="B200">
        <v>41597</v>
      </c>
      <c r="C200" t="str">
        <f t="shared" si="18"/>
        <v>2013</v>
      </c>
      <c r="D200" t="s">
        <v>629</v>
      </c>
      <c r="E200" t="s">
        <v>393</v>
      </c>
      <c r="F200" t="s">
        <v>257</v>
      </c>
      <c r="G200" t="s">
        <v>258</v>
      </c>
      <c r="H200" t="s">
        <v>259</v>
      </c>
      <c r="I200" t="s">
        <v>342</v>
      </c>
      <c r="J200" t="s">
        <v>304</v>
      </c>
      <c r="K200" t="s">
        <v>329</v>
      </c>
      <c r="L200" t="s">
        <v>245</v>
      </c>
      <c r="M200" t="s">
        <v>246</v>
      </c>
      <c r="N200" t="s">
        <v>247</v>
      </c>
      <c r="O200">
        <v>41599</v>
      </c>
      <c r="P200">
        <v>4.59</v>
      </c>
      <c r="Q200">
        <v>7.28</v>
      </c>
      <c r="R200">
        <f t="shared" si="19"/>
        <v>2.6900000000000004</v>
      </c>
      <c r="S200">
        <v>3</v>
      </c>
      <c r="T200">
        <f t="shared" si="20"/>
        <v>21.84</v>
      </c>
      <c r="U200">
        <v>0.01</v>
      </c>
      <c r="V200">
        <f t="shared" si="21"/>
        <v>0.21840000000000001</v>
      </c>
      <c r="W200">
        <f t="shared" si="22"/>
        <v>21.621600000000001</v>
      </c>
      <c r="X200">
        <v>11.15</v>
      </c>
      <c r="Y200">
        <f t="shared" si="23"/>
        <v>32.771599999999999</v>
      </c>
    </row>
    <row r="201" spans="1:25" x14ac:dyDescent="0.25">
      <c r="A201" t="s">
        <v>831</v>
      </c>
      <c r="B201">
        <v>41598</v>
      </c>
      <c r="C201" t="str">
        <f t="shared" si="18"/>
        <v>2013</v>
      </c>
      <c r="D201" t="s">
        <v>766</v>
      </c>
      <c r="E201" t="s">
        <v>767</v>
      </c>
      <c r="F201" t="s">
        <v>257</v>
      </c>
      <c r="G201" t="s">
        <v>258</v>
      </c>
      <c r="H201" t="s">
        <v>274</v>
      </c>
      <c r="I201" t="s">
        <v>260</v>
      </c>
      <c r="J201" t="s">
        <v>279</v>
      </c>
      <c r="K201" t="s">
        <v>621</v>
      </c>
      <c r="L201" t="s">
        <v>268</v>
      </c>
      <c r="M201" t="s">
        <v>269</v>
      </c>
      <c r="N201" t="s">
        <v>270</v>
      </c>
      <c r="O201">
        <v>41605</v>
      </c>
      <c r="P201">
        <v>76.790000000000006</v>
      </c>
      <c r="Q201">
        <v>119.99</v>
      </c>
      <c r="R201">
        <f t="shared" si="19"/>
        <v>43.199999999999989</v>
      </c>
      <c r="S201">
        <v>4</v>
      </c>
      <c r="T201">
        <f t="shared" si="20"/>
        <v>479.96</v>
      </c>
      <c r="U201">
        <v>0.06</v>
      </c>
      <c r="V201">
        <f t="shared" si="21"/>
        <v>28.797599999999999</v>
      </c>
      <c r="W201">
        <f t="shared" si="22"/>
        <v>451.16239999999999</v>
      </c>
      <c r="X201">
        <v>14</v>
      </c>
      <c r="Y201">
        <f t="shared" si="23"/>
        <v>465.16239999999999</v>
      </c>
    </row>
    <row r="202" spans="1:25" x14ac:dyDescent="0.25">
      <c r="A202" t="s">
        <v>832</v>
      </c>
      <c r="B202">
        <v>41598</v>
      </c>
      <c r="C202" t="str">
        <f t="shared" si="18"/>
        <v>2013</v>
      </c>
      <c r="D202" t="s">
        <v>784</v>
      </c>
      <c r="E202" t="s">
        <v>637</v>
      </c>
      <c r="F202" t="s">
        <v>239</v>
      </c>
      <c r="G202" t="s">
        <v>240</v>
      </c>
      <c r="H202" t="s">
        <v>259</v>
      </c>
      <c r="I202" t="s">
        <v>251</v>
      </c>
      <c r="J202" t="s">
        <v>294</v>
      </c>
      <c r="K202" t="s">
        <v>399</v>
      </c>
      <c r="L202" t="s">
        <v>245</v>
      </c>
      <c r="M202" t="s">
        <v>253</v>
      </c>
      <c r="N202" t="s">
        <v>247</v>
      </c>
      <c r="O202">
        <v>41599</v>
      </c>
      <c r="P202">
        <v>3.47</v>
      </c>
      <c r="Q202">
        <v>6.68</v>
      </c>
      <c r="R202">
        <f t="shared" si="19"/>
        <v>3.2099999999999995</v>
      </c>
      <c r="S202">
        <v>15</v>
      </c>
      <c r="T202">
        <f t="shared" si="20"/>
        <v>100.19999999999999</v>
      </c>
      <c r="U202">
        <v>0.03</v>
      </c>
      <c r="V202">
        <f t="shared" si="21"/>
        <v>3.0059999999999993</v>
      </c>
      <c r="W202">
        <f t="shared" si="22"/>
        <v>97.193999999999988</v>
      </c>
      <c r="X202">
        <v>1.5</v>
      </c>
      <c r="Y202">
        <f t="shared" si="23"/>
        <v>98.693999999999988</v>
      </c>
    </row>
    <row r="203" spans="1:25" x14ac:dyDescent="0.25">
      <c r="A203" t="s">
        <v>833</v>
      </c>
      <c r="B203">
        <v>41601</v>
      </c>
      <c r="C203" t="str">
        <f t="shared" si="18"/>
        <v>2013</v>
      </c>
      <c r="D203" t="s">
        <v>834</v>
      </c>
      <c r="E203" t="s">
        <v>835</v>
      </c>
      <c r="F203" t="s">
        <v>257</v>
      </c>
      <c r="G203" t="s">
        <v>258</v>
      </c>
      <c r="H203" t="s">
        <v>274</v>
      </c>
      <c r="I203" t="s">
        <v>284</v>
      </c>
      <c r="J203" t="s">
        <v>294</v>
      </c>
      <c r="K203" t="s">
        <v>836</v>
      </c>
      <c r="L203" t="s">
        <v>440</v>
      </c>
      <c r="M203" t="s">
        <v>323</v>
      </c>
      <c r="N203" t="s">
        <v>247</v>
      </c>
      <c r="O203">
        <v>41602</v>
      </c>
      <c r="P203">
        <v>11.38</v>
      </c>
      <c r="Q203">
        <v>18.649999999999999</v>
      </c>
      <c r="R203">
        <f t="shared" si="19"/>
        <v>7.2699999999999978</v>
      </c>
      <c r="S203">
        <v>19</v>
      </c>
      <c r="T203">
        <f t="shared" si="20"/>
        <v>354.34999999999997</v>
      </c>
      <c r="U203">
        <v>7.0000000000000007E-2</v>
      </c>
      <c r="V203">
        <f t="shared" si="21"/>
        <v>24.804500000000001</v>
      </c>
      <c r="W203">
        <f t="shared" si="22"/>
        <v>329.54549999999995</v>
      </c>
      <c r="X203">
        <v>3.77</v>
      </c>
      <c r="Y203">
        <f t="shared" si="23"/>
        <v>333.31549999999993</v>
      </c>
    </row>
    <row r="204" spans="1:25" x14ac:dyDescent="0.25">
      <c r="A204" t="s">
        <v>837</v>
      </c>
      <c r="B204">
        <v>41601</v>
      </c>
      <c r="C204" t="str">
        <f t="shared" si="18"/>
        <v>2013</v>
      </c>
      <c r="D204" t="s">
        <v>838</v>
      </c>
      <c r="E204" t="s">
        <v>288</v>
      </c>
      <c r="F204" t="s">
        <v>257</v>
      </c>
      <c r="G204" t="s">
        <v>258</v>
      </c>
      <c r="H204" t="s">
        <v>259</v>
      </c>
      <c r="I204" t="s">
        <v>284</v>
      </c>
      <c r="J204" t="s">
        <v>304</v>
      </c>
      <c r="K204" t="s">
        <v>653</v>
      </c>
      <c r="L204" t="s">
        <v>245</v>
      </c>
      <c r="M204" t="s">
        <v>246</v>
      </c>
      <c r="N204" t="s">
        <v>263</v>
      </c>
      <c r="O204">
        <v>41603</v>
      </c>
      <c r="P204">
        <v>3.5</v>
      </c>
      <c r="Q204">
        <v>5.74</v>
      </c>
      <c r="R204">
        <f t="shared" si="19"/>
        <v>2.2400000000000002</v>
      </c>
      <c r="S204">
        <v>27</v>
      </c>
      <c r="T204">
        <f t="shared" si="20"/>
        <v>154.98000000000002</v>
      </c>
      <c r="U204">
        <v>0.08</v>
      </c>
      <c r="V204">
        <f t="shared" si="21"/>
        <v>12.398400000000002</v>
      </c>
      <c r="W204">
        <f t="shared" si="22"/>
        <v>142.58160000000001</v>
      </c>
      <c r="X204">
        <v>5.01</v>
      </c>
      <c r="Y204">
        <f t="shared" si="23"/>
        <v>147.5916</v>
      </c>
    </row>
    <row r="205" spans="1:25" x14ac:dyDescent="0.25">
      <c r="A205" t="s">
        <v>839</v>
      </c>
      <c r="B205">
        <v>41605</v>
      </c>
      <c r="C205" t="str">
        <f t="shared" si="18"/>
        <v>2013</v>
      </c>
      <c r="D205" t="s">
        <v>840</v>
      </c>
      <c r="E205" t="s">
        <v>633</v>
      </c>
      <c r="F205" t="s">
        <v>239</v>
      </c>
      <c r="G205" t="s">
        <v>240</v>
      </c>
      <c r="H205" t="s">
        <v>274</v>
      </c>
      <c r="I205" t="s">
        <v>242</v>
      </c>
      <c r="J205" t="s">
        <v>261</v>
      </c>
      <c r="K205" t="s">
        <v>343</v>
      </c>
      <c r="L205" t="s">
        <v>268</v>
      </c>
      <c r="M205" t="s">
        <v>246</v>
      </c>
      <c r="N205" t="s">
        <v>247</v>
      </c>
      <c r="O205">
        <v>41607</v>
      </c>
      <c r="P205">
        <v>81.59</v>
      </c>
      <c r="Q205">
        <v>159.99</v>
      </c>
      <c r="R205">
        <f t="shared" si="19"/>
        <v>78.400000000000006</v>
      </c>
      <c r="S205">
        <v>50</v>
      </c>
      <c r="T205">
        <f t="shared" si="20"/>
        <v>7999.5</v>
      </c>
      <c r="U205">
        <v>0.05</v>
      </c>
      <c r="V205">
        <f t="shared" si="21"/>
        <v>399.97500000000002</v>
      </c>
      <c r="W205">
        <f t="shared" si="22"/>
        <v>7599.5249999999996</v>
      </c>
      <c r="X205">
        <v>5.5</v>
      </c>
      <c r="Y205">
        <f t="shared" si="23"/>
        <v>7605.0249999999996</v>
      </c>
    </row>
    <row r="206" spans="1:25" x14ac:dyDescent="0.25">
      <c r="A206" t="s">
        <v>841</v>
      </c>
      <c r="B206">
        <v>41607</v>
      </c>
      <c r="C206" t="str">
        <f t="shared" si="18"/>
        <v>2013</v>
      </c>
      <c r="D206" t="s">
        <v>842</v>
      </c>
      <c r="E206" t="s">
        <v>292</v>
      </c>
      <c r="F206" t="s">
        <v>257</v>
      </c>
      <c r="G206" t="s">
        <v>258</v>
      </c>
      <c r="H206" t="s">
        <v>259</v>
      </c>
      <c r="I206" t="s">
        <v>260</v>
      </c>
      <c r="J206" t="s">
        <v>243</v>
      </c>
      <c r="K206" t="s">
        <v>621</v>
      </c>
      <c r="L206" t="s">
        <v>268</v>
      </c>
      <c r="M206" t="s">
        <v>269</v>
      </c>
      <c r="N206" t="s">
        <v>270</v>
      </c>
      <c r="O206">
        <v>41609</v>
      </c>
      <c r="P206">
        <v>76.790000000000006</v>
      </c>
      <c r="Q206">
        <v>119.99</v>
      </c>
      <c r="R206">
        <f t="shared" si="19"/>
        <v>43.199999999999989</v>
      </c>
      <c r="S206">
        <v>8</v>
      </c>
      <c r="T206">
        <f t="shared" si="20"/>
        <v>959.92</v>
      </c>
      <c r="U206">
        <v>0.09</v>
      </c>
      <c r="V206">
        <f t="shared" si="21"/>
        <v>86.392799999999994</v>
      </c>
      <c r="W206">
        <f t="shared" si="22"/>
        <v>873.52719999999999</v>
      </c>
      <c r="X206">
        <v>14</v>
      </c>
      <c r="Y206">
        <f t="shared" si="23"/>
        <v>887.52719999999999</v>
      </c>
    </row>
    <row r="207" spans="1:25" x14ac:dyDescent="0.25">
      <c r="A207" t="s">
        <v>843</v>
      </c>
      <c r="B207">
        <v>41613</v>
      </c>
      <c r="C207" t="str">
        <f t="shared" si="18"/>
        <v>2013</v>
      </c>
      <c r="D207" t="s">
        <v>844</v>
      </c>
      <c r="E207" t="s">
        <v>528</v>
      </c>
      <c r="F207" t="s">
        <v>239</v>
      </c>
      <c r="G207" t="s">
        <v>240</v>
      </c>
      <c r="H207" t="s">
        <v>293</v>
      </c>
      <c r="I207" t="s">
        <v>251</v>
      </c>
      <c r="J207" t="s">
        <v>294</v>
      </c>
      <c r="K207" t="s">
        <v>786</v>
      </c>
      <c r="L207" t="s">
        <v>245</v>
      </c>
      <c r="M207" t="s">
        <v>323</v>
      </c>
      <c r="N207" t="s">
        <v>263</v>
      </c>
      <c r="O207">
        <v>41615</v>
      </c>
      <c r="P207">
        <v>16.8</v>
      </c>
      <c r="Q207">
        <v>40.97</v>
      </c>
      <c r="R207">
        <f t="shared" si="19"/>
        <v>24.169999999999998</v>
      </c>
      <c r="S207">
        <v>49</v>
      </c>
      <c r="T207">
        <f t="shared" si="20"/>
        <v>2007.53</v>
      </c>
      <c r="U207">
        <v>0.09</v>
      </c>
      <c r="V207">
        <f t="shared" si="21"/>
        <v>180.67769999999999</v>
      </c>
      <c r="W207">
        <f t="shared" si="22"/>
        <v>1826.8523</v>
      </c>
      <c r="X207">
        <v>8.99</v>
      </c>
      <c r="Y207">
        <f t="shared" si="23"/>
        <v>1835.8423</v>
      </c>
    </row>
    <row r="208" spans="1:25" x14ac:dyDescent="0.25">
      <c r="A208" t="s">
        <v>845</v>
      </c>
      <c r="B208">
        <v>41616</v>
      </c>
      <c r="C208" t="str">
        <f t="shared" si="18"/>
        <v>2013</v>
      </c>
      <c r="D208" t="s">
        <v>846</v>
      </c>
      <c r="E208" t="s">
        <v>396</v>
      </c>
      <c r="F208" t="s">
        <v>257</v>
      </c>
      <c r="G208" t="s">
        <v>258</v>
      </c>
      <c r="H208" t="s">
        <v>241</v>
      </c>
      <c r="I208" t="s">
        <v>372</v>
      </c>
      <c r="J208" t="s">
        <v>279</v>
      </c>
      <c r="K208" t="s">
        <v>529</v>
      </c>
      <c r="L208" t="s">
        <v>245</v>
      </c>
      <c r="M208" t="s">
        <v>253</v>
      </c>
      <c r="N208" t="s">
        <v>247</v>
      </c>
      <c r="O208">
        <v>41623</v>
      </c>
      <c r="P208">
        <v>1.6</v>
      </c>
      <c r="Q208">
        <v>2.62</v>
      </c>
      <c r="R208">
        <f t="shared" si="19"/>
        <v>1.02</v>
      </c>
      <c r="S208">
        <v>47</v>
      </c>
      <c r="T208">
        <f t="shared" si="20"/>
        <v>123.14</v>
      </c>
      <c r="U208">
        <v>0.1</v>
      </c>
      <c r="V208">
        <f t="shared" si="21"/>
        <v>12.314</v>
      </c>
      <c r="W208">
        <f t="shared" si="22"/>
        <v>110.82599999999999</v>
      </c>
      <c r="X208">
        <v>0.8</v>
      </c>
      <c r="Y208">
        <f t="shared" si="23"/>
        <v>111.62599999999999</v>
      </c>
    </row>
    <row r="209" spans="1:25" x14ac:dyDescent="0.25">
      <c r="A209" t="s">
        <v>847</v>
      </c>
      <c r="B209">
        <v>41616</v>
      </c>
      <c r="C209" t="str">
        <f t="shared" si="18"/>
        <v>2013</v>
      </c>
      <c r="D209" t="s">
        <v>848</v>
      </c>
      <c r="E209" t="s">
        <v>402</v>
      </c>
      <c r="F209" t="s">
        <v>257</v>
      </c>
      <c r="G209" t="s">
        <v>258</v>
      </c>
      <c r="H209" t="s">
        <v>241</v>
      </c>
      <c r="I209" t="s">
        <v>333</v>
      </c>
      <c r="J209" t="s">
        <v>304</v>
      </c>
      <c r="K209" t="s">
        <v>849</v>
      </c>
      <c r="L209" t="s">
        <v>245</v>
      </c>
      <c r="M209" t="s">
        <v>253</v>
      </c>
      <c r="N209" t="s">
        <v>247</v>
      </c>
      <c r="O209">
        <v>41616</v>
      </c>
      <c r="P209">
        <v>0.93</v>
      </c>
      <c r="Q209">
        <v>1.6</v>
      </c>
      <c r="R209">
        <f t="shared" si="19"/>
        <v>0.67</v>
      </c>
      <c r="S209">
        <v>25</v>
      </c>
      <c r="T209">
        <f t="shared" si="20"/>
        <v>40</v>
      </c>
      <c r="U209">
        <v>0.1</v>
      </c>
      <c r="V209">
        <f t="shared" si="21"/>
        <v>4</v>
      </c>
      <c r="W209">
        <f t="shared" si="22"/>
        <v>36</v>
      </c>
      <c r="X209">
        <v>1.29</v>
      </c>
      <c r="Y209">
        <f t="shared" si="23"/>
        <v>37.29</v>
      </c>
    </row>
    <row r="210" spans="1:25" x14ac:dyDescent="0.25">
      <c r="A210" t="s">
        <v>850</v>
      </c>
      <c r="B210">
        <v>41617</v>
      </c>
      <c r="C210" t="str">
        <f t="shared" si="18"/>
        <v>2013</v>
      </c>
      <c r="D210" t="s">
        <v>778</v>
      </c>
      <c r="E210" t="s">
        <v>767</v>
      </c>
      <c r="F210" t="s">
        <v>257</v>
      </c>
      <c r="G210" t="s">
        <v>258</v>
      </c>
      <c r="H210" t="s">
        <v>259</v>
      </c>
      <c r="I210" t="s">
        <v>260</v>
      </c>
      <c r="J210" t="s">
        <v>261</v>
      </c>
      <c r="K210" t="s">
        <v>582</v>
      </c>
      <c r="L210" t="s">
        <v>245</v>
      </c>
      <c r="M210" t="s">
        <v>253</v>
      </c>
      <c r="N210" t="s">
        <v>247</v>
      </c>
      <c r="O210">
        <v>41617</v>
      </c>
      <c r="P210">
        <v>0.24</v>
      </c>
      <c r="Q210">
        <v>1.26</v>
      </c>
      <c r="R210">
        <f t="shared" si="19"/>
        <v>1.02</v>
      </c>
      <c r="S210">
        <v>9</v>
      </c>
      <c r="T210">
        <f t="shared" si="20"/>
        <v>11.34</v>
      </c>
      <c r="U210">
        <v>0.06</v>
      </c>
      <c r="V210">
        <f t="shared" si="21"/>
        <v>0.6804</v>
      </c>
      <c r="W210">
        <f t="shared" si="22"/>
        <v>10.659599999999999</v>
      </c>
      <c r="X210">
        <v>0.7</v>
      </c>
      <c r="Y210">
        <f t="shared" si="23"/>
        <v>11.359599999999999</v>
      </c>
    </row>
    <row r="211" spans="1:25" x14ac:dyDescent="0.25">
      <c r="A211" t="s">
        <v>851</v>
      </c>
      <c r="B211">
        <v>41618</v>
      </c>
      <c r="C211" t="str">
        <f t="shared" si="18"/>
        <v>2013</v>
      </c>
      <c r="D211" t="s">
        <v>605</v>
      </c>
      <c r="E211" t="s">
        <v>606</v>
      </c>
      <c r="F211" t="s">
        <v>448</v>
      </c>
      <c r="G211" t="s">
        <v>449</v>
      </c>
      <c r="H211" t="s">
        <v>293</v>
      </c>
      <c r="I211" t="s">
        <v>284</v>
      </c>
      <c r="J211" t="s">
        <v>294</v>
      </c>
      <c r="K211" t="s">
        <v>603</v>
      </c>
      <c r="L211" t="s">
        <v>245</v>
      </c>
      <c r="M211" t="s">
        <v>246</v>
      </c>
      <c r="N211" t="s">
        <v>247</v>
      </c>
      <c r="O211">
        <v>41620</v>
      </c>
      <c r="P211">
        <v>3.65</v>
      </c>
      <c r="Q211">
        <v>5.98</v>
      </c>
      <c r="R211">
        <f t="shared" si="19"/>
        <v>2.3300000000000005</v>
      </c>
      <c r="S211">
        <v>25</v>
      </c>
      <c r="T211">
        <f t="shared" si="20"/>
        <v>149.5</v>
      </c>
      <c r="U211">
        <v>0.03</v>
      </c>
      <c r="V211">
        <f t="shared" si="21"/>
        <v>4.4849999999999994</v>
      </c>
      <c r="W211">
        <f t="shared" si="22"/>
        <v>145.01499999999999</v>
      </c>
      <c r="X211">
        <v>1.49</v>
      </c>
      <c r="Y211">
        <f t="shared" si="23"/>
        <v>146.505</v>
      </c>
    </row>
    <row r="212" spans="1:25" x14ac:dyDescent="0.25">
      <c r="A212" t="s">
        <v>852</v>
      </c>
      <c r="B212">
        <v>41619</v>
      </c>
      <c r="C212" t="str">
        <f t="shared" si="18"/>
        <v>2013</v>
      </c>
      <c r="D212" t="s">
        <v>237</v>
      </c>
      <c r="E212" t="s">
        <v>238</v>
      </c>
      <c r="F212" t="s">
        <v>239</v>
      </c>
      <c r="G212" t="s">
        <v>240</v>
      </c>
      <c r="H212" t="s">
        <v>241</v>
      </c>
      <c r="I212" t="s">
        <v>242</v>
      </c>
      <c r="J212" t="s">
        <v>279</v>
      </c>
      <c r="K212" t="s">
        <v>300</v>
      </c>
      <c r="L212" t="s">
        <v>245</v>
      </c>
      <c r="M212" t="s">
        <v>246</v>
      </c>
      <c r="N212" t="s">
        <v>247</v>
      </c>
      <c r="O212">
        <v>41621</v>
      </c>
      <c r="P212">
        <v>5.33</v>
      </c>
      <c r="Q212">
        <v>8.6</v>
      </c>
      <c r="R212">
        <f t="shared" si="19"/>
        <v>3.2699999999999996</v>
      </c>
      <c r="S212">
        <v>6</v>
      </c>
      <c r="T212">
        <f t="shared" si="20"/>
        <v>51.599999999999994</v>
      </c>
      <c r="U212">
        <v>0.04</v>
      </c>
      <c r="V212">
        <f t="shared" si="21"/>
        <v>2.0639999999999996</v>
      </c>
      <c r="W212">
        <f t="shared" si="22"/>
        <v>49.535999999999994</v>
      </c>
      <c r="X212">
        <v>6.19</v>
      </c>
      <c r="Y212">
        <f t="shared" si="23"/>
        <v>55.725999999999992</v>
      </c>
    </row>
    <row r="213" spans="1:25" x14ac:dyDescent="0.25">
      <c r="A213" t="s">
        <v>853</v>
      </c>
      <c r="B213">
        <v>41619</v>
      </c>
      <c r="C213" t="str">
        <f t="shared" si="18"/>
        <v>2013</v>
      </c>
      <c r="D213" t="s">
        <v>237</v>
      </c>
      <c r="E213" t="s">
        <v>238</v>
      </c>
      <c r="F213" t="s">
        <v>239</v>
      </c>
      <c r="G213" t="s">
        <v>240</v>
      </c>
      <c r="H213" t="s">
        <v>241</v>
      </c>
      <c r="I213" t="s">
        <v>242</v>
      </c>
      <c r="J213" t="s">
        <v>279</v>
      </c>
      <c r="K213" t="s">
        <v>468</v>
      </c>
      <c r="L213" t="s">
        <v>245</v>
      </c>
      <c r="M213" t="s">
        <v>253</v>
      </c>
      <c r="N213" t="s">
        <v>247</v>
      </c>
      <c r="O213">
        <v>41623</v>
      </c>
      <c r="P213">
        <v>2.29</v>
      </c>
      <c r="Q213">
        <v>3.58</v>
      </c>
      <c r="R213">
        <f t="shared" si="19"/>
        <v>1.29</v>
      </c>
      <c r="S213">
        <v>30</v>
      </c>
      <c r="T213">
        <f t="shared" si="20"/>
        <v>107.4</v>
      </c>
      <c r="U213">
        <v>0.01</v>
      </c>
      <c r="V213">
        <f t="shared" si="21"/>
        <v>1.0740000000000001</v>
      </c>
      <c r="W213">
        <f t="shared" si="22"/>
        <v>106.32600000000001</v>
      </c>
      <c r="X213">
        <v>1.63</v>
      </c>
      <c r="Y213">
        <f t="shared" si="23"/>
        <v>107.956</v>
      </c>
    </row>
    <row r="214" spans="1:25" x14ac:dyDescent="0.25">
      <c r="A214" t="s">
        <v>854</v>
      </c>
      <c r="B214">
        <v>41619</v>
      </c>
      <c r="C214" t="str">
        <f t="shared" si="18"/>
        <v>2013</v>
      </c>
      <c r="D214" t="s">
        <v>855</v>
      </c>
      <c r="E214" t="s">
        <v>856</v>
      </c>
      <c r="F214" t="s">
        <v>257</v>
      </c>
      <c r="G214" t="s">
        <v>258</v>
      </c>
      <c r="H214" t="s">
        <v>259</v>
      </c>
      <c r="I214" t="s">
        <v>333</v>
      </c>
      <c r="J214" t="s">
        <v>279</v>
      </c>
      <c r="K214" t="s">
        <v>644</v>
      </c>
      <c r="L214" t="s">
        <v>245</v>
      </c>
      <c r="M214" t="s">
        <v>246</v>
      </c>
      <c r="N214" t="s">
        <v>247</v>
      </c>
      <c r="O214">
        <v>41623</v>
      </c>
      <c r="P214">
        <v>18.38</v>
      </c>
      <c r="Q214">
        <v>29.17</v>
      </c>
      <c r="R214">
        <f t="shared" si="19"/>
        <v>10.790000000000003</v>
      </c>
      <c r="S214">
        <v>16</v>
      </c>
      <c r="T214">
        <f t="shared" si="20"/>
        <v>466.72</v>
      </c>
      <c r="U214">
        <v>7.0000000000000007E-2</v>
      </c>
      <c r="V214">
        <f t="shared" si="21"/>
        <v>32.670400000000008</v>
      </c>
      <c r="W214">
        <f t="shared" si="22"/>
        <v>434.0496</v>
      </c>
      <c r="X214">
        <v>6.27</v>
      </c>
      <c r="Y214">
        <f t="shared" si="23"/>
        <v>440.31959999999998</v>
      </c>
    </row>
    <row r="215" spans="1:25" x14ac:dyDescent="0.25">
      <c r="A215" t="s">
        <v>857</v>
      </c>
      <c r="B215">
        <v>41621</v>
      </c>
      <c r="C215" t="str">
        <f t="shared" si="18"/>
        <v>2013</v>
      </c>
      <c r="D215" t="s">
        <v>858</v>
      </c>
      <c r="E215" t="s">
        <v>650</v>
      </c>
      <c r="F215" t="s">
        <v>257</v>
      </c>
      <c r="G215" t="s">
        <v>258</v>
      </c>
      <c r="H215" t="s">
        <v>274</v>
      </c>
      <c r="I215" t="s">
        <v>299</v>
      </c>
      <c r="J215" t="s">
        <v>294</v>
      </c>
      <c r="K215" t="s">
        <v>859</v>
      </c>
      <c r="L215" t="s">
        <v>245</v>
      </c>
      <c r="M215" t="s">
        <v>246</v>
      </c>
      <c r="N215" t="s">
        <v>247</v>
      </c>
      <c r="O215">
        <v>41622</v>
      </c>
      <c r="P215">
        <v>3.75</v>
      </c>
      <c r="Q215">
        <v>5.77</v>
      </c>
      <c r="R215">
        <f t="shared" si="19"/>
        <v>2.0199999999999996</v>
      </c>
      <c r="S215">
        <v>9</v>
      </c>
      <c r="T215">
        <f t="shared" si="20"/>
        <v>51.929999999999993</v>
      </c>
      <c r="U215">
        <v>0</v>
      </c>
      <c r="V215">
        <f t="shared" si="21"/>
        <v>0</v>
      </c>
      <c r="W215">
        <f t="shared" si="22"/>
        <v>51.929999999999993</v>
      </c>
      <c r="X215">
        <v>4.97</v>
      </c>
      <c r="Y215">
        <f t="shared" si="23"/>
        <v>56.899999999999991</v>
      </c>
    </row>
    <row r="216" spans="1:25" x14ac:dyDescent="0.25">
      <c r="A216" t="s">
        <v>860</v>
      </c>
      <c r="B216">
        <v>41621</v>
      </c>
      <c r="C216" t="str">
        <f t="shared" si="18"/>
        <v>2013</v>
      </c>
      <c r="D216" t="s">
        <v>861</v>
      </c>
      <c r="E216" t="s">
        <v>456</v>
      </c>
      <c r="F216" t="s">
        <v>257</v>
      </c>
      <c r="G216" t="s">
        <v>258</v>
      </c>
      <c r="H216" t="s">
        <v>259</v>
      </c>
      <c r="I216" t="s">
        <v>260</v>
      </c>
      <c r="J216" t="s">
        <v>261</v>
      </c>
      <c r="K216" t="s">
        <v>862</v>
      </c>
      <c r="L216" t="s">
        <v>245</v>
      </c>
      <c r="M216" t="s">
        <v>253</v>
      </c>
      <c r="N216" t="s">
        <v>247</v>
      </c>
      <c r="O216">
        <v>41623</v>
      </c>
      <c r="P216">
        <v>1.92</v>
      </c>
      <c r="Q216">
        <v>3.26</v>
      </c>
      <c r="R216">
        <f t="shared" si="19"/>
        <v>1.3399999999999999</v>
      </c>
      <c r="S216">
        <v>6</v>
      </c>
      <c r="T216">
        <f t="shared" si="20"/>
        <v>19.559999999999999</v>
      </c>
      <c r="U216">
        <v>0.01</v>
      </c>
      <c r="V216">
        <f t="shared" si="21"/>
        <v>0.1956</v>
      </c>
      <c r="W216">
        <f t="shared" si="22"/>
        <v>19.3644</v>
      </c>
      <c r="X216">
        <v>1.86</v>
      </c>
      <c r="Y216">
        <f t="shared" si="23"/>
        <v>21.224399999999999</v>
      </c>
    </row>
    <row r="217" spans="1:25" x14ac:dyDescent="0.25">
      <c r="A217" t="s">
        <v>863</v>
      </c>
      <c r="B217">
        <v>41624</v>
      </c>
      <c r="C217" t="str">
        <f t="shared" si="18"/>
        <v>2013</v>
      </c>
      <c r="D217" t="s">
        <v>864</v>
      </c>
      <c r="E217" t="s">
        <v>633</v>
      </c>
      <c r="F217" t="s">
        <v>239</v>
      </c>
      <c r="G217" t="s">
        <v>240</v>
      </c>
      <c r="H217" t="s">
        <v>293</v>
      </c>
      <c r="I217" t="s">
        <v>242</v>
      </c>
      <c r="J217" t="s">
        <v>261</v>
      </c>
      <c r="K217" t="s">
        <v>799</v>
      </c>
      <c r="L217" t="s">
        <v>245</v>
      </c>
      <c r="M217" t="s">
        <v>246</v>
      </c>
      <c r="N217" t="s">
        <v>247</v>
      </c>
      <c r="O217">
        <v>41627</v>
      </c>
      <c r="P217">
        <v>2.29</v>
      </c>
      <c r="Q217">
        <v>3.69</v>
      </c>
      <c r="R217">
        <f t="shared" si="19"/>
        <v>1.4</v>
      </c>
      <c r="S217">
        <v>45</v>
      </c>
      <c r="T217">
        <f t="shared" si="20"/>
        <v>166.05</v>
      </c>
      <c r="U217">
        <v>0.08</v>
      </c>
      <c r="V217">
        <f t="shared" si="21"/>
        <v>13.284000000000001</v>
      </c>
      <c r="W217">
        <f t="shared" si="22"/>
        <v>152.76600000000002</v>
      </c>
      <c r="X217">
        <v>0.5</v>
      </c>
      <c r="Y217">
        <f t="shared" si="23"/>
        <v>153.26600000000002</v>
      </c>
    </row>
    <row r="218" spans="1:25" x14ac:dyDescent="0.25">
      <c r="A218" t="s">
        <v>865</v>
      </c>
      <c r="B218">
        <v>41625</v>
      </c>
      <c r="C218" t="str">
        <f t="shared" si="18"/>
        <v>2013</v>
      </c>
      <c r="D218" t="s">
        <v>866</v>
      </c>
      <c r="E218" t="s">
        <v>380</v>
      </c>
      <c r="F218" t="s">
        <v>257</v>
      </c>
      <c r="G218" t="s">
        <v>258</v>
      </c>
      <c r="H218" t="s">
        <v>259</v>
      </c>
      <c r="I218" t="s">
        <v>381</v>
      </c>
      <c r="J218" t="s">
        <v>261</v>
      </c>
      <c r="K218" t="s">
        <v>300</v>
      </c>
      <c r="L218" t="s">
        <v>245</v>
      </c>
      <c r="M218" t="s">
        <v>246</v>
      </c>
      <c r="N218" t="s">
        <v>247</v>
      </c>
      <c r="O218">
        <v>41627</v>
      </c>
      <c r="P218">
        <v>5.33</v>
      </c>
      <c r="Q218">
        <v>8.6</v>
      </c>
      <c r="R218">
        <f t="shared" si="19"/>
        <v>3.2699999999999996</v>
      </c>
      <c r="S218">
        <v>23</v>
      </c>
      <c r="T218">
        <f t="shared" si="20"/>
        <v>197.79999999999998</v>
      </c>
      <c r="U218">
        <v>0.02</v>
      </c>
      <c r="V218">
        <f t="shared" si="21"/>
        <v>3.956</v>
      </c>
      <c r="W218">
        <f t="shared" si="22"/>
        <v>193.84399999999999</v>
      </c>
      <c r="X218">
        <v>6.19</v>
      </c>
      <c r="Y218">
        <f t="shared" si="23"/>
        <v>200.03399999999999</v>
      </c>
    </row>
    <row r="219" spans="1:25" x14ac:dyDescent="0.25">
      <c r="A219" t="s">
        <v>867</v>
      </c>
      <c r="B219">
        <v>41627</v>
      </c>
      <c r="C219" t="str">
        <f t="shared" si="18"/>
        <v>2013</v>
      </c>
      <c r="D219" t="s">
        <v>484</v>
      </c>
      <c r="E219" t="s">
        <v>238</v>
      </c>
      <c r="F219" t="s">
        <v>239</v>
      </c>
      <c r="G219" t="s">
        <v>240</v>
      </c>
      <c r="H219" t="s">
        <v>274</v>
      </c>
      <c r="I219" t="s">
        <v>242</v>
      </c>
      <c r="J219" t="s">
        <v>243</v>
      </c>
      <c r="K219" t="s">
        <v>714</v>
      </c>
      <c r="L219" t="s">
        <v>268</v>
      </c>
      <c r="M219" t="s">
        <v>246</v>
      </c>
      <c r="N219" t="s">
        <v>247</v>
      </c>
      <c r="O219">
        <v>41629</v>
      </c>
      <c r="P219">
        <v>42.11</v>
      </c>
      <c r="Q219">
        <v>80.98</v>
      </c>
      <c r="R219">
        <f t="shared" si="19"/>
        <v>38.870000000000005</v>
      </c>
      <c r="S219">
        <v>13</v>
      </c>
      <c r="T219">
        <f t="shared" si="20"/>
        <v>1052.74</v>
      </c>
      <c r="U219">
        <v>0.03</v>
      </c>
      <c r="V219">
        <f t="shared" si="21"/>
        <v>31.5822</v>
      </c>
      <c r="W219">
        <f t="shared" si="22"/>
        <v>1021.1578</v>
      </c>
      <c r="X219">
        <v>7.18</v>
      </c>
      <c r="Y219">
        <f t="shared" si="23"/>
        <v>1028.3378</v>
      </c>
    </row>
    <row r="220" spans="1:25" x14ac:dyDescent="0.25">
      <c r="A220" t="s">
        <v>868</v>
      </c>
      <c r="B220">
        <v>41631</v>
      </c>
      <c r="C220" t="str">
        <f t="shared" si="18"/>
        <v>2013</v>
      </c>
      <c r="D220" t="s">
        <v>869</v>
      </c>
      <c r="E220" t="s">
        <v>393</v>
      </c>
      <c r="F220" t="s">
        <v>257</v>
      </c>
      <c r="G220" t="s">
        <v>258</v>
      </c>
      <c r="H220" t="s">
        <v>293</v>
      </c>
      <c r="I220" t="s">
        <v>342</v>
      </c>
      <c r="J220" t="s">
        <v>261</v>
      </c>
      <c r="K220" t="s">
        <v>377</v>
      </c>
      <c r="L220" t="s">
        <v>268</v>
      </c>
      <c r="M220" t="s">
        <v>246</v>
      </c>
      <c r="N220" t="s">
        <v>247</v>
      </c>
      <c r="O220">
        <v>41633</v>
      </c>
      <c r="P220">
        <v>39.64</v>
      </c>
      <c r="Q220">
        <v>152.47999999999999</v>
      </c>
      <c r="R220">
        <f t="shared" si="19"/>
        <v>112.83999999999999</v>
      </c>
      <c r="S220">
        <v>41</v>
      </c>
      <c r="T220">
        <f t="shared" si="20"/>
        <v>6251.6799999999994</v>
      </c>
      <c r="U220">
        <v>7.0000000000000007E-2</v>
      </c>
      <c r="V220">
        <f t="shared" si="21"/>
        <v>437.61759999999998</v>
      </c>
      <c r="W220">
        <f t="shared" si="22"/>
        <v>5814.0623999999998</v>
      </c>
      <c r="X220">
        <v>6.5</v>
      </c>
      <c r="Y220">
        <f t="shared" si="23"/>
        <v>5820.5623999999998</v>
      </c>
    </row>
    <row r="221" spans="1:25" x14ac:dyDescent="0.25">
      <c r="A221" t="s">
        <v>870</v>
      </c>
      <c r="B221">
        <v>41631</v>
      </c>
      <c r="C221" t="str">
        <f t="shared" si="18"/>
        <v>2013</v>
      </c>
      <c r="D221" t="s">
        <v>871</v>
      </c>
      <c r="E221" t="s">
        <v>303</v>
      </c>
      <c r="F221" t="s">
        <v>239</v>
      </c>
      <c r="G221" t="s">
        <v>240</v>
      </c>
      <c r="H221" t="s">
        <v>241</v>
      </c>
      <c r="I221" t="s">
        <v>251</v>
      </c>
      <c r="J221" t="s">
        <v>304</v>
      </c>
      <c r="K221" t="s">
        <v>872</v>
      </c>
      <c r="L221" t="s">
        <v>245</v>
      </c>
      <c r="M221" t="s">
        <v>246</v>
      </c>
      <c r="N221" t="s">
        <v>247</v>
      </c>
      <c r="O221">
        <v>41631</v>
      </c>
      <c r="P221">
        <v>3.14</v>
      </c>
      <c r="Q221">
        <v>4.91</v>
      </c>
      <c r="R221">
        <f t="shared" si="19"/>
        <v>1.77</v>
      </c>
      <c r="S221">
        <v>12</v>
      </c>
      <c r="T221">
        <f t="shared" si="20"/>
        <v>58.92</v>
      </c>
      <c r="U221">
        <v>0.04</v>
      </c>
      <c r="V221">
        <f t="shared" si="21"/>
        <v>2.3568000000000002</v>
      </c>
      <c r="W221">
        <f t="shared" si="22"/>
        <v>56.563200000000002</v>
      </c>
      <c r="X221">
        <v>0.5</v>
      </c>
      <c r="Y221">
        <f t="shared" si="23"/>
        <v>57.063200000000002</v>
      </c>
    </row>
    <row r="222" spans="1:25" x14ac:dyDescent="0.25">
      <c r="A222" t="s">
        <v>873</v>
      </c>
      <c r="B222">
        <v>41635</v>
      </c>
      <c r="C222" t="str">
        <f t="shared" si="18"/>
        <v>2013</v>
      </c>
      <c r="D222" t="s">
        <v>874</v>
      </c>
      <c r="E222" t="s">
        <v>438</v>
      </c>
      <c r="F222" t="s">
        <v>257</v>
      </c>
      <c r="G222" t="s">
        <v>258</v>
      </c>
      <c r="H222" t="s">
        <v>241</v>
      </c>
      <c r="I222" t="s">
        <v>309</v>
      </c>
      <c r="J222" t="s">
        <v>279</v>
      </c>
      <c r="K222" t="s">
        <v>644</v>
      </c>
      <c r="L222" t="s">
        <v>245</v>
      </c>
      <c r="M222" t="s">
        <v>246</v>
      </c>
      <c r="N222" t="s">
        <v>247</v>
      </c>
      <c r="O222">
        <v>41637</v>
      </c>
      <c r="P222">
        <v>18.38</v>
      </c>
      <c r="Q222">
        <v>29.17</v>
      </c>
      <c r="R222">
        <f t="shared" si="19"/>
        <v>10.790000000000003</v>
      </c>
      <c r="S222">
        <v>37</v>
      </c>
      <c r="T222">
        <f t="shared" si="20"/>
        <v>1079.29</v>
      </c>
      <c r="U222">
        <v>0.09</v>
      </c>
      <c r="V222">
        <f t="shared" si="21"/>
        <v>97.136099999999999</v>
      </c>
      <c r="W222">
        <f t="shared" si="22"/>
        <v>982.15390000000002</v>
      </c>
      <c r="X222">
        <v>6.27</v>
      </c>
      <c r="Y222">
        <f t="shared" si="23"/>
        <v>988.4239</v>
      </c>
    </row>
    <row r="223" spans="1:25" x14ac:dyDescent="0.25">
      <c r="A223" t="s">
        <v>875</v>
      </c>
      <c r="B223">
        <v>41637</v>
      </c>
      <c r="C223" t="str">
        <f t="shared" si="18"/>
        <v>2013</v>
      </c>
      <c r="D223" t="s">
        <v>574</v>
      </c>
      <c r="E223" t="s">
        <v>575</v>
      </c>
      <c r="F223" t="s">
        <v>257</v>
      </c>
      <c r="G223" t="s">
        <v>258</v>
      </c>
      <c r="H223" t="s">
        <v>274</v>
      </c>
      <c r="I223" t="s">
        <v>381</v>
      </c>
      <c r="J223" t="s">
        <v>304</v>
      </c>
      <c r="K223" t="s">
        <v>252</v>
      </c>
      <c r="L223" t="s">
        <v>245</v>
      </c>
      <c r="M223" t="s">
        <v>253</v>
      </c>
      <c r="N223" t="s">
        <v>247</v>
      </c>
      <c r="O223">
        <v>41638</v>
      </c>
      <c r="P223">
        <v>2.39</v>
      </c>
      <c r="Q223">
        <v>4.26</v>
      </c>
      <c r="R223">
        <f t="shared" si="19"/>
        <v>1.8699999999999997</v>
      </c>
      <c r="S223">
        <v>26</v>
      </c>
      <c r="T223">
        <f t="shared" si="20"/>
        <v>110.75999999999999</v>
      </c>
      <c r="U223">
        <v>0.1</v>
      </c>
      <c r="V223">
        <f t="shared" si="21"/>
        <v>11.076000000000001</v>
      </c>
      <c r="W223">
        <f t="shared" si="22"/>
        <v>99.683999999999997</v>
      </c>
      <c r="X223">
        <v>1.2</v>
      </c>
      <c r="Y223">
        <f t="shared" si="23"/>
        <v>100.884</v>
      </c>
    </row>
    <row r="224" spans="1:25" x14ac:dyDescent="0.25">
      <c r="A224" t="s">
        <v>876</v>
      </c>
      <c r="B224">
        <v>41637</v>
      </c>
      <c r="C224" t="str">
        <f t="shared" si="18"/>
        <v>2013</v>
      </c>
      <c r="D224" t="s">
        <v>680</v>
      </c>
      <c r="E224" t="s">
        <v>681</v>
      </c>
      <c r="F224" t="s">
        <v>257</v>
      </c>
      <c r="G224" t="s">
        <v>258</v>
      </c>
      <c r="H224" t="s">
        <v>293</v>
      </c>
      <c r="I224" t="s">
        <v>299</v>
      </c>
      <c r="J224" t="s">
        <v>294</v>
      </c>
      <c r="K224" t="s">
        <v>482</v>
      </c>
      <c r="L224" t="s">
        <v>268</v>
      </c>
      <c r="M224" t="s">
        <v>246</v>
      </c>
      <c r="N224" t="s">
        <v>247</v>
      </c>
      <c r="O224">
        <v>41638</v>
      </c>
      <c r="P224">
        <v>60.59</v>
      </c>
      <c r="Q224">
        <v>100.98</v>
      </c>
      <c r="R224">
        <f t="shared" si="19"/>
        <v>40.39</v>
      </c>
      <c r="S224">
        <v>1</v>
      </c>
      <c r="T224">
        <f t="shared" si="20"/>
        <v>100.98</v>
      </c>
      <c r="U224">
        <v>0.1</v>
      </c>
      <c r="V224">
        <f t="shared" si="21"/>
        <v>10.098000000000001</v>
      </c>
      <c r="W224">
        <f t="shared" si="22"/>
        <v>90.882000000000005</v>
      </c>
      <c r="X224">
        <v>7.18</v>
      </c>
      <c r="Y224">
        <f t="shared" si="23"/>
        <v>98.062000000000012</v>
      </c>
    </row>
    <row r="225" spans="1:25" x14ac:dyDescent="0.25">
      <c r="A225" t="s">
        <v>877</v>
      </c>
      <c r="B225">
        <v>41638</v>
      </c>
      <c r="C225" t="str">
        <f t="shared" si="18"/>
        <v>2013</v>
      </c>
      <c r="D225" t="s">
        <v>878</v>
      </c>
      <c r="E225" t="s">
        <v>706</v>
      </c>
      <c r="F225" t="s">
        <v>257</v>
      </c>
      <c r="G225" t="s">
        <v>258</v>
      </c>
      <c r="H225" t="s">
        <v>293</v>
      </c>
      <c r="I225" t="s">
        <v>299</v>
      </c>
      <c r="J225" t="s">
        <v>243</v>
      </c>
      <c r="K225" t="s">
        <v>879</v>
      </c>
      <c r="L225" t="s">
        <v>245</v>
      </c>
      <c r="M225" t="s">
        <v>323</v>
      </c>
      <c r="N225" t="s">
        <v>247</v>
      </c>
      <c r="O225">
        <v>41639</v>
      </c>
      <c r="P225">
        <v>4.0999999999999996</v>
      </c>
      <c r="Q225">
        <v>9.31</v>
      </c>
      <c r="R225">
        <f t="shared" si="19"/>
        <v>5.2100000000000009</v>
      </c>
      <c r="S225">
        <v>18</v>
      </c>
      <c r="T225">
        <f t="shared" si="20"/>
        <v>167.58</v>
      </c>
      <c r="U225">
        <v>0.01</v>
      </c>
      <c r="V225">
        <f t="shared" si="21"/>
        <v>1.6758000000000002</v>
      </c>
      <c r="W225">
        <f t="shared" si="22"/>
        <v>165.9042</v>
      </c>
      <c r="X225">
        <v>3.98</v>
      </c>
      <c r="Y225">
        <f t="shared" si="23"/>
        <v>169.88419999999999</v>
      </c>
    </row>
    <row r="226" spans="1:25" x14ac:dyDescent="0.25">
      <c r="A226" t="s">
        <v>880</v>
      </c>
      <c r="B226">
        <v>41638</v>
      </c>
      <c r="C226" t="str">
        <f t="shared" si="18"/>
        <v>2013</v>
      </c>
      <c r="D226" t="s">
        <v>844</v>
      </c>
      <c r="E226" t="s">
        <v>528</v>
      </c>
      <c r="F226" t="s">
        <v>239</v>
      </c>
      <c r="G226" t="s">
        <v>240</v>
      </c>
      <c r="H226" t="s">
        <v>293</v>
      </c>
      <c r="I226" t="s">
        <v>251</v>
      </c>
      <c r="J226" t="s">
        <v>279</v>
      </c>
      <c r="K226" t="s">
        <v>443</v>
      </c>
      <c r="L226" t="s">
        <v>245</v>
      </c>
      <c r="M226" t="s">
        <v>246</v>
      </c>
      <c r="N226" t="s">
        <v>247</v>
      </c>
      <c r="O226">
        <v>41638</v>
      </c>
      <c r="P226">
        <v>13.64</v>
      </c>
      <c r="Q226">
        <v>20.98</v>
      </c>
      <c r="R226">
        <f t="shared" si="19"/>
        <v>7.34</v>
      </c>
      <c r="S226">
        <v>23</v>
      </c>
      <c r="T226">
        <f t="shared" si="20"/>
        <v>482.54</v>
      </c>
      <c r="U226">
        <v>0.03</v>
      </c>
      <c r="V226">
        <f t="shared" si="21"/>
        <v>14.4762</v>
      </c>
      <c r="W226">
        <f t="shared" si="22"/>
        <v>468.06380000000001</v>
      </c>
      <c r="X226">
        <v>1.49</v>
      </c>
      <c r="Y226">
        <f t="shared" si="23"/>
        <v>469.55380000000002</v>
      </c>
    </row>
    <row r="227" spans="1:25" x14ac:dyDescent="0.25">
      <c r="A227" t="s">
        <v>881</v>
      </c>
      <c r="B227">
        <v>41643</v>
      </c>
      <c r="C227" t="str">
        <f t="shared" si="18"/>
        <v>2014</v>
      </c>
      <c r="D227" t="s">
        <v>882</v>
      </c>
      <c r="E227" t="s">
        <v>816</v>
      </c>
      <c r="F227" t="s">
        <v>257</v>
      </c>
      <c r="G227" t="s">
        <v>258</v>
      </c>
      <c r="H227" t="s">
        <v>274</v>
      </c>
      <c r="I227" t="s">
        <v>492</v>
      </c>
      <c r="J227" t="s">
        <v>261</v>
      </c>
      <c r="K227" t="s">
        <v>244</v>
      </c>
      <c r="L227" t="s">
        <v>245</v>
      </c>
      <c r="M227" t="s">
        <v>246</v>
      </c>
      <c r="N227" t="s">
        <v>247</v>
      </c>
      <c r="O227">
        <v>41645</v>
      </c>
      <c r="P227">
        <v>3.52</v>
      </c>
      <c r="Q227">
        <v>5.58</v>
      </c>
      <c r="R227">
        <f t="shared" si="19"/>
        <v>2.06</v>
      </c>
      <c r="S227">
        <v>49</v>
      </c>
      <c r="T227">
        <f t="shared" si="20"/>
        <v>273.42</v>
      </c>
      <c r="U227">
        <v>0.02</v>
      </c>
      <c r="V227">
        <f t="shared" si="21"/>
        <v>5.4684000000000008</v>
      </c>
      <c r="W227">
        <f t="shared" si="22"/>
        <v>267.95160000000004</v>
      </c>
      <c r="X227">
        <v>2.99</v>
      </c>
      <c r="Y227">
        <f t="shared" si="23"/>
        <v>270.94160000000005</v>
      </c>
    </row>
    <row r="228" spans="1:25" x14ac:dyDescent="0.25">
      <c r="A228" t="s">
        <v>883</v>
      </c>
      <c r="B228">
        <v>41643</v>
      </c>
      <c r="C228" t="str">
        <f t="shared" si="18"/>
        <v>2014</v>
      </c>
      <c r="D228" t="s">
        <v>882</v>
      </c>
      <c r="E228" t="s">
        <v>816</v>
      </c>
      <c r="F228" t="s">
        <v>257</v>
      </c>
      <c r="G228" t="s">
        <v>258</v>
      </c>
      <c r="H228" t="s">
        <v>274</v>
      </c>
      <c r="I228" t="s">
        <v>492</v>
      </c>
      <c r="J228" t="s">
        <v>261</v>
      </c>
      <c r="K228" t="s">
        <v>736</v>
      </c>
      <c r="L228" t="s">
        <v>245</v>
      </c>
      <c r="M228" t="s">
        <v>246</v>
      </c>
      <c r="N228" t="s">
        <v>247</v>
      </c>
      <c r="O228">
        <v>41644</v>
      </c>
      <c r="P228">
        <v>22.18</v>
      </c>
      <c r="Q228">
        <v>54.1</v>
      </c>
      <c r="R228">
        <f t="shared" si="19"/>
        <v>31.92</v>
      </c>
      <c r="S228">
        <v>42</v>
      </c>
      <c r="T228">
        <f t="shared" si="20"/>
        <v>2272.2000000000003</v>
      </c>
      <c r="U228">
        <v>0.02</v>
      </c>
      <c r="V228">
        <f t="shared" si="21"/>
        <v>45.44400000000001</v>
      </c>
      <c r="W228">
        <f t="shared" si="22"/>
        <v>2226.7560000000003</v>
      </c>
      <c r="X228">
        <v>19.989999999999998</v>
      </c>
      <c r="Y228">
        <f t="shared" si="23"/>
        <v>2246.7460000000001</v>
      </c>
    </row>
    <row r="229" spans="1:25" x14ac:dyDescent="0.25">
      <c r="A229" t="s">
        <v>884</v>
      </c>
      <c r="B229">
        <v>41646</v>
      </c>
      <c r="C229" t="str">
        <f t="shared" si="18"/>
        <v>2014</v>
      </c>
      <c r="D229" t="s">
        <v>885</v>
      </c>
      <c r="E229" t="s">
        <v>463</v>
      </c>
      <c r="F229" t="s">
        <v>257</v>
      </c>
      <c r="G229" t="s">
        <v>258</v>
      </c>
      <c r="H229" t="s">
        <v>241</v>
      </c>
      <c r="I229" t="s">
        <v>333</v>
      </c>
      <c r="J229" t="s">
        <v>243</v>
      </c>
      <c r="K229" t="s">
        <v>659</v>
      </c>
      <c r="L229" t="s">
        <v>245</v>
      </c>
      <c r="M229" t="s">
        <v>246</v>
      </c>
      <c r="N229" t="s">
        <v>247</v>
      </c>
      <c r="O229">
        <v>41646</v>
      </c>
      <c r="P229">
        <v>67.73</v>
      </c>
      <c r="Q229">
        <v>165.2</v>
      </c>
      <c r="R229">
        <f t="shared" si="19"/>
        <v>97.469999999999985</v>
      </c>
      <c r="S229">
        <v>49</v>
      </c>
      <c r="T229">
        <f t="shared" si="20"/>
        <v>8094.7999999999993</v>
      </c>
      <c r="U229">
        <v>0.05</v>
      </c>
      <c r="V229">
        <f t="shared" si="21"/>
        <v>404.74</v>
      </c>
      <c r="W229">
        <f t="shared" si="22"/>
        <v>7690.0599999999995</v>
      </c>
      <c r="X229">
        <v>19.989999999999998</v>
      </c>
      <c r="Y229">
        <f t="shared" si="23"/>
        <v>7710.0499999999993</v>
      </c>
    </row>
    <row r="230" spans="1:25" x14ac:dyDescent="0.25">
      <c r="A230" t="s">
        <v>886</v>
      </c>
      <c r="B230">
        <v>41646</v>
      </c>
      <c r="C230" t="str">
        <f t="shared" si="18"/>
        <v>2014</v>
      </c>
      <c r="D230" t="s">
        <v>887</v>
      </c>
      <c r="E230" t="s">
        <v>491</v>
      </c>
      <c r="F230" t="s">
        <v>257</v>
      </c>
      <c r="G230" t="s">
        <v>258</v>
      </c>
      <c r="H230" t="s">
        <v>241</v>
      </c>
      <c r="I230" t="s">
        <v>492</v>
      </c>
      <c r="J230" t="s">
        <v>304</v>
      </c>
      <c r="K230" t="s">
        <v>888</v>
      </c>
      <c r="L230" t="s">
        <v>245</v>
      </c>
      <c r="M230" t="s">
        <v>253</v>
      </c>
      <c r="N230" t="s">
        <v>247</v>
      </c>
      <c r="O230">
        <v>41647</v>
      </c>
      <c r="P230">
        <v>2.31</v>
      </c>
      <c r="Q230">
        <v>3.78</v>
      </c>
      <c r="R230">
        <f t="shared" si="19"/>
        <v>1.4699999999999998</v>
      </c>
      <c r="S230">
        <v>47</v>
      </c>
      <c r="T230">
        <f t="shared" si="20"/>
        <v>177.66</v>
      </c>
      <c r="U230">
        <v>0.02</v>
      </c>
      <c r="V230">
        <f t="shared" si="21"/>
        <v>3.5531999999999999</v>
      </c>
      <c r="W230">
        <f t="shared" si="22"/>
        <v>174.10679999999999</v>
      </c>
      <c r="X230">
        <v>0.71</v>
      </c>
      <c r="Y230">
        <f t="shared" si="23"/>
        <v>174.8168</v>
      </c>
    </row>
    <row r="231" spans="1:25" x14ac:dyDescent="0.25">
      <c r="A231" t="s">
        <v>889</v>
      </c>
      <c r="B231">
        <v>41647</v>
      </c>
      <c r="C231" t="str">
        <f t="shared" si="18"/>
        <v>2014</v>
      </c>
      <c r="D231" t="s">
        <v>890</v>
      </c>
      <c r="E231" t="s">
        <v>380</v>
      </c>
      <c r="F231" t="s">
        <v>257</v>
      </c>
      <c r="G231" t="s">
        <v>258</v>
      </c>
      <c r="H231" t="s">
        <v>293</v>
      </c>
      <c r="I231" t="s">
        <v>381</v>
      </c>
      <c r="J231" t="s">
        <v>279</v>
      </c>
      <c r="K231" t="s">
        <v>421</v>
      </c>
      <c r="L231" t="s">
        <v>245</v>
      </c>
      <c r="M231" t="s">
        <v>246</v>
      </c>
      <c r="N231" t="s">
        <v>247</v>
      </c>
      <c r="O231">
        <v>41654</v>
      </c>
      <c r="P231">
        <v>13.88</v>
      </c>
      <c r="Q231">
        <v>22.38</v>
      </c>
      <c r="R231">
        <f t="shared" si="19"/>
        <v>8.4999999999999982</v>
      </c>
      <c r="S231">
        <v>21</v>
      </c>
      <c r="T231">
        <f t="shared" si="20"/>
        <v>469.97999999999996</v>
      </c>
      <c r="U231">
        <v>0.04</v>
      </c>
      <c r="V231">
        <f t="shared" si="21"/>
        <v>18.799199999999999</v>
      </c>
      <c r="W231">
        <f t="shared" si="22"/>
        <v>451.18079999999998</v>
      </c>
      <c r="X231">
        <v>15.1</v>
      </c>
      <c r="Y231">
        <f t="shared" si="23"/>
        <v>466.2808</v>
      </c>
    </row>
    <row r="232" spans="1:25" x14ac:dyDescent="0.25">
      <c r="A232" t="s">
        <v>891</v>
      </c>
      <c r="B232">
        <v>41647</v>
      </c>
      <c r="C232" t="str">
        <f t="shared" si="18"/>
        <v>2014</v>
      </c>
      <c r="D232" t="s">
        <v>315</v>
      </c>
      <c r="E232" t="s">
        <v>316</v>
      </c>
      <c r="F232" t="s">
        <v>239</v>
      </c>
      <c r="G232" t="s">
        <v>240</v>
      </c>
      <c r="H232" t="s">
        <v>259</v>
      </c>
      <c r="I232" t="s">
        <v>242</v>
      </c>
      <c r="J232" t="s">
        <v>279</v>
      </c>
      <c r="K232" t="s">
        <v>334</v>
      </c>
      <c r="L232" t="s">
        <v>245</v>
      </c>
      <c r="M232" t="s">
        <v>253</v>
      </c>
      <c r="N232" t="s">
        <v>247</v>
      </c>
      <c r="O232">
        <v>41651</v>
      </c>
      <c r="P232">
        <v>1.3</v>
      </c>
      <c r="Q232">
        <v>2.88</v>
      </c>
      <c r="R232">
        <f t="shared" si="19"/>
        <v>1.5799999999999998</v>
      </c>
      <c r="S232">
        <v>46</v>
      </c>
      <c r="T232">
        <f t="shared" si="20"/>
        <v>132.47999999999999</v>
      </c>
      <c r="U232">
        <v>0.04</v>
      </c>
      <c r="V232">
        <f t="shared" si="21"/>
        <v>5.2991999999999999</v>
      </c>
      <c r="W232">
        <f t="shared" si="22"/>
        <v>127.18079999999999</v>
      </c>
      <c r="X232">
        <v>1.01</v>
      </c>
      <c r="Y232">
        <f t="shared" si="23"/>
        <v>128.1908</v>
      </c>
    </row>
    <row r="233" spans="1:25" x14ac:dyDescent="0.25">
      <c r="A233" t="s">
        <v>892</v>
      </c>
      <c r="B233">
        <v>41649</v>
      </c>
      <c r="C233" t="str">
        <f t="shared" si="18"/>
        <v>2014</v>
      </c>
      <c r="D233" t="s">
        <v>893</v>
      </c>
      <c r="E233" t="s">
        <v>507</v>
      </c>
      <c r="F233" t="s">
        <v>257</v>
      </c>
      <c r="G233" t="s">
        <v>258</v>
      </c>
      <c r="H233" t="s">
        <v>241</v>
      </c>
      <c r="I233" t="s">
        <v>342</v>
      </c>
      <c r="J233" t="s">
        <v>304</v>
      </c>
      <c r="K233" t="s">
        <v>533</v>
      </c>
      <c r="L233" t="s">
        <v>245</v>
      </c>
      <c r="M233" t="s">
        <v>246</v>
      </c>
      <c r="N233" t="s">
        <v>263</v>
      </c>
      <c r="O233">
        <v>41649</v>
      </c>
      <c r="P233">
        <v>3.4</v>
      </c>
      <c r="Q233">
        <v>5.4</v>
      </c>
      <c r="R233">
        <f t="shared" si="19"/>
        <v>2.0000000000000004</v>
      </c>
      <c r="S233">
        <v>9</v>
      </c>
      <c r="T233">
        <f t="shared" si="20"/>
        <v>48.6</v>
      </c>
      <c r="U233">
        <v>0.09</v>
      </c>
      <c r="V233">
        <f t="shared" si="21"/>
        <v>4.3739999999999997</v>
      </c>
      <c r="W233">
        <f t="shared" si="22"/>
        <v>44.225999999999999</v>
      </c>
      <c r="X233">
        <v>7.78</v>
      </c>
      <c r="Y233">
        <f t="shared" si="23"/>
        <v>52.006</v>
      </c>
    </row>
    <row r="234" spans="1:25" x14ac:dyDescent="0.25">
      <c r="A234" t="s">
        <v>894</v>
      </c>
      <c r="B234">
        <v>41649</v>
      </c>
      <c r="C234" t="str">
        <f t="shared" si="18"/>
        <v>2014</v>
      </c>
      <c r="D234" t="s">
        <v>893</v>
      </c>
      <c r="E234" t="s">
        <v>507</v>
      </c>
      <c r="F234" t="s">
        <v>257</v>
      </c>
      <c r="G234" t="s">
        <v>258</v>
      </c>
      <c r="H234" t="s">
        <v>241</v>
      </c>
      <c r="I234" t="s">
        <v>342</v>
      </c>
      <c r="J234" t="s">
        <v>304</v>
      </c>
      <c r="K234" t="s">
        <v>353</v>
      </c>
      <c r="L234" t="s">
        <v>245</v>
      </c>
      <c r="M234" t="s">
        <v>323</v>
      </c>
      <c r="N234" t="s">
        <v>247</v>
      </c>
      <c r="O234">
        <v>41650</v>
      </c>
      <c r="P234">
        <v>0.94</v>
      </c>
      <c r="Q234">
        <v>2.08</v>
      </c>
      <c r="R234">
        <f t="shared" si="19"/>
        <v>1.1400000000000001</v>
      </c>
      <c r="S234">
        <v>43</v>
      </c>
      <c r="T234">
        <f t="shared" si="20"/>
        <v>89.44</v>
      </c>
      <c r="U234">
        <v>0.05</v>
      </c>
      <c r="V234">
        <f t="shared" si="21"/>
        <v>4.4720000000000004</v>
      </c>
      <c r="W234">
        <f t="shared" si="22"/>
        <v>84.968000000000004</v>
      </c>
      <c r="X234">
        <v>2.56</v>
      </c>
      <c r="Y234">
        <f t="shared" si="23"/>
        <v>87.528000000000006</v>
      </c>
    </row>
    <row r="235" spans="1:25" x14ac:dyDescent="0.25">
      <c r="A235" t="s">
        <v>895</v>
      </c>
      <c r="B235">
        <v>41649</v>
      </c>
      <c r="C235" t="str">
        <f t="shared" si="18"/>
        <v>2014</v>
      </c>
      <c r="D235" t="s">
        <v>616</v>
      </c>
      <c r="E235" t="s">
        <v>522</v>
      </c>
      <c r="F235" t="s">
        <v>239</v>
      </c>
      <c r="G235" t="s">
        <v>240</v>
      </c>
      <c r="H235" t="s">
        <v>293</v>
      </c>
      <c r="I235" t="s">
        <v>251</v>
      </c>
      <c r="J235" t="s">
        <v>294</v>
      </c>
      <c r="K235" t="s">
        <v>668</v>
      </c>
      <c r="L235" t="s">
        <v>440</v>
      </c>
      <c r="M235" t="s">
        <v>647</v>
      </c>
      <c r="N235" t="s">
        <v>263</v>
      </c>
      <c r="O235">
        <v>41650</v>
      </c>
      <c r="P235">
        <v>56.16</v>
      </c>
      <c r="Q235">
        <v>136.97999999999999</v>
      </c>
      <c r="R235">
        <f t="shared" si="19"/>
        <v>80.819999999999993</v>
      </c>
      <c r="S235">
        <v>18</v>
      </c>
      <c r="T235">
        <f t="shared" si="20"/>
        <v>2465.64</v>
      </c>
      <c r="U235">
        <v>0.02</v>
      </c>
      <c r="V235">
        <f t="shared" si="21"/>
        <v>49.312799999999996</v>
      </c>
      <c r="W235">
        <f t="shared" si="22"/>
        <v>2416.3271999999997</v>
      </c>
      <c r="X235">
        <v>24.49</v>
      </c>
      <c r="Y235">
        <f t="shared" si="23"/>
        <v>2440.8171999999995</v>
      </c>
    </row>
    <row r="236" spans="1:25" x14ac:dyDescent="0.25">
      <c r="A236" t="s">
        <v>896</v>
      </c>
      <c r="B236">
        <v>41652</v>
      </c>
      <c r="C236" t="str">
        <f t="shared" si="18"/>
        <v>2014</v>
      </c>
      <c r="D236" t="s">
        <v>897</v>
      </c>
      <c r="E236" t="s">
        <v>898</v>
      </c>
      <c r="F236" t="s">
        <v>239</v>
      </c>
      <c r="G236" t="s">
        <v>240</v>
      </c>
      <c r="H236" t="s">
        <v>241</v>
      </c>
      <c r="I236" t="s">
        <v>251</v>
      </c>
      <c r="J236" t="s">
        <v>279</v>
      </c>
      <c r="K236" t="s">
        <v>567</v>
      </c>
      <c r="L236" t="s">
        <v>245</v>
      </c>
      <c r="M236" t="s">
        <v>246</v>
      </c>
      <c r="N236" t="s">
        <v>247</v>
      </c>
      <c r="O236">
        <v>41657</v>
      </c>
      <c r="P236">
        <v>21.56</v>
      </c>
      <c r="Q236">
        <v>35.94</v>
      </c>
      <c r="R236">
        <f t="shared" si="19"/>
        <v>14.379999999999999</v>
      </c>
      <c r="S236">
        <v>13</v>
      </c>
      <c r="T236">
        <f t="shared" si="20"/>
        <v>467.21999999999997</v>
      </c>
      <c r="U236">
        <v>0.09</v>
      </c>
      <c r="V236">
        <f t="shared" si="21"/>
        <v>42.049799999999998</v>
      </c>
      <c r="W236">
        <f t="shared" si="22"/>
        <v>425.17019999999997</v>
      </c>
      <c r="X236">
        <v>6.66</v>
      </c>
      <c r="Y236">
        <f t="shared" si="23"/>
        <v>431.83019999999999</v>
      </c>
    </row>
    <row r="237" spans="1:25" x14ac:dyDescent="0.25">
      <c r="A237" t="s">
        <v>899</v>
      </c>
      <c r="B237">
        <v>41653</v>
      </c>
      <c r="C237" t="str">
        <f t="shared" si="18"/>
        <v>2014</v>
      </c>
      <c r="D237" t="s">
        <v>900</v>
      </c>
      <c r="E237" t="s">
        <v>901</v>
      </c>
      <c r="F237" t="s">
        <v>257</v>
      </c>
      <c r="G237" t="s">
        <v>258</v>
      </c>
      <c r="H237" t="s">
        <v>274</v>
      </c>
      <c r="I237" t="s">
        <v>260</v>
      </c>
      <c r="J237" t="s">
        <v>294</v>
      </c>
      <c r="K237" t="s">
        <v>533</v>
      </c>
      <c r="L237" t="s">
        <v>245</v>
      </c>
      <c r="M237" t="s">
        <v>246</v>
      </c>
      <c r="N237" t="s">
        <v>263</v>
      </c>
      <c r="O237">
        <v>41655</v>
      </c>
      <c r="P237">
        <v>3.4</v>
      </c>
      <c r="Q237">
        <v>5.4</v>
      </c>
      <c r="R237">
        <f t="shared" si="19"/>
        <v>2.0000000000000004</v>
      </c>
      <c r="S237">
        <v>14</v>
      </c>
      <c r="T237">
        <f t="shared" si="20"/>
        <v>75.600000000000009</v>
      </c>
      <c r="U237">
        <v>0.09</v>
      </c>
      <c r="V237">
        <f t="shared" si="21"/>
        <v>6.8040000000000003</v>
      </c>
      <c r="W237">
        <f t="shared" si="22"/>
        <v>68.796000000000006</v>
      </c>
      <c r="X237">
        <v>7.78</v>
      </c>
      <c r="Y237">
        <f t="shared" si="23"/>
        <v>76.576000000000008</v>
      </c>
    </row>
    <row r="238" spans="1:25" x14ac:dyDescent="0.25">
      <c r="A238" t="s">
        <v>902</v>
      </c>
      <c r="B238">
        <v>41653</v>
      </c>
      <c r="C238" t="str">
        <f t="shared" si="18"/>
        <v>2014</v>
      </c>
      <c r="D238" t="s">
        <v>722</v>
      </c>
      <c r="E238" t="s">
        <v>256</v>
      </c>
      <c r="F238" t="s">
        <v>257</v>
      </c>
      <c r="G238" t="s">
        <v>258</v>
      </c>
      <c r="H238" t="s">
        <v>241</v>
      </c>
      <c r="I238" t="s">
        <v>260</v>
      </c>
      <c r="J238" t="s">
        <v>294</v>
      </c>
      <c r="K238" t="s">
        <v>614</v>
      </c>
      <c r="L238" t="s">
        <v>245</v>
      </c>
      <c r="M238" t="s">
        <v>253</v>
      </c>
      <c r="N238" t="s">
        <v>247</v>
      </c>
      <c r="O238">
        <v>41656</v>
      </c>
      <c r="P238">
        <v>1.95</v>
      </c>
      <c r="Q238">
        <v>3.98</v>
      </c>
      <c r="R238">
        <f t="shared" si="19"/>
        <v>2.0300000000000002</v>
      </c>
      <c r="S238">
        <v>41</v>
      </c>
      <c r="T238">
        <f t="shared" si="20"/>
        <v>163.18</v>
      </c>
      <c r="U238">
        <v>7.0000000000000007E-2</v>
      </c>
      <c r="V238">
        <f t="shared" si="21"/>
        <v>11.422600000000001</v>
      </c>
      <c r="W238">
        <f t="shared" si="22"/>
        <v>151.75740000000002</v>
      </c>
      <c r="X238">
        <v>0.83</v>
      </c>
      <c r="Y238">
        <f t="shared" si="23"/>
        <v>152.58740000000003</v>
      </c>
    </row>
    <row r="239" spans="1:25" x14ac:dyDescent="0.25">
      <c r="A239" t="s">
        <v>903</v>
      </c>
      <c r="B239">
        <v>41654</v>
      </c>
      <c r="C239" t="str">
        <f t="shared" si="18"/>
        <v>2014</v>
      </c>
      <c r="D239" t="s">
        <v>535</v>
      </c>
      <c r="E239" t="s">
        <v>536</v>
      </c>
      <c r="F239" t="s">
        <v>448</v>
      </c>
      <c r="G239" t="s">
        <v>449</v>
      </c>
      <c r="H239" t="s">
        <v>259</v>
      </c>
      <c r="I239" t="s">
        <v>333</v>
      </c>
      <c r="J239" t="s">
        <v>304</v>
      </c>
      <c r="K239" t="s">
        <v>676</v>
      </c>
      <c r="L239" t="s">
        <v>245</v>
      </c>
      <c r="M239" t="s">
        <v>323</v>
      </c>
      <c r="N239" t="s">
        <v>263</v>
      </c>
      <c r="O239">
        <v>41656</v>
      </c>
      <c r="P239">
        <v>5.19</v>
      </c>
      <c r="Q239">
        <v>12.98</v>
      </c>
      <c r="R239">
        <f t="shared" si="19"/>
        <v>7.79</v>
      </c>
      <c r="S239">
        <v>34</v>
      </c>
      <c r="T239">
        <f t="shared" si="20"/>
        <v>441.32</v>
      </c>
      <c r="U239">
        <v>0.04</v>
      </c>
      <c r="V239">
        <f t="shared" si="21"/>
        <v>17.652799999999999</v>
      </c>
      <c r="W239">
        <f t="shared" si="22"/>
        <v>423.66719999999998</v>
      </c>
      <c r="X239">
        <v>3.14</v>
      </c>
      <c r="Y239">
        <f t="shared" si="23"/>
        <v>426.80719999999997</v>
      </c>
    </row>
    <row r="240" spans="1:25" x14ac:dyDescent="0.25">
      <c r="A240" t="s">
        <v>904</v>
      </c>
      <c r="B240">
        <v>41654</v>
      </c>
      <c r="C240" t="str">
        <f t="shared" si="18"/>
        <v>2014</v>
      </c>
      <c r="D240" t="s">
        <v>905</v>
      </c>
      <c r="E240" t="s">
        <v>500</v>
      </c>
      <c r="F240" t="s">
        <v>257</v>
      </c>
      <c r="G240" t="s">
        <v>258</v>
      </c>
      <c r="H240" t="s">
        <v>241</v>
      </c>
      <c r="I240" t="s">
        <v>275</v>
      </c>
      <c r="J240" t="s">
        <v>304</v>
      </c>
      <c r="K240" t="s">
        <v>906</v>
      </c>
      <c r="L240" t="s">
        <v>268</v>
      </c>
      <c r="M240" t="s">
        <v>269</v>
      </c>
      <c r="N240" t="s">
        <v>270</v>
      </c>
      <c r="O240">
        <v>41656</v>
      </c>
      <c r="P240">
        <v>219.61</v>
      </c>
      <c r="Q240">
        <v>535.64</v>
      </c>
      <c r="R240">
        <f t="shared" si="19"/>
        <v>316.02999999999997</v>
      </c>
      <c r="S240">
        <v>1</v>
      </c>
      <c r="T240">
        <f t="shared" si="20"/>
        <v>535.64</v>
      </c>
      <c r="U240">
        <v>0.05</v>
      </c>
      <c r="V240">
        <f t="shared" si="21"/>
        <v>26.782</v>
      </c>
      <c r="W240">
        <f t="shared" si="22"/>
        <v>508.858</v>
      </c>
      <c r="X240">
        <v>14.7</v>
      </c>
      <c r="Y240">
        <f t="shared" si="23"/>
        <v>523.55799999999999</v>
      </c>
    </row>
    <row r="241" spans="1:25" x14ac:dyDescent="0.25">
      <c r="A241" t="s">
        <v>907</v>
      </c>
      <c r="B241">
        <v>41656</v>
      </c>
      <c r="C241" t="str">
        <f t="shared" si="18"/>
        <v>2014</v>
      </c>
      <c r="D241" t="s">
        <v>908</v>
      </c>
      <c r="E241" t="s">
        <v>909</v>
      </c>
      <c r="F241" t="s">
        <v>448</v>
      </c>
      <c r="G241" t="s">
        <v>449</v>
      </c>
      <c r="H241" t="s">
        <v>241</v>
      </c>
      <c r="I241" t="s">
        <v>333</v>
      </c>
      <c r="J241" t="s">
        <v>261</v>
      </c>
      <c r="K241" t="s">
        <v>460</v>
      </c>
      <c r="L241" t="s">
        <v>245</v>
      </c>
      <c r="M241" t="s">
        <v>246</v>
      </c>
      <c r="N241" t="s">
        <v>247</v>
      </c>
      <c r="O241">
        <v>41658</v>
      </c>
      <c r="P241">
        <v>3.84</v>
      </c>
      <c r="Q241">
        <v>6.3</v>
      </c>
      <c r="R241">
        <f t="shared" si="19"/>
        <v>2.46</v>
      </c>
      <c r="S241">
        <v>32</v>
      </c>
      <c r="T241">
        <f t="shared" si="20"/>
        <v>201.6</v>
      </c>
      <c r="U241">
        <v>0.04</v>
      </c>
      <c r="V241">
        <f t="shared" si="21"/>
        <v>8.0640000000000001</v>
      </c>
      <c r="W241">
        <f t="shared" si="22"/>
        <v>193.536</v>
      </c>
      <c r="X241">
        <v>0.5</v>
      </c>
      <c r="Y241">
        <f t="shared" si="23"/>
        <v>194.036</v>
      </c>
    </row>
    <row r="242" spans="1:25" x14ac:dyDescent="0.25">
      <c r="A242" t="s">
        <v>910</v>
      </c>
      <c r="B242">
        <v>41662</v>
      </c>
      <c r="C242" t="str">
        <f t="shared" si="18"/>
        <v>2014</v>
      </c>
      <c r="D242" t="s">
        <v>911</v>
      </c>
      <c r="E242" t="s">
        <v>912</v>
      </c>
      <c r="F242" t="s">
        <v>257</v>
      </c>
      <c r="G242" t="s">
        <v>258</v>
      </c>
      <c r="H242" t="s">
        <v>241</v>
      </c>
      <c r="I242" t="s">
        <v>372</v>
      </c>
      <c r="J242" t="s">
        <v>294</v>
      </c>
      <c r="K242" t="s">
        <v>656</v>
      </c>
      <c r="L242" t="s">
        <v>245</v>
      </c>
      <c r="M242" t="s">
        <v>253</v>
      </c>
      <c r="N242" t="s">
        <v>247</v>
      </c>
      <c r="O242">
        <v>41664</v>
      </c>
      <c r="P242">
        <v>0.93</v>
      </c>
      <c r="Q242">
        <v>1.48</v>
      </c>
      <c r="R242">
        <f t="shared" si="19"/>
        <v>0.54999999999999993</v>
      </c>
      <c r="S242">
        <v>27</v>
      </c>
      <c r="T242">
        <f t="shared" si="20"/>
        <v>39.96</v>
      </c>
      <c r="U242">
        <v>0</v>
      </c>
      <c r="V242">
        <f t="shared" si="21"/>
        <v>0</v>
      </c>
      <c r="W242">
        <f t="shared" si="22"/>
        <v>39.96</v>
      </c>
      <c r="X242">
        <v>0.7</v>
      </c>
      <c r="Y242">
        <f t="shared" si="23"/>
        <v>40.660000000000004</v>
      </c>
    </row>
    <row r="243" spans="1:25" x14ac:dyDescent="0.25">
      <c r="A243" t="s">
        <v>913</v>
      </c>
      <c r="B243">
        <v>41663</v>
      </c>
      <c r="C243" t="str">
        <f t="shared" si="18"/>
        <v>2014</v>
      </c>
      <c r="D243" t="s">
        <v>914</v>
      </c>
      <c r="E243" t="s">
        <v>428</v>
      </c>
      <c r="F243" t="s">
        <v>257</v>
      </c>
      <c r="G243" t="s">
        <v>258</v>
      </c>
      <c r="H243" t="s">
        <v>259</v>
      </c>
      <c r="I243" t="s">
        <v>333</v>
      </c>
      <c r="J243" t="s">
        <v>243</v>
      </c>
      <c r="K243" t="s">
        <v>621</v>
      </c>
      <c r="L243" t="s">
        <v>268</v>
      </c>
      <c r="M243" t="s">
        <v>269</v>
      </c>
      <c r="N243" t="s">
        <v>270</v>
      </c>
      <c r="O243">
        <v>41665</v>
      </c>
      <c r="P243">
        <v>76.790000000000006</v>
      </c>
      <c r="Q243">
        <v>119.99</v>
      </c>
      <c r="R243">
        <f t="shared" si="19"/>
        <v>43.199999999999989</v>
      </c>
      <c r="S243">
        <v>13</v>
      </c>
      <c r="T243">
        <f t="shared" si="20"/>
        <v>1559.87</v>
      </c>
      <c r="U243">
        <v>0.04</v>
      </c>
      <c r="V243">
        <f t="shared" si="21"/>
        <v>62.394799999999996</v>
      </c>
      <c r="W243">
        <f t="shared" si="22"/>
        <v>1497.4751999999999</v>
      </c>
      <c r="X243">
        <v>14</v>
      </c>
      <c r="Y243">
        <f t="shared" si="23"/>
        <v>1511.4751999999999</v>
      </c>
    </row>
    <row r="244" spans="1:25" x14ac:dyDescent="0.25">
      <c r="A244" t="s">
        <v>915</v>
      </c>
      <c r="B244">
        <v>41664</v>
      </c>
      <c r="C244" t="str">
        <f t="shared" si="18"/>
        <v>2014</v>
      </c>
      <c r="D244" t="s">
        <v>916</v>
      </c>
      <c r="E244" t="s">
        <v>727</v>
      </c>
      <c r="F244" t="s">
        <v>257</v>
      </c>
      <c r="G244" t="s">
        <v>258</v>
      </c>
      <c r="H244" t="s">
        <v>241</v>
      </c>
      <c r="I244" t="s">
        <v>333</v>
      </c>
      <c r="J244" t="s">
        <v>304</v>
      </c>
      <c r="K244" t="s">
        <v>280</v>
      </c>
      <c r="L244" t="s">
        <v>245</v>
      </c>
      <c r="M244" t="s">
        <v>253</v>
      </c>
      <c r="N244" t="s">
        <v>247</v>
      </c>
      <c r="O244">
        <v>41666</v>
      </c>
      <c r="P244">
        <v>1.0900000000000001</v>
      </c>
      <c r="Q244">
        <v>2.6</v>
      </c>
      <c r="R244">
        <f t="shared" si="19"/>
        <v>1.51</v>
      </c>
      <c r="S244">
        <v>27</v>
      </c>
      <c r="T244">
        <f t="shared" si="20"/>
        <v>70.2</v>
      </c>
      <c r="U244">
        <v>0.09</v>
      </c>
      <c r="V244">
        <f t="shared" si="21"/>
        <v>6.3179999999999996</v>
      </c>
      <c r="W244">
        <f t="shared" si="22"/>
        <v>63.882000000000005</v>
      </c>
      <c r="X244">
        <v>2.4</v>
      </c>
      <c r="Y244">
        <f t="shared" si="23"/>
        <v>66.282000000000011</v>
      </c>
    </row>
    <row r="245" spans="1:25" x14ac:dyDescent="0.25">
      <c r="A245" t="s">
        <v>917</v>
      </c>
      <c r="B245">
        <v>41665</v>
      </c>
      <c r="C245" t="str">
        <f t="shared" si="18"/>
        <v>2014</v>
      </c>
      <c r="D245" t="s">
        <v>918</v>
      </c>
      <c r="E245" t="s">
        <v>528</v>
      </c>
      <c r="F245" t="s">
        <v>239</v>
      </c>
      <c r="G245" t="s">
        <v>240</v>
      </c>
      <c r="H245" t="s">
        <v>274</v>
      </c>
      <c r="I245" t="s">
        <v>251</v>
      </c>
      <c r="J245" t="s">
        <v>279</v>
      </c>
      <c r="K245" t="s">
        <v>439</v>
      </c>
      <c r="L245" t="s">
        <v>440</v>
      </c>
      <c r="M245" t="s">
        <v>323</v>
      </c>
      <c r="N245" t="s">
        <v>247</v>
      </c>
      <c r="O245">
        <v>41672</v>
      </c>
      <c r="P245">
        <v>5.5</v>
      </c>
      <c r="Q245">
        <v>12.22</v>
      </c>
      <c r="R245">
        <f t="shared" si="19"/>
        <v>6.7200000000000006</v>
      </c>
      <c r="S245">
        <v>19</v>
      </c>
      <c r="T245">
        <f t="shared" si="20"/>
        <v>232.18</v>
      </c>
      <c r="U245">
        <v>0.09</v>
      </c>
      <c r="V245">
        <f t="shared" si="21"/>
        <v>20.8962</v>
      </c>
      <c r="W245">
        <f t="shared" si="22"/>
        <v>211.28380000000001</v>
      </c>
      <c r="X245">
        <v>2.85</v>
      </c>
      <c r="Y245">
        <f t="shared" si="23"/>
        <v>214.13380000000001</v>
      </c>
    </row>
    <row r="246" spans="1:25" x14ac:dyDescent="0.25">
      <c r="A246" t="s">
        <v>919</v>
      </c>
      <c r="B246">
        <v>41665</v>
      </c>
      <c r="C246" t="str">
        <f t="shared" si="18"/>
        <v>2014</v>
      </c>
      <c r="D246" t="s">
        <v>920</v>
      </c>
      <c r="E246" t="s">
        <v>921</v>
      </c>
      <c r="F246" t="s">
        <v>257</v>
      </c>
      <c r="G246" t="s">
        <v>258</v>
      </c>
      <c r="H246" t="s">
        <v>259</v>
      </c>
      <c r="I246" t="s">
        <v>333</v>
      </c>
      <c r="J246" t="s">
        <v>261</v>
      </c>
      <c r="K246" t="s">
        <v>384</v>
      </c>
      <c r="L246" t="s">
        <v>268</v>
      </c>
      <c r="M246" t="s">
        <v>246</v>
      </c>
      <c r="N246" t="s">
        <v>247</v>
      </c>
      <c r="O246">
        <v>41666</v>
      </c>
      <c r="P246">
        <v>10.07</v>
      </c>
      <c r="Q246">
        <v>15.98</v>
      </c>
      <c r="R246">
        <f t="shared" si="19"/>
        <v>5.91</v>
      </c>
      <c r="S246">
        <v>8</v>
      </c>
      <c r="T246">
        <f t="shared" si="20"/>
        <v>127.84</v>
      </c>
      <c r="U246">
        <v>0.04</v>
      </c>
      <c r="V246">
        <f t="shared" si="21"/>
        <v>5.1135999999999999</v>
      </c>
      <c r="W246">
        <f t="shared" si="22"/>
        <v>122.7264</v>
      </c>
      <c r="X246">
        <v>4</v>
      </c>
      <c r="Y246">
        <f t="shared" si="23"/>
        <v>126.7264</v>
      </c>
    </row>
    <row r="247" spans="1:25" x14ac:dyDescent="0.25">
      <c r="A247" t="s">
        <v>922</v>
      </c>
      <c r="B247">
        <v>41666</v>
      </c>
      <c r="C247" t="str">
        <f t="shared" si="18"/>
        <v>2014</v>
      </c>
      <c r="D247" t="s">
        <v>923</v>
      </c>
      <c r="E247" t="s">
        <v>356</v>
      </c>
      <c r="F247" t="s">
        <v>239</v>
      </c>
      <c r="G247" t="s">
        <v>240</v>
      </c>
      <c r="H247" t="s">
        <v>274</v>
      </c>
      <c r="I247" t="s">
        <v>251</v>
      </c>
      <c r="J247" t="s">
        <v>243</v>
      </c>
      <c r="K247" t="s">
        <v>300</v>
      </c>
      <c r="L247" t="s">
        <v>245</v>
      </c>
      <c r="M247" t="s">
        <v>246</v>
      </c>
      <c r="N247" t="s">
        <v>247</v>
      </c>
      <c r="O247">
        <v>41666</v>
      </c>
      <c r="P247">
        <v>5.33</v>
      </c>
      <c r="Q247">
        <v>8.6</v>
      </c>
      <c r="R247">
        <f t="shared" si="19"/>
        <v>3.2699999999999996</v>
      </c>
      <c r="S247">
        <v>4</v>
      </c>
      <c r="T247">
        <f t="shared" si="20"/>
        <v>34.4</v>
      </c>
      <c r="U247">
        <v>0.04</v>
      </c>
      <c r="V247">
        <f t="shared" si="21"/>
        <v>1.3759999999999999</v>
      </c>
      <c r="W247">
        <f t="shared" si="22"/>
        <v>33.024000000000001</v>
      </c>
      <c r="X247">
        <v>6.19</v>
      </c>
      <c r="Y247">
        <f t="shared" si="23"/>
        <v>39.213999999999999</v>
      </c>
    </row>
    <row r="248" spans="1:25" x14ac:dyDescent="0.25">
      <c r="A248" t="s">
        <v>924</v>
      </c>
      <c r="B248">
        <v>41668</v>
      </c>
      <c r="C248" t="str">
        <f t="shared" si="18"/>
        <v>2014</v>
      </c>
      <c r="D248" t="s">
        <v>925</v>
      </c>
      <c r="E248" t="s">
        <v>298</v>
      </c>
      <c r="F248" t="s">
        <v>257</v>
      </c>
      <c r="G248" t="s">
        <v>258</v>
      </c>
      <c r="H248" t="s">
        <v>293</v>
      </c>
      <c r="I248" t="s">
        <v>299</v>
      </c>
      <c r="J248" t="s">
        <v>243</v>
      </c>
      <c r="K248" t="s">
        <v>295</v>
      </c>
      <c r="L248" t="s">
        <v>245</v>
      </c>
      <c r="M248" t="s">
        <v>246</v>
      </c>
      <c r="N248" t="s">
        <v>247</v>
      </c>
      <c r="O248">
        <v>41671</v>
      </c>
      <c r="P248">
        <v>54.29</v>
      </c>
      <c r="Q248">
        <v>90.48</v>
      </c>
      <c r="R248">
        <f t="shared" si="19"/>
        <v>36.190000000000005</v>
      </c>
      <c r="S248">
        <v>27</v>
      </c>
      <c r="T248">
        <f t="shared" si="20"/>
        <v>2442.96</v>
      </c>
      <c r="U248">
        <v>0</v>
      </c>
      <c r="V248">
        <f t="shared" si="21"/>
        <v>0</v>
      </c>
      <c r="W248">
        <f t="shared" si="22"/>
        <v>2442.96</v>
      </c>
      <c r="X248">
        <v>19.989999999999998</v>
      </c>
      <c r="Y248">
        <f t="shared" si="23"/>
        <v>2462.9499999999998</v>
      </c>
    </row>
    <row r="249" spans="1:25" x14ac:dyDescent="0.25">
      <c r="A249" t="s">
        <v>926</v>
      </c>
      <c r="B249">
        <v>41669</v>
      </c>
      <c r="C249" t="str">
        <f t="shared" si="18"/>
        <v>2014</v>
      </c>
      <c r="D249" t="s">
        <v>927</v>
      </c>
      <c r="E249" t="s">
        <v>928</v>
      </c>
      <c r="F249" t="s">
        <v>257</v>
      </c>
      <c r="G249" t="s">
        <v>258</v>
      </c>
      <c r="H249" t="s">
        <v>259</v>
      </c>
      <c r="I249" t="s">
        <v>284</v>
      </c>
      <c r="J249" t="s">
        <v>261</v>
      </c>
      <c r="K249" t="s">
        <v>443</v>
      </c>
      <c r="L249" t="s">
        <v>245</v>
      </c>
      <c r="M249" t="s">
        <v>246</v>
      </c>
      <c r="N249" t="s">
        <v>247</v>
      </c>
      <c r="O249">
        <v>41671</v>
      </c>
      <c r="P249">
        <v>13.64</v>
      </c>
      <c r="Q249">
        <v>20.98</v>
      </c>
      <c r="R249">
        <f t="shared" si="19"/>
        <v>7.34</v>
      </c>
      <c r="S249">
        <v>31</v>
      </c>
      <c r="T249">
        <f t="shared" si="20"/>
        <v>650.38</v>
      </c>
      <c r="U249">
        <v>0.09</v>
      </c>
      <c r="V249">
        <f t="shared" si="21"/>
        <v>58.534199999999998</v>
      </c>
      <c r="W249">
        <f t="shared" si="22"/>
        <v>591.84580000000005</v>
      </c>
      <c r="X249">
        <v>1.49</v>
      </c>
      <c r="Y249">
        <f t="shared" si="23"/>
        <v>593.33580000000006</v>
      </c>
    </row>
    <row r="250" spans="1:25" x14ac:dyDescent="0.25">
      <c r="A250" t="s">
        <v>929</v>
      </c>
      <c r="B250">
        <v>41669</v>
      </c>
      <c r="C250" t="str">
        <f t="shared" si="18"/>
        <v>2014</v>
      </c>
      <c r="D250" t="s">
        <v>930</v>
      </c>
      <c r="E250" t="s">
        <v>643</v>
      </c>
      <c r="F250" t="s">
        <v>257</v>
      </c>
      <c r="G250" t="s">
        <v>258</v>
      </c>
      <c r="H250" t="s">
        <v>293</v>
      </c>
      <c r="I250" t="s">
        <v>342</v>
      </c>
      <c r="J250" t="s">
        <v>304</v>
      </c>
      <c r="K250" t="s">
        <v>485</v>
      </c>
      <c r="L250" t="s">
        <v>245</v>
      </c>
      <c r="M250" t="s">
        <v>253</v>
      </c>
      <c r="N250" t="s">
        <v>247</v>
      </c>
      <c r="O250">
        <v>41671</v>
      </c>
      <c r="P250">
        <v>3.48</v>
      </c>
      <c r="Q250">
        <v>5.43</v>
      </c>
      <c r="R250">
        <f t="shared" si="19"/>
        <v>1.9499999999999997</v>
      </c>
      <c r="S250">
        <v>2</v>
      </c>
      <c r="T250">
        <f t="shared" si="20"/>
        <v>10.86</v>
      </c>
      <c r="U250">
        <v>0.1</v>
      </c>
      <c r="V250">
        <f t="shared" si="21"/>
        <v>1.0860000000000001</v>
      </c>
      <c r="W250">
        <f t="shared" si="22"/>
        <v>9.7739999999999991</v>
      </c>
      <c r="X250">
        <v>0.95</v>
      </c>
      <c r="Y250">
        <f t="shared" si="23"/>
        <v>10.723999999999998</v>
      </c>
    </row>
    <row r="251" spans="1:25" x14ac:dyDescent="0.25">
      <c r="A251" t="s">
        <v>931</v>
      </c>
      <c r="B251">
        <v>41672</v>
      </c>
      <c r="C251" t="str">
        <f t="shared" si="18"/>
        <v>2014</v>
      </c>
      <c r="D251" t="s">
        <v>932</v>
      </c>
      <c r="E251" t="s">
        <v>637</v>
      </c>
      <c r="F251" t="s">
        <v>239</v>
      </c>
      <c r="G251" t="s">
        <v>240</v>
      </c>
      <c r="H251" t="s">
        <v>293</v>
      </c>
      <c r="I251" t="s">
        <v>251</v>
      </c>
      <c r="J251" t="s">
        <v>279</v>
      </c>
      <c r="K251" t="s">
        <v>472</v>
      </c>
      <c r="L251" t="s">
        <v>245</v>
      </c>
      <c r="M251" t="s">
        <v>246</v>
      </c>
      <c r="N251" t="s">
        <v>247</v>
      </c>
      <c r="O251">
        <v>41677</v>
      </c>
      <c r="P251">
        <v>2.25</v>
      </c>
      <c r="Q251">
        <v>3.69</v>
      </c>
      <c r="R251">
        <f t="shared" si="19"/>
        <v>1.44</v>
      </c>
      <c r="S251">
        <v>20</v>
      </c>
      <c r="T251">
        <f t="shared" si="20"/>
        <v>73.8</v>
      </c>
      <c r="U251">
        <v>0.08</v>
      </c>
      <c r="V251">
        <f t="shared" si="21"/>
        <v>5.9039999999999999</v>
      </c>
      <c r="W251">
        <f t="shared" si="22"/>
        <v>67.896000000000001</v>
      </c>
      <c r="X251">
        <v>2.5</v>
      </c>
      <c r="Y251">
        <f t="shared" si="23"/>
        <v>70.396000000000001</v>
      </c>
    </row>
    <row r="252" spans="1:25" x14ac:dyDescent="0.25">
      <c r="A252" t="s">
        <v>933</v>
      </c>
      <c r="B252">
        <v>41673</v>
      </c>
      <c r="C252" t="str">
        <f t="shared" si="18"/>
        <v>2014</v>
      </c>
      <c r="D252" t="s">
        <v>934</v>
      </c>
      <c r="E252" t="s">
        <v>620</v>
      </c>
      <c r="F252" t="s">
        <v>257</v>
      </c>
      <c r="G252" t="s">
        <v>258</v>
      </c>
      <c r="H252" t="s">
        <v>293</v>
      </c>
      <c r="I252" t="s">
        <v>275</v>
      </c>
      <c r="J252" t="s">
        <v>261</v>
      </c>
      <c r="K252" t="s">
        <v>586</v>
      </c>
      <c r="L252" t="s">
        <v>268</v>
      </c>
      <c r="M252" t="s">
        <v>246</v>
      </c>
      <c r="N252" t="s">
        <v>247</v>
      </c>
      <c r="O252">
        <v>41674</v>
      </c>
      <c r="P252">
        <v>54.52</v>
      </c>
      <c r="Q252">
        <v>100.97</v>
      </c>
      <c r="R252">
        <f t="shared" si="19"/>
        <v>46.449999999999996</v>
      </c>
      <c r="S252">
        <v>15</v>
      </c>
      <c r="T252">
        <f t="shared" si="20"/>
        <v>1514.55</v>
      </c>
      <c r="U252">
        <v>0.08</v>
      </c>
      <c r="V252">
        <f t="shared" si="21"/>
        <v>121.164</v>
      </c>
      <c r="W252">
        <f t="shared" si="22"/>
        <v>1393.386</v>
      </c>
      <c r="X252">
        <v>7.18</v>
      </c>
      <c r="Y252">
        <f t="shared" si="23"/>
        <v>1400.566</v>
      </c>
    </row>
    <row r="253" spans="1:25" x14ac:dyDescent="0.25">
      <c r="A253" t="s">
        <v>935</v>
      </c>
      <c r="B253">
        <v>41675</v>
      </c>
      <c r="C253" t="str">
        <f t="shared" si="18"/>
        <v>2014</v>
      </c>
      <c r="D253" t="s">
        <v>805</v>
      </c>
      <c r="E253" t="s">
        <v>806</v>
      </c>
      <c r="F253" t="s">
        <v>257</v>
      </c>
      <c r="G253" t="s">
        <v>258</v>
      </c>
      <c r="H253" t="s">
        <v>293</v>
      </c>
      <c r="I253" t="s">
        <v>299</v>
      </c>
      <c r="J253" t="s">
        <v>304</v>
      </c>
      <c r="K253" t="s">
        <v>594</v>
      </c>
      <c r="L253" t="s">
        <v>268</v>
      </c>
      <c r="M253" t="s">
        <v>269</v>
      </c>
      <c r="N253" t="s">
        <v>270</v>
      </c>
      <c r="O253">
        <v>41676</v>
      </c>
      <c r="P253">
        <v>278.99</v>
      </c>
      <c r="Q253">
        <v>449.99</v>
      </c>
      <c r="R253">
        <f t="shared" si="19"/>
        <v>171</v>
      </c>
      <c r="S253">
        <v>39</v>
      </c>
      <c r="T253">
        <f t="shared" si="20"/>
        <v>17549.61</v>
      </c>
      <c r="U253">
        <v>0.08</v>
      </c>
      <c r="V253">
        <f t="shared" si="21"/>
        <v>1403.9688000000001</v>
      </c>
      <c r="W253">
        <f t="shared" si="22"/>
        <v>16145.6412</v>
      </c>
      <c r="X253">
        <v>49</v>
      </c>
      <c r="Y253">
        <f t="shared" si="23"/>
        <v>16194.6412</v>
      </c>
    </row>
    <row r="254" spans="1:25" x14ac:dyDescent="0.25">
      <c r="A254" t="s">
        <v>936</v>
      </c>
      <c r="B254">
        <v>41677</v>
      </c>
      <c r="C254" t="str">
        <f t="shared" si="18"/>
        <v>2014</v>
      </c>
      <c r="D254" t="s">
        <v>937</v>
      </c>
      <c r="E254" t="s">
        <v>938</v>
      </c>
      <c r="F254" t="s">
        <v>239</v>
      </c>
      <c r="G254" t="s">
        <v>240</v>
      </c>
      <c r="H254" t="s">
        <v>259</v>
      </c>
      <c r="I254" t="s">
        <v>242</v>
      </c>
      <c r="J254" t="s">
        <v>279</v>
      </c>
      <c r="K254" t="s">
        <v>939</v>
      </c>
      <c r="L254" t="s">
        <v>268</v>
      </c>
      <c r="M254" t="s">
        <v>647</v>
      </c>
      <c r="N254" t="s">
        <v>247</v>
      </c>
      <c r="O254">
        <v>41686</v>
      </c>
      <c r="P254">
        <v>377.99</v>
      </c>
      <c r="Q254">
        <v>599.99</v>
      </c>
      <c r="R254">
        <f t="shared" si="19"/>
        <v>222</v>
      </c>
      <c r="S254">
        <v>48</v>
      </c>
      <c r="T254">
        <f t="shared" si="20"/>
        <v>28799.52</v>
      </c>
      <c r="U254">
        <v>0.08</v>
      </c>
      <c r="V254">
        <f t="shared" si="21"/>
        <v>2303.9616000000001</v>
      </c>
      <c r="W254">
        <f t="shared" si="22"/>
        <v>26495.558400000002</v>
      </c>
      <c r="X254">
        <v>24.49</v>
      </c>
      <c r="Y254">
        <f t="shared" si="23"/>
        <v>26520.048400000003</v>
      </c>
    </row>
    <row r="255" spans="1:25" x14ac:dyDescent="0.25">
      <c r="A255" t="s">
        <v>940</v>
      </c>
      <c r="B255">
        <v>41677</v>
      </c>
      <c r="C255" t="str">
        <f t="shared" si="18"/>
        <v>2014</v>
      </c>
      <c r="D255" t="s">
        <v>937</v>
      </c>
      <c r="E255" t="s">
        <v>938</v>
      </c>
      <c r="F255" t="s">
        <v>239</v>
      </c>
      <c r="G255" t="s">
        <v>240</v>
      </c>
      <c r="H255" t="s">
        <v>259</v>
      </c>
      <c r="I255" t="s">
        <v>242</v>
      </c>
      <c r="J255" t="s">
        <v>279</v>
      </c>
      <c r="K255" t="s">
        <v>941</v>
      </c>
      <c r="L255" t="s">
        <v>245</v>
      </c>
      <c r="M255" t="s">
        <v>253</v>
      </c>
      <c r="N255" t="s">
        <v>263</v>
      </c>
      <c r="O255">
        <v>41682</v>
      </c>
      <c r="P255">
        <v>2.59</v>
      </c>
      <c r="Q255">
        <v>3.98</v>
      </c>
      <c r="R255">
        <f t="shared" si="19"/>
        <v>1.3900000000000001</v>
      </c>
      <c r="S255">
        <v>11</v>
      </c>
      <c r="T255">
        <f t="shared" si="20"/>
        <v>43.78</v>
      </c>
      <c r="U255">
        <v>0.1</v>
      </c>
      <c r="V255">
        <f t="shared" si="21"/>
        <v>4.3780000000000001</v>
      </c>
      <c r="W255">
        <f t="shared" si="22"/>
        <v>39.402000000000001</v>
      </c>
      <c r="X255">
        <v>2.97</v>
      </c>
      <c r="Y255">
        <f t="shared" si="23"/>
        <v>42.372</v>
      </c>
    </row>
    <row r="256" spans="1:25" x14ac:dyDescent="0.25">
      <c r="A256" t="s">
        <v>942</v>
      </c>
      <c r="B256">
        <v>41679</v>
      </c>
      <c r="C256" t="str">
        <f t="shared" si="18"/>
        <v>2014</v>
      </c>
      <c r="D256" t="s">
        <v>943</v>
      </c>
      <c r="E256" t="s">
        <v>944</v>
      </c>
      <c r="F256" t="s">
        <v>257</v>
      </c>
      <c r="G256" t="s">
        <v>258</v>
      </c>
      <c r="H256" t="s">
        <v>259</v>
      </c>
      <c r="I256" t="s">
        <v>333</v>
      </c>
      <c r="J256" t="s">
        <v>279</v>
      </c>
      <c r="K256" t="s">
        <v>634</v>
      </c>
      <c r="L256" t="s">
        <v>245</v>
      </c>
      <c r="M256" t="s">
        <v>246</v>
      </c>
      <c r="N256" t="s">
        <v>247</v>
      </c>
      <c r="O256">
        <v>41683</v>
      </c>
      <c r="P256">
        <v>2.2599999999999998</v>
      </c>
      <c r="Q256">
        <v>3.58</v>
      </c>
      <c r="R256">
        <f t="shared" si="19"/>
        <v>1.3200000000000003</v>
      </c>
      <c r="S256">
        <v>42</v>
      </c>
      <c r="T256">
        <f t="shared" si="20"/>
        <v>150.36000000000001</v>
      </c>
      <c r="U256">
        <v>0.01</v>
      </c>
      <c r="V256">
        <f t="shared" si="21"/>
        <v>1.5036000000000003</v>
      </c>
      <c r="W256">
        <f t="shared" si="22"/>
        <v>148.85640000000001</v>
      </c>
      <c r="X256">
        <v>5.47</v>
      </c>
      <c r="Y256">
        <f t="shared" si="23"/>
        <v>154.32640000000001</v>
      </c>
    </row>
    <row r="257" spans="1:25" x14ac:dyDescent="0.25">
      <c r="A257" t="s">
        <v>945</v>
      </c>
      <c r="B257">
        <v>41680</v>
      </c>
      <c r="C257" t="str">
        <f t="shared" si="18"/>
        <v>2014</v>
      </c>
      <c r="D257" t="s">
        <v>946</v>
      </c>
      <c r="E257" t="s">
        <v>420</v>
      </c>
      <c r="F257" t="s">
        <v>239</v>
      </c>
      <c r="G257" t="s">
        <v>240</v>
      </c>
      <c r="H257" t="s">
        <v>293</v>
      </c>
      <c r="I257" t="s">
        <v>251</v>
      </c>
      <c r="J257" t="s">
        <v>261</v>
      </c>
      <c r="K257" t="s">
        <v>413</v>
      </c>
      <c r="L257" t="s">
        <v>268</v>
      </c>
      <c r="M257" t="s">
        <v>414</v>
      </c>
      <c r="N257" t="s">
        <v>247</v>
      </c>
      <c r="O257">
        <v>41681</v>
      </c>
      <c r="P257">
        <v>8.82</v>
      </c>
      <c r="Q257">
        <v>20.99</v>
      </c>
      <c r="R257">
        <f t="shared" si="19"/>
        <v>12.169999999999998</v>
      </c>
      <c r="S257">
        <v>42</v>
      </c>
      <c r="T257">
        <f t="shared" si="20"/>
        <v>881.57999999999993</v>
      </c>
      <c r="U257">
        <v>7.0000000000000007E-2</v>
      </c>
      <c r="V257">
        <f t="shared" si="21"/>
        <v>61.710599999999999</v>
      </c>
      <c r="W257">
        <f t="shared" si="22"/>
        <v>819.86939999999993</v>
      </c>
      <c r="X257">
        <v>4.8099999999999996</v>
      </c>
      <c r="Y257">
        <f t="shared" si="23"/>
        <v>824.67939999999987</v>
      </c>
    </row>
    <row r="258" spans="1:25" x14ac:dyDescent="0.25">
      <c r="A258" t="s">
        <v>947</v>
      </c>
      <c r="B258">
        <v>41680</v>
      </c>
      <c r="C258" t="str">
        <f t="shared" si="18"/>
        <v>2014</v>
      </c>
      <c r="D258" t="s">
        <v>948</v>
      </c>
      <c r="E258" t="s">
        <v>795</v>
      </c>
      <c r="F258" t="s">
        <v>257</v>
      </c>
      <c r="G258" t="s">
        <v>258</v>
      </c>
      <c r="H258" t="s">
        <v>274</v>
      </c>
      <c r="I258" t="s">
        <v>372</v>
      </c>
      <c r="J258" t="s">
        <v>279</v>
      </c>
      <c r="K258" t="s">
        <v>949</v>
      </c>
      <c r="L258" t="s">
        <v>245</v>
      </c>
      <c r="M258" t="s">
        <v>246</v>
      </c>
      <c r="N258" t="s">
        <v>263</v>
      </c>
      <c r="O258">
        <v>41682</v>
      </c>
      <c r="P258">
        <v>52.07</v>
      </c>
      <c r="Q258">
        <v>83.98</v>
      </c>
      <c r="R258">
        <f t="shared" si="19"/>
        <v>31.910000000000004</v>
      </c>
      <c r="S258">
        <v>9</v>
      </c>
      <c r="T258">
        <f t="shared" si="20"/>
        <v>755.82</v>
      </c>
      <c r="U258">
        <v>0.05</v>
      </c>
      <c r="V258">
        <f t="shared" si="21"/>
        <v>37.791000000000004</v>
      </c>
      <c r="W258">
        <f t="shared" si="22"/>
        <v>718.029</v>
      </c>
      <c r="X258">
        <v>5.01</v>
      </c>
      <c r="Y258">
        <f t="shared" si="23"/>
        <v>723.03899999999999</v>
      </c>
    </row>
    <row r="259" spans="1:25" x14ac:dyDescent="0.25">
      <c r="A259" t="s">
        <v>950</v>
      </c>
      <c r="B259">
        <v>41682</v>
      </c>
      <c r="C259" t="str">
        <f t="shared" si="18"/>
        <v>2014</v>
      </c>
      <c r="D259" t="s">
        <v>951</v>
      </c>
      <c r="E259" t="s">
        <v>424</v>
      </c>
      <c r="F259" t="s">
        <v>257</v>
      </c>
      <c r="G259" t="s">
        <v>258</v>
      </c>
      <c r="H259" t="s">
        <v>241</v>
      </c>
      <c r="I259" t="s">
        <v>299</v>
      </c>
      <c r="J259" t="s">
        <v>243</v>
      </c>
      <c r="K259" t="s">
        <v>594</v>
      </c>
      <c r="L259" t="s">
        <v>268</v>
      </c>
      <c r="M259" t="s">
        <v>647</v>
      </c>
      <c r="N259" t="s">
        <v>247</v>
      </c>
      <c r="O259">
        <v>41683</v>
      </c>
      <c r="P259">
        <v>216</v>
      </c>
      <c r="Q259">
        <v>449.99</v>
      </c>
      <c r="R259">
        <f t="shared" si="19"/>
        <v>233.99</v>
      </c>
      <c r="S259">
        <v>5</v>
      </c>
      <c r="T259">
        <f t="shared" si="20"/>
        <v>2249.9499999999998</v>
      </c>
      <c r="U259">
        <v>0.02</v>
      </c>
      <c r="V259">
        <f t="shared" si="21"/>
        <v>44.998999999999995</v>
      </c>
      <c r="W259">
        <f t="shared" si="22"/>
        <v>2204.951</v>
      </c>
      <c r="X259">
        <v>24.49</v>
      </c>
      <c r="Y259">
        <f t="shared" si="23"/>
        <v>2229.4409999999998</v>
      </c>
    </row>
    <row r="260" spans="1:25" x14ac:dyDescent="0.25">
      <c r="A260" t="s">
        <v>952</v>
      </c>
      <c r="B260">
        <v>41683</v>
      </c>
      <c r="C260" t="str">
        <f t="shared" si="18"/>
        <v>2014</v>
      </c>
      <c r="D260" t="s">
        <v>516</v>
      </c>
      <c r="E260" t="s">
        <v>256</v>
      </c>
      <c r="F260" t="s">
        <v>257</v>
      </c>
      <c r="G260" t="s">
        <v>258</v>
      </c>
      <c r="H260" t="s">
        <v>274</v>
      </c>
      <c r="I260" t="s">
        <v>260</v>
      </c>
      <c r="J260" t="s">
        <v>243</v>
      </c>
      <c r="K260" t="s">
        <v>953</v>
      </c>
      <c r="L260" t="s">
        <v>245</v>
      </c>
      <c r="M260" t="s">
        <v>253</v>
      </c>
      <c r="N260" t="s">
        <v>247</v>
      </c>
      <c r="O260">
        <v>41683</v>
      </c>
      <c r="P260">
        <v>2.16</v>
      </c>
      <c r="Q260">
        <v>3.85</v>
      </c>
      <c r="R260">
        <f t="shared" si="19"/>
        <v>1.69</v>
      </c>
      <c r="S260">
        <v>31</v>
      </c>
      <c r="T260">
        <f t="shared" si="20"/>
        <v>119.35000000000001</v>
      </c>
      <c r="U260">
        <v>0.09</v>
      </c>
      <c r="V260">
        <f t="shared" si="21"/>
        <v>10.7415</v>
      </c>
      <c r="W260">
        <f t="shared" si="22"/>
        <v>108.60850000000001</v>
      </c>
      <c r="X260">
        <v>0.7</v>
      </c>
      <c r="Y260">
        <f t="shared" si="23"/>
        <v>109.30850000000001</v>
      </c>
    </row>
    <row r="261" spans="1:25" x14ac:dyDescent="0.25">
      <c r="A261" t="s">
        <v>954</v>
      </c>
      <c r="B261">
        <v>41685</v>
      </c>
      <c r="C261" t="str">
        <f t="shared" si="18"/>
        <v>2014</v>
      </c>
      <c r="D261" t="s">
        <v>955</v>
      </c>
      <c r="E261" t="s">
        <v>522</v>
      </c>
      <c r="F261" t="s">
        <v>239</v>
      </c>
      <c r="G261" t="s">
        <v>240</v>
      </c>
      <c r="H261" t="s">
        <v>241</v>
      </c>
      <c r="I261" t="s">
        <v>251</v>
      </c>
      <c r="J261" t="s">
        <v>304</v>
      </c>
      <c r="K261" t="s">
        <v>956</v>
      </c>
      <c r="L261" t="s">
        <v>245</v>
      </c>
      <c r="M261" t="s">
        <v>253</v>
      </c>
      <c r="N261" t="s">
        <v>247</v>
      </c>
      <c r="O261">
        <v>41686</v>
      </c>
      <c r="P261">
        <v>1.1499999999999999</v>
      </c>
      <c r="Q261">
        <v>2.67</v>
      </c>
      <c r="R261">
        <f t="shared" si="19"/>
        <v>1.52</v>
      </c>
      <c r="S261">
        <v>19</v>
      </c>
      <c r="T261">
        <f t="shared" si="20"/>
        <v>50.73</v>
      </c>
      <c r="U261">
        <v>0.03</v>
      </c>
      <c r="V261">
        <f t="shared" si="21"/>
        <v>1.5218999999999998</v>
      </c>
      <c r="W261">
        <f t="shared" si="22"/>
        <v>49.208099999999995</v>
      </c>
      <c r="X261">
        <v>0.86</v>
      </c>
      <c r="Y261">
        <f t="shared" si="23"/>
        <v>50.068099999999994</v>
      </c>
    </row>
    <row r="262" spans="1:25" x14ac:dyDescent="0.25">
      <c r="A262" t="s">
        <v>957</v>
      </c>
      <c r="B262">
        <v>41685</v>
      </c>
      <c r="C262" t="str">
        <f t="shared" ref="C262:C325" si="24">TEXT(B262,"yyyy")</f>
        <v>2014</v>
      </c>
      <c r="D262" t="s">
        <v>958</v>
      </c>
      <c r="E262" t="s">
        <v>727</v>
      </c>
      <c r="F262" t="s">
        <v>257</v>
      </c>
      <c r="G262" t="s">
        <v>258</v>
      </c>
      <c r="H262" t="s">
        <v>259</v>
      </c>
      <c r="I262" t="s">
        <v>333</v>
      </c>
      <c r="J262" t="s">
        <v>279</v>
      </c>
      <c r="K262" t="s">
        <v>959</v>
      </c>
      <c r="L262" t="s">
        <v>245</v>
      </c>
      <c r="M262" t="s">
        <v>253</v>
      </c>
      <c r="N262" t="s">
        <v>263</v>
      </c>
      <c r="O262">
        <v>41690</v>
      </c>
      <c r="P262">
        <v>1.57</v>
      </c>
      <c r="Q262">
        <v>3.28</v>
      </c>
      <c r="R262">
        <f t="shared" ref="R262:R325" si="25">Q262-P262</f>
        <v>1.7099999999999997</v>
      </c>
      <c r="S262">
        <v>44</v>
      </c>
      <c r="T262">
        <f t="shared" ref="T262:T325" si="26">Q262*S262</f>
        <v>144.32</v>
      </c>
      <c r="U262">
        <v>0</v>
      </c>
      <c r="V262">
        <f t="shared" ref="V262:V325" si="27">T262*U262</f>
        <v>0</v>
      </c>
      <c r="W262">
        <f t="shared" ref="W262:W325" si="28">T262-V262</f>
        <v>144.32</v>
      </c>
      <c r="X262">
        <v>0.98</v>
      </c>
      <c r="Y262">
        <f t="shared" ref="Y262:Y325" si="29">W262+X262</f>
        <v>145.29999999999998</v>
      </c>
    </row>
    <row r="263" spans="1:25" x14ac:dyDescent="0.25">
      <c r="A263" t="s">
        <v>960</v>
      </c>
      <c r="B263">
        <v>41686</v>
      </c>
      <c r="C263" t="str">
        <f t="shared" si="24"/>
        <v>2014</v>
      </c>
      <c r="D263" t="s">
        <v>961</v>
      </c>
      <c r="E263" t="s">
        <v>303</v>
      </c>
      <c r="F263" t="s">
        <v>239</v>
      </c>
      <c r="G263" t="s">
        <v>240</v>
      </c>
      <c r="H263" t="s">
        <v>259</v>
      </c>
      <c r="I263" t="s">
        <v>242</v>
      </c>
      <c r="J263" t="s">
        <v>243</v>
      </c>
      <c r="K263" t="s">
        <v>413</v>
      </c>
      <c r="L263" t="s">
        <v>268</v>
      </c>
      <c r="M263" t="s">
        <v>414</v>
      </c>
      <c r="N263" t="s">
        <v>247</v>
      </c>
      <c r="O263">
        <v>41688</v>
      </c>
      <c r="P263">
        <v>8.82</v>
      </c>
      <c r="Q263">
        <v>20.99</v>
      </c>
      <c r="R263">
        <f t="shared" si="25"/>
        <v>12.169999999999998</v>
      </c>
      <c r="S263">
        <v>24</v>
      </c>
      <c r="T263">
        <f t="shared" si="26"/>
        <v>503.76</v>
      </c>
      <c r="U263">
        <v>0.01</v>
      </c>
      <c r="V263">
        <f t="shared" si="27"/>
        <v>5.0376000000000003</v>
      </c>
      <c r="W263">
        <f t="shared" si="28"/>
        <v>498.72239999999999</v>
      </c>
      <c r="X263">
        <v>4.8099999999999996</v>
      </c>
      <c r="Y263">
        <f t="shared" si="29"/>
        <v>503.5324</v>
      </c>
    </row>
    <row r="264" spans="1:25" x14ac:dyDescent="0.25">
      <c r="A264" t="s">
        <v>962</v>
      </c>
      <c r="B264">
        <v>41692</v>
      </c>
      <c r="C264" t="str">
        <f t="shared" si="24"/>
        <v>2014</v>
      </c>
      <c r="D264" t="s">
        <v>757</v>
      </c>
      <c r="E264" t="s">
        <v>250</v>
      </c>
      <c r="F264" t="s">
        <v>257</v>
      </c>
      <c r="G264" t="s">
        <v>258</v>
      </c>
      <c r="H264" t="s">
        <v>259</v>
      </c>
      <c r="I264" t="s">
        <v>342</v>
      </c>
      <c r="J264" t="s">
        <v>261</v>
      </c>
      <c r="K264" t="s">
        <v>963</v>
      </c>
      <c r="L264" t="s">
        <v>245</v>
      </c>
      <c r="M264" t="s">
        <v>323</v>
      </c>
      <c r="N264" t="s">
        <v>247</v>
      </c>
      <c r="O264">
        <v>41693</v>
      </c>
      <c r="P264">
        <v>4.1900000000000004</v>
      </c>
      <c r="Q264">
        <v>10.23</v>
      </c>
      <c r="R264">
        <f t="shared" si="25"/>
        <v>6.04</v>
      </c>
      <c r="S264">
        <v>9</v>
      </c>
      <c r="T264">
        <f t="shared" si="26"/>
        <v>92.070000000000007</v>
      </c>
      <c r="U264">
        <v>7.0000000000000007E-2</v>
      </c>
      <c r="V264">
        <f t="shared" si="27"/>
        <v>6.4449000000000014</v>
      </c>
      <c r="W264">
        <f t="shared" si="28"/>
        <v>85.625100000000003</v>
      </c>
      <c r="X264">
        <v>4.68</v>
      </c>
      <c r="Y264">
        <f t="shared" si="29"/>
        <v>90.30510000000001</v>
      </c>
    </row>
    <row r="265" spans="1:25" x14ac:dyDescent="0.25">
      <c r="A265" t="s">
        <v>964</v>
      </c>
      <c r="B265">
        <v>41692</v>
      </c>
      <c r="C265" t="str">
        <f t="shared" si="24"/>
        <v>2014</v>
      </c>
      <c r="D265" t="s">
        <v>965</v>
      </c>
      <c r="E265" t="s">
        <v>633</v>
      </c>
      <c r="F265" t="s">
        <v>239</v>
      </c>
      <c r="G265" t="s">
        <v>240</v>
      </c>
      <c r="H265" t="s">
        <v>274</v>
      </c>
      <c r="I265" t="s">
        <v>242</v>
      </c>
      <c r="J265" t="s">
        <v>243</v>
      </c>
      <c r="K265" t="s">
        <v>656</v>
      </c>
      <c r="L265" t="s">
        <v>245</v>
      </c>
      <c r="M265" t="s">
        <v>253</v>
      </c>
      <c r="N265" t="s">
        <v>247</v>
      </c>
      <c r="O265">
        <v>41693</v>
      </c>
      <c r="P265">
        <v>0.93</v>
      </c>
      <c r="Q265">
        <v>1.48</v>
      </c>
      <c r="R265">
        <f t="shared" si="25"/>
        <v>0.54999999999999993</v>
      </c>
      <c r="S265">
        <v>46</v>
      </c>
      <c r="T265">
        <f t="shared" si="26"/>
        <v>68.08</v>
      </c>
      <c r="U265">
        <v>0</v>
      </c>
      <c r="V265">
        <f t="shared" si="27"/>
        <v>0</v>
      </c>
      <c r="W265">
        <f t="shared" si="28"/>
        <v>68.08</v>
      </c>
      <c r="X265">
        <v>0.7</v>
      </c>
      <c r="Y265">
        <f t="shared" si="29"/>
        <v>68.78</v>
      </c>
    </row>
    <row r="266" spans="1:25" x14ac:dyDescent="0.25">
      <c r="A266" t="s">
        <v>966</v>
      </c>
      <c r="B266">
        <v>41692</v>
      </c>
      <c r="C266" t="str">
        <f t="shared" si="24"/>
        <v>2014</v>
      </c>
      <c r="D266" t="s">
        <v>705</v>
      </c>
      <c r="E266" t="s">
        <v>706</v>
      </c>
      <c r="F266" t="s">
        <v>257</v>
      </c>
      <c r="G266" t="s">
        <v>258</v>
      </c>
      <c r="H266" t="s">
        <v>259</v>
      </c>
      <c r="I266" t="s">
        <v>299</v>
      </c>
      <c r="J266" t="s">
        <v>243</v>
      </c>
      <c r="K266" t="s">
        <v>567</v>
      </c>
      <c r="L266" t="s">
        <v>245</v>
      </c>
      <c r="M266" t="s">
        <v>246</v>
      </c>
      <c r="N266" t="s">
        <v>247</v>
      </c>
      <c r="O266">
        <v>41693</v>
      </c>
      <c r="P266">
        <v>21.56</v>
      </c>
      <c r="Q266">
        <v>35.94</v>
      </c>
      <c r="R266">
        <f t="shared" si="25"/>
        <v>14.379999999999999</v>
      </c>
      <c r="S266">
        <v>13</v>
      </c>
      <c r="T266">
        <f t="shared" si="26"/>
        <v>467.21999999999997</v>
      </c>
      <c r="U266">
        <v>0.03</v>
      </c>
      <c r="V266">
        <f t="shared" si="27"/>
        <v>14.016599999999999</v>
      </c>
      <c r="W266">
        <f t="shared" si="28"/>
        <v>453.20339999999999</v>
      </c>
      <c r="X266">
        <v>6.66</v>
      </c>
      <c r="Y266">
        <f t="shared" si="29"/>
        <v>459.86340000000001</v>
      </c>
    </row>
    <row r="267" spans="1:25" x14ac:dyDescent="0.25">
      <c r="A267" t="s">
        <v>967</v>
      </c>
      <c r="B267">
        <v>41693</v>
      </c>
      <c r="C267" t="str">
        <f t="shared" si="24"/>
        <v>2014</v>
      </c>
      <c r="D267" t="s">
        <v>968</v>
      </c>
      <c r="E267" t="s">
        <v>238</v>
      </c>
      <c r="F267" t="s">
        <v>239</v>
      </c>
      <c r="G267" t="s">
        <v>240</v>
      </c>
      <c r="H267" t="s">
        <v>293</v>
      </c>
      <c r="I267" t="s">
        <v>242</v>
      </c>
      <c r="J267" t="s">
        <v>304</v>
      </c>
      <c r="K267" t="s">
        <v>714</v>
      </c>
      <c r="L267" t="s">
        <v>268</v>
      </c>
      <c r="M267" t="s">
        <v>246</v>
      </c>
      <c r="N267" t="s">
        <v>247</v>
      </c>
      <c r="O267">
        <v>41696</v>
      </c>
      <c r="P267">
        <v>42.11</v>
      </c>
      <c r="Q267">
        <v>80.98</v>
      </c>
      <c r="R267">
        <f t="shared" si="25"/>
        <v>38.870000000000005</v>
      </c>
      <c r="S267">
        <v>45</v>
      </c>
      <c r="T267">
        <f t="shared" si="26"/>
        <v>3644.1000000000004</v>
      </c>
      <c r="U267">
        <v>0</v>
      </c>
      <c r="V267">
        <f t="shared" si="27"/>
        <v>0</v>
      </c>
      <c r="W267">
        <f t="shared" si="28"/>
        <v>3644.1000000000004</v>
      </c>
      <c r="X267">
        <v>7.18</v>
      </c>
      <c r="Y267">
        <f t="shared" si="29"/>
        <v>3651.28</v>
      </c>
    </row>
    <row r="268" spans="1:25" x14ac:dyDescent="0.25">
      <c r="A268" t="s">
        <v>969</v>
      </c>
      <c r="B268">
        <v>41694</v>
      </c>
      <c r="C268" t="str">
        <f t="shared" si="24"/>
        <v>2014</v>
      </c>
      <c r="D268" t="s">
        <v>970</v>
      </c>
      <c r="E268" t="s">
        <v>971</v>
      </c>
      <c r="F268" t="s">
        <v>257</v>
      </c>
      <c r="G268" t="s">
        <v>258</v>
      </c>
      <c r="H268" t="s">
        <v>293</v>
      </c>
      <c r="I268" t="s">
        <v>299</v>
      </c>
      <c r="J268" t="s">
        <v>261</v>
      </c>
      <c r="K268" t="s">
        <v>570</v>
      </c>
      <c r="L268" t="s">
        <v>245</v>
      </c>
      <c r="M268" t="s">
        <v>246</v>
      </c>
      <c r="N268" t="s">
        <v>247</v>
      </c>
      <c r="O268">
        <v>41695</v>
      </c>
      <c r="P268">
        <v>2.74</v>
      </c>
      <c r="Q268">
        <v>4.49</v>
      </c>
      <c r="R268">
        <f t="shared" si="25"/>
        <v>1.75</v>
      </c>
      <c r="S268">
        <v>6</v>
      </c>
      <c r="T268">
        <f t="shared" si="26"/>
        <v>26.94</v>
      </c>
      <c r="U268">
        <v>0.03</v>
      </c>
      <c r="V268">
        <f t="shared" si="27"/>
        <v>0.80820000000000003</v>
      </c>
      <c r="W268">
        <f t="shared" si="28"/>
        <v>26.131800000000002</v>
      </c>
      <c r="X268">
        <v>1.49</v>
      </c>
      <c r="Y268">
        <f t="shared" si="29"/>
        <v>27.6218</v>
      </c>
    </row>
    <row r="269" spans="1:25" x14ac:dyDescent="0.25">
      <c r="A269" t="s">
        <v>972</v>
      </c>
      <c r="B269">
        <v>41694</v>
      </c>
      <c r="C269" t="str">
        <f t="shared" si="24"/>
        <v>2014</v>
      </c>
      <c r="D269" t="s">
        <v>973</v>
      </c>
      <c r="E269" t="s">
        <v>346</v>
      </c>
      <c r="F269" t="s">
        <v>257</v>
      </c>
      <c r="G269" t="s">
        <v>258</v>
      </c>
      <c r="H269" t="s">
        <v>293</v>
      </c>
      <c r="I269" t="s">
        <v>309</v>
      </c>
      <c r="J269" t="s">
        <v>294</v>
      </c>
      <c r="K269" t="s">
        <v>360</v>
      </c>
      <c r="L269" t="s">
        <v>245</v>
      </c>
      <c r="M269" t="s">
        <v>253</v>
      </c>
      <c r="N269" t="s">
        <v>247</v>
      </c>
      <c r="O269">
        <v>41696</v>
      </c>
      <c r="P269">
        <v>2.52</v>
      </c>
      <c r="Q269">
        <v>4</v>
      </c>
      <c r="R269">
        <f t="shared" si="25"/>
        <v>1.48</v>
      </c>
      <c r="S269">
        <v>33</v>
      </c>
      <c r="T269">
        <f t="shared" si="26"/>
        <v>132</v>
      </c>
      <c r="U269">
        <v>0.08</v>
      </c>
      <c r="V269">
        <f t="shared" si="27"/>
        <v>10.56</v>
      </c>
      <c r="W269">
        <f t="shared" si="28"/>
        <v>121.44</v>
      </c>
      <c r="X269">
        <v>1.3</v>
      </c>
      <c r="Y269">
        <f t="shared" si="29"/>
        <v>122.74</v>
      </c>
    </row>
    <row r="270" spans="1:25" x14ac:dyDescent="0.25">
      <c r="A270" t="s">
        <v>974</v>
      </c>
      <c r="B270">
        <v>41695</v>
      </c>
      <c r="C270" t="str">
        <f t="shared" si="24"/>
        <v>2014</v>
      </c>
      <c r="D270" t="s">
        <v>975</v>
      </c>
      <c r="E270" t="s">
        <v>856</v>
      </c>
      <c r="F270" t="s">
        <v>239</v>
      </c>
      <c r="G270" t="s">
        <v>240</v>
      </c>
      <c r="H270" t="s">
        <v>293</v>
      </c>
      <c r="I270" t="s">
        <v>251</v>
      </c>
      <c r="J270" t="s">
        <v>294</v>
      </c>
      <c r="K270" t="s">
        <v>959</v>
      </c>
      <c r="L270" t="s">
        <v>245</v>
      </c>
      <c r="M270" t="s">
        <v>253</v>
      </c>
      <c r="N270" t="s">
        <v>247</v>
      </c>
      <c r="O270">
        <v>41696</v>
      </c>
      <c r="P270">
        <v>1.57</v>
      </c>
      <c r="Q270">
        <v>3.28</v>
      </c>
      <c r="R270">
        <f t="shared" si="25"/>
        <v>1.7099999999999997</v>
      </c>
      <c r="S270">
        <v>26</v>
      </c>
      <c r="T270">
        <f t="shared" si="26"/>
        <v>85.28</v>
      </c>
      <c r="U270">
        <v>0.08</v>
      </c>
      <c r="V270">
        <f t="shared" si="27"/>
        <v>6.8224</v>
      </c>
      <c r="W270">
        <f t="shared" si="28"/>
        <v>78.457599999999999</v>
      </c>
      <c r="X270">
        <v>0.98</v>
      </c>
      <c r="Y270">
        <f t="shared" si="29"/>
        <v>79.437600000000003</v>
      </c>
    </row>
    <row r="271" spans="1:25" x14ac:dyDescent="0.25">
      <c r="A271" t="s">
        <v>976</v>
      </c>
      <c r="B271">
        <v>41695</v>
      </c>
      <c r="C271" t="str">
        <f t="shared" si="24"/>
        <v>2014</v>
      </c>
      <c r="D271" t="s">
        <v>846</v>
      </c>
      <c r="E271" t="s">
        <v>396</v>
      </c>
      <c r="F271" t="s">
        <v>257</v>
      </c>
      <c r="G271" t="s">
        <v>258</v>
      </c>
      <c r="H271" t="s">
        <v>241</v>
      </c>
      <c r="I271" t="s">
        <v>372</v>
      </c>
      <c r="J271" t="s">
        <v>261</v>
      </c>
      <c r="K271" t="s">
        <v>399</v>
      </c>
      <c r="L271" t="s">
        <v>245</v>
      </c>
      <c r="M271" t="s">
        <v>253</v>
      </c>
      <c r="N271" t="s">
        <v>247</v>
      </c>
      <c r="O271">
        <v>41697</v>
      </c>
      <c r="P271">
        <v>3.47</v>
      </c>
      <c r="Q271">
        <v>6.68</v>
      </c>
      <c r="R271">
        <f t="shared" si="25"/>
        <v>3.2099999999999995</v>
      </c>
      <c r="S271">
        <v>33</v>
      </c>
      <c r="T271">
        <f t="shared" si="26"/>
        <v>220.44</v>
      </c>
      <c r="U271">
        <v>0.03</v>
      </c>
      <c r="V271">
        <f t="shared" si="27"/>
        <v>6.6132</v>
      </c>
      <c r="W271">
        <f t="shared" si="28"/>
        <v>213.82679999999999</v>
      </c>
      <c r="X271">
        <v>1.5</v>
      </c>
      <c r="Y271">
        <f t="shared" si="29"/>
        <v>215.32679999999999</v>
      </c>
    </row>
    <row r="272" spans="1:25" x14ac:dyDescent="0.25">
      <c r="A272" t="s">
        <v>977</v>
      </c>
      <c r="B272">
        <v>41698</v>
      </c>
      <c r="C272" t="str">
        <f t="shared" si="24"/>
        <v>2014</v>
      </c>
      <c r="D272" t="s">
        <v>978</v>
      </c>
      <c r="E272" t="s">
        <v>402</v>
      </c>
      <c r="F272" t="s">
        <v>257</v>
      </c>
      <c r="G272" t="s">
        <v>258</v>
      </c>
      <c r="H272" t="s">
        <v>293</v>
      </c>
      <c r="I272" t="s">
        <v>333</v>
      </c>
      <c r="J272" t="s">
        <v>304</v>
      </c>
      <c r="K272" t="s">
        <v>276</v>
      </c>
      <c r="L272" t="s">
        <v>245</v>
      </c>
      <c r="M272" t="s">
        <v>253</v>
      </c>
      <c r="N272" t="s">
        <v>247</v>
      </c>
      <c r="O272">
        <v>41699</v>
      </c>
      <c r="P272">
        <v>0.9</v>
      </c>
      <c r="Q272">
        <v>2.1</v>
      </c>
      <c r="R272">
        <f t="shared" si="25"/>
        <v>1.2000000000000002</v>
      </c>
      <c r="S272">
        <v>21</v>
      </c>
      <c r="T272">
        <f t="shared" si="26"/>
        <v>44.1</v>
      </c>
      <c r="U272">
        <v>0.04</v>
      </c>
      <c r="V272">
        <f t="shared" si="27"/>
        <v>1.764</v>
      </c>
      <c r="W272">
        <f t="shared" si="28"/>
        <v>42.335999999999999</v>
      </c>
      <c r="X272">
        <v>0.7</v>
      </c>
      <c r="Y272">
        <f t="shared" si="29"/>
        <v>43.036000000000001</v>
      </c>
    </row>
    <row r="273" spans="1:25" x14ac:dyDescent="0.25">
      <c r="A273" t="s">
        <v>979</v>
      </c>
      <c r="B273">
        <v>41700</v>
      </c>
      <c r="C273" t="str">
        <f t="shared" si="24"/>
        <v>2014</v>
      </c>
      <c r="D273" t="s">
        <v>980</v>
      </c>
      <c r="E273" t="s">
        <v>928</v>
      </c>
      <c r="F273" t="s">
        <v>257</v>
      </c>
      <c r="G273" t="s">
        <v>258</v>
      </c>
      <c r="H273" t="s">
        <v>241</v>
      </c>
      <c r="I273" t="s">
        <v>284</v>
      </c>
      <c r="J273" t="s">
        <v>304</v>
      </c>
      <c r="K273" t="s">
        <v>644</v>
      </c>
      <c r="L273" t="s">
        <v>245</v>
      </c>
      <c r="M273" t="s">
        <v>246</v>
      </c>
      <c r="N273" t="s">
        <v>247</v>
      </c>
      <c r="O273">
        <v>41701</v>
      </c>
      <c r="P273">
        <v>18.38</v>
      </c>
      <c r="Q273">
        <v>29.17</v>
      </c>
      <c r="R273">
        <f t="shared" si="25"/>
        <v>10.790000000000003</v>
      </c>
      <c r="S273">
        <v>1</v>
      </c>
      <c r="T273">
        <f t="shared" si="26"/>
        <v>29.17</v>
      </c>
      <c r="U273">
        <v>0.02</v>
      </c>
      <c r="V273">
        <f t="shared" si="27"/>
        <v>0.58340000000000003</v>
      </c>
      <c r="W273">
        <f t="shared" si="28"/>
        <v>28.586600000000001</v>
      </c>
      <c r="X273">
        <v>6.27</v>
      </c>
      <c r="Y273">
        <f t="shared" si="29"/>
        <v>34.8566</v>
      </c>
    </row>
    <row r="274" spans="1:25" x14ac:dyDescent="0.25">
      <c r="A274" t="s">
        <v>981</v>
      </c>
      <c r="B274">
        <v>41704</v>
      </c>
      <c r="C274" t="str">
        <f t="shared" si="24"/>
        <v>2014</v>
      </c>
      <c r="D274" t="s">
        <v>982</v>
      </c>
      <c r="E274" t="s">
        <v>367</v>
      </c>
      <c r="F274" t="s">
        <v>239</v>
      </c>
      <c r="G274" t="s">
        <v>240</v>
      </c>
      <c r="H274" t="s">
        <v>293</v>
      </c>
      <c r="I274" t="s">
        <v>251</v>
      </c>
      <c r="J274" t="s">
        <v>261</v>
      </c>
      <c r="K274" t="s">
        <v>607</v>
      </c>
      <c r="L274" t="s">
        <v>245</v>
      </c>
      <c r="M274" t="s">
        <v>246</v>
      </c>
      <c r="N274" t="s">
        <v>247</v>
      </c>
      <c r="O274">
        <v>41705</v>
      </c>
      <c r="P274">
        <v>4.46</v>
      </c>
      <c r="Q274">
        <v>10.89</v>
      </c>
      <c r="R274">
        <f t="shared" si="25"/>
        <v>6.4300000000000006</v>
      </c>
      <c r="S274">
        <v>32</v>
      </c>
      <c r="T274">
        <f t="shared" si="26"/>
        <v>348.48</v>
      </c>
      <c r="U274">
        <v>0.1</v>
      </c>
      <c r="V274">
        <f t="shared" si="27"/>
        <v>34.848000000000006</v>
      </c>
      <c r="W274">
        <f t="shared" si="28"/>
        <v>313.63200000000001</v>
      </c>
      <c r="X274">
        <v>4.5</v>
      </c>
      <c r="Y274">
        <f t="shared" si="29"/>
        <v>318.13200000000001</v>
      </c>
    </row>
    <row r="275" spans="1:25" x14ac:dyDescent="0.25">
      <c r="A275" t="s">
        <v>983</v>
      </c>
      <c r="B275">
        <v>41708</v>
      </c>
      <c r="C275" t="str">
        <f t="shared" si="24"/>
        <v>2014</v>
      </c>
      <c r="D275" t="s">
        <v>984</v>
      </c>
      <c r="E275" t="s">
        <v>928</v>
      </c>
      <c r="F275" t="s">
        <v>257</v>
      </c>
      <c r="G275" t="s">
        <v>258</v>
      </c>
      <c r="H275" t="s">
        <v>259</v>
      </c>
      <c r="I275" t="s">
        <v>284</v>
      </c>
      <c r="J275" t="s">
        <v>294</v>
      </c>
      <c r="K275" t="s">
        <v>617</v>
      </c>
      <c r="L275" t="s">
        <v>245</v>
      </c>
      <c r="M275" t="s">
        <v>246</v>
      </c>
      <c r="N275" t="s">
        <v>247</v>
      </c>
      <c r="O275">
        <v>41709</v>
      </c>
      <c r="P275">
        <v>1.94</v>
      </c>
      <c r="Q275">
        <v>3.08</v>
      </c>
      <c r="R275">
        <f t="shared" si="25"/>
        <v>1.1400000000000001</v>
      </c>
      <c r="S275">
        <v>1</v>
      </c>
      <c r="T275">
        <f t="shared" si="26"/>
        <v>3.08</v>
      </c>
      <c r="U275">
        <v>0.08</v>
      </c>
      <c r="V275">
        <f t="shared" si="27"/>
        <v>0.24640000000000001</v>
      </c>
      <c r="W275">
        <f t="shared" si="28"/>
        <v>2.8336000000000001</v>
      </c>
      <c r="X275">
        <v>0.99</v>
      </c>
      <c r="Y275">
        <f t="shared" si="29"/>
        <v>3.8235999999999999</v>
      </c>
    </row>
    <row r="276" spans="1:25" x14ac:dyDescent="0.25">
      <c r="A276" t="s">
        <v>985</v>
      </c>
      <c r="B276">
        <v>41709</v>
      </c>
      <c r="C276" t="str">
        <f t="shared" si="24"/>
        <v>2014</v>
      </c>
      <c r="D276" t="s">
        <v>477</v>
      </c>
      <c r="E276" t="s">
        <v>478</v>
      </c>
      <c r="F276" t="s">
        <v>257</v>
      </c>
      <c r="G276" t="s">
        <v>258</v>
      </c>
      <c r="H276" t="s">
        <v>259</v>
      </c>
      <c r="I276" t="s">
        <v>275</v>
      </c>
      <c r="J276" t="s">
        <v>304</v>
      </c>
      <c r="K276" t="s">
        <v>986</v>
      </c>
      <c r="L276" t="s">
        <v>245</v>
      </c>
      <c r="M276" t="s">
        <v>246</v>
      </c>
      <c r="N276" t="s">
        <v>247</v>
      </c>
      <c r="O276">
        <v>41710</v>
      </c>
      <c r="P276">
        <v>52.04</v>
      </c>
      <c r="Q276">
        <v>83.93</v>
      </c>
      <c r="R276">
        <f t="shared" si="25"/>
        <v>31.890000000000008</v>
      </c>
      <c r="S276">
        <v>50</v>
      </c>
      <c r="T276">
        <f t="shared" si="26"/>
        <v>4196.5</v>
      </c>
      <c r="U276">
        <v>0.1</v>
      </c>
      <c r="V276">
        <f t="shared" si="27"/>
        <v>419.65000000000003</v>
      </c>
      <c r="W276">
        <f t="shared" si="28"/>
        <v>3776.85</v>
      </c>
      <c r="X276">
        <v>19.989999999999998</v>
      </c>
      <c r="Y276">
        <f t="shared" si="29"/>
        <v>3796.8399999999997</v>
      </c>
    </row>
    <row r="277" spans="1:25" x14ac:dyDescent="0.25">
      <c r="A277" t="s">
        <v>987</v>
      </c>
      <c r="B277">
        <v>41710</v>
      </c>
      <c r="C277" t="str">
        <f t="shared" si="24"/>
        <v>2014</v>
      </c>
      <c r="D277" t="s">
        <v>988</v>
      </c>
      <c r="E277" t="s">
        <v>989</v>
      </c>
      <c r="F277" t="s">
        <v>448</v>
      </c>
      <c r="G277" t="s">
        <v>449</v>
      </c>
      <c r="H277" t="s">
        <v>241</v>
      </c>
      <c r="I277" t="s">
        <v>299</v>
      </c>
      <c r="J277" t="s">
        <v>243</v>
      </c>
      <c r="K277" t="s">
        <v>482</v>
      </c>
      <c r="L277" t="s">
        <v>268</v>
      </c>
      <c r="M277" t="s">
        <v>246</v>
      </c>
      <c r="N277" t="s">
        <v>263</v>
      </c>
      <c r="O277">
        <v>41711</v>
      </c>
      <c r="P277">
        <v>60.59</v>
      </c>
      <c r="Q277">
        <v>100.98</v>
      </c>
      <c r="R277">
        <f t="shared" si="25"/>
        <v>40.39</v>
      </c>
      <c r="S277">
        <v>5</v>
      </c>
      <c r="T277">
        <f t="shared" si="26"/>
        <v>504.90000000000003</v>
      </c>
      <c r="U277">
        <v>0.02</v>
      </c>
      <c r="V277">
        <f t="shared" si="27"/>
        <v>10.098000000000001</v>
      </c>
      <c r="W277">
        <f t="shared" si="28"/>
        <v>494.80200000000002</v>
      </c>
      <c r="X277">
        <v>7.18</v>
      </c>
      <c r="Y277">
        <f t="shared" si="29"/>
        <v>501.98200000000003</v>
      </c>
    </row>
    <row r="278" spans="1:25" x14ac:dyDescent="0.25">
      <c r="A278" t="s">
        <v>990</v>
      </c>
      <c r="B278">
        <v>41711</v>
      </c>
      <c r="C278" t="str">
        <f t="shared" si="24"/>
        <v>2014</v>
      </c>
      <c r="D278" t="s">
        <v>946</v>
      </c>
      <c r="E278" t="s">
        <v>420</v>
      </c>
      <c r="F278" t="s">
        <v>239</v>
      </c>
      <c r="G278" t="s">
        <v>240</v>
      </c>
      <c r="H278" t="s">
        <v>259</v>
      </c>
      <c r="I278" t="s">
        <v>251</v>
      </c>
      <c r="J278" t="s">
        <v>279</v>
      </c>
      <c r="K278" t="s">
        <v>435</v>
      </c>
      <c r="L278" t="s">
        <v>245</v>
      </c>
      <c r="M278" t="s">
        <v>253</v>
      </c>
      <c r="N278" t="s">
        <v>247</v>
      </c>
      <c r="O278">
        <v>41711</v>
      </c>
      <c r="P278">
        <v>3.75</v>
      </c>
      <c r="Q278">
        <v>7.08</v>
      </c>
      <c r="R278">
        <f t="shared" si="25"/>
        <v>3.33</v>
      </c>
      <c r="S278">
        <v>34</v>
      </c>
      <c r="T278">
        <f t="shared" si="26"/>
        <v>240.72</v>
      </c>
      <c r="U278">
        <v>0.03</v>
      </c>
      <c r="V278">
        <f t="shared" si="27"/>
        <v>7.2215999999999996</v>
      </c>
      <c r="W278">
        <f t="shared" si="28"/>
        <v>233.4984</v>
      </c>
      <c r="X278">
        <v>2.35</v>
      </c>
      <c r="Y278">
        <f t="shared" si="29"/>
        <v>235.8484</v>
      </c>
    </row>
    <row r="279" spans="1:25" x14ac:dyDescent="0.25">
      <c r="A279" t="s">
        <v>991</v>
      </c>
      <c r="B279">
        <v>41713</v>
      </c>
      <c r="C279" t="str">
        <f t="shared" si="24"/>
        <v>2014</v>
      </c>
      <c r="D279" t="s">
        <v>291</v>
      </c>
      <c r="E279" t="s">
        <v>292</v>
      </c>
      <c r="F279" t="s">
        <v>257</v>
      </c>
      <c r="G279" t="s">
        <v>258</v>
      </c>
      <c r="H279" t="s">
        <v>293</v>
      </c>
      <c r="I279" t="s">
        <v>260</v>
      </c>
      <c r="J279" t="s">
        <v>261</v>
      </c>
      <c r="K279" t="s">
        <v>653</v>
      </c>
      <c r="L279" t="s">
        <v>245</v>
      </c>
      <c r="M279" t="s">
        <v>246</v>
      </c>
      <c r="N279" t="s">
        <v>247</v>
      </c>
      <c r="O279">
        <v>41713</v>
      </c>
      <c r="P279">
        <v>3.5</v>
      </c>
      <c r="Q279">
        <v>5.74</v>
      </c>
      <c r="R279">
        <f t="shared" si="25"/>
        <v>2.2400000000000002</v>
      </c>
      <c r="S279">
        <v>45</v>
      </c>
      <c r="T279">
        <f t="shared" si="26"/>
        <v>258.3</v>
      </c>
      <c r="U279">
        <v>0</v>
      </c>
      <c r="V279">
        <f t="shared" si="27"/>
        <v>0</v>
      </c>
      <c r="W279">
        <f t="shared" si="28"/>
        <v>258.3</v>
      </c>
      <c r="X279">
        <v>5.01</v>
      </c>
      <c r="Y279">
        <f t="shared" si="29"/>
        <v>263.31</v>
      </c>
    </row>
    <row r="280" spans="1:25" x14ac:dyDescent="0.25">
      <c r="A280" t="s">
        <v>992</v>
      </c>
      <c r="B280">
        <v>41715</v>
      </c>
      <c r="C280" t="str">
        <f t="shared" si="24"/>
        <v>2014</v>
      </c>
      <c r="D280" t="s">
        <v>993</v>
      </c>
      <c r="E280" t="s">
        <v>782</v>
      </c>
      <c r="F280" t="s">
        <v>257</v>
      </c>
      <c r="G280" t="s">
        <v>258</v>
      </c>
      <c r="H280" t="s">
        <v>241</v>
      </c>
      <c r="I280" t="s">
        <v>381</v>
      </c>
      <c r="J280" t="s">
        <v>261</v>
      </c>
      <c r="K280" t="s">
        <v>280</v>
      </c>
      <c r="L280" t="s">
        <v>245</v>
      </c>
      <c r="M280" t="s">
        <v>253</v>
      </c>
      <c r="N280" t="s">
        <v>247</v>
      </c>
      <c r="O280">
        <v>41716</v>
      </c>
      <c r="P280">
        <v>1.0900000000000001</v>
      </c>
      <c r="Q280">
        <v>2.6</v>
      </c>
      <c r="R280">
        <f t="shared" si="25"/>
        <v>1.51</v>
      </c>
      <c r="S280">
        <v>43</v>
      </c>
      <c r="T280">
        <f t="shared" si="26"/>
        <v>111.8</v>
      </c>
      <c r="U280">
        <v>0.01</v>
      </c>
      <c r="V280">
        <f t="shared" si="27"/>
        <v>1.1180000000000001</v>
      </c>
      <c r="W280">
        <f t="shared" si="28"/>
        <v>110.682</v>
      </c>
      <c r="X280">
        <v>2.4</v>
      </c>
      <c r="Y280">
        <f t="shared" si="29"/>
        <v>113.08200000000001</v>
      </c>
    </row>
    <row r="281" spans="1:25" x14ac:dyDescent="0.25">
      <c r="A281" t="s">
        <v>994</v>
      </c>
      <c r="B281">
        <v>41715</v>
      </c>
      <c r="C281" t="str">
        <f t="shared" si="24"/>
        <v>2014</v>
      </c>
      <c r="D281" t="s">
        <v>995</v>
      </c>
      <c r="E281" t="s">
        <v>767</v>
      </c>
      <c r="F281" t="s">
        <v>257</v>
      </c>
      <c r="G281" t="s">
        <v>258</v>
      </c>
      <c r="H281" t="s">
        <v>259</v>
      </c>
      <c r="I281" t="s">
        <v>260</v>
      </c>
      <c r="J281" t="s">
        <v>294</v>
      </c>
      <c r="K281" t="s">
        <v>479</v>
      </c>
      <c r="L281" t="s">
        <v>245</v>
      </c>
      <c r="M281" t="s">
        <v>246</v>
      </c>
      <c r="N281" t="s">
        <v>247</v>
      </c>
      <c r="O281">
        <v>41716</v>
      </c>
      <c r="P281">
        <v>8.92</v>
      </c>
      <c r="Q281">
        <v>29.74</v>
      </c>
      <c r="R281">
        <f t="shared" si="25"/>
        <v>20.82</v>
      </c>
      <c r="S281">
        <v>25</v>
      </c>
      <c r="T281">
        <f t="shared" si="26"/>
        <v>743.5</v>
      </c>
      <c r="U281">
        <v>0</v>
      </c>
      <c r="V281">
        <f t="shared" si="27"/>
        <v>0</v>
      </c>
      <c r="W281">
        <f t="shared" si="28"/>
        <v>743.5</v>
      </c>
      <c r="X281">
        <v>6.64</v>
      </c>
      <c r="Y281">
        <f t="shared" si="29"/>
        <v>750.14</v>
      </c>
    </row>
    <row r="282" spans="1:25" x14ac:dyDescent="0.25">
      <c r="A282" t="s">
        <v>996</v>
      </c>
      <c r="B282">
        <v>41715</v>
      </c>
      <c r="C282" t="str">
        <f t="shared" si="24"/>
        <v>2014</v>
      </c>
      <c r="D282" t="s">
        <v>997</v>
      </c>
      <c r="E282" t="s">
        <v>376</v>
      </c>
      <c r="F282" t="s">
        <v>239</v>
      </c>
      <c r="G282" t="s">
        <v>240</v>
      </c>
      <c r="H282" t="s">
        <v>293</v>
      </c>
      <c r="I282" t="s">
        <v>242</v>
      </c>
      <c r="J282" t="s">
        <v>294</v>
      </c>
      <c r="K282" t="s">
        <v>998</v>
      </c>
      <c r="L282" t="s">
        <v>245</v>
      </c>
      <c r="M282" t="s">
        <v>246</v>
      </c>
      <c r="N282" t="s">
        <v>247</v>
      </c>
      <c r="O282">
        <v>41716</v>
      </c>
      <c r="P282">
        <v>21.97</v>
      </c>
      <c r="Q282">
        <v>35.44</v>
      </c>
      <c r="R282">
        <f t="shared" si="25"/>
        <v>13.469999999999999</v>
      </c>
      <c r="S282">
        <v>21</v>
      </c>
      <c r="T282">
        <f t="shared" si="26"/>
        <v>744.24</v>
      </c>
      <c r="U282">
        <v>0</v>
      </c>
      <c r="V282">
        <f t="shared" si="27"/>
        <v>0</v>
      </c>
      <c r="W282">
        <f t="shared" si="28"/>
        <v>744.24</v>
      </c>
      <c r="X282">
        <v>4.92</v>
      </c>
      <c r="Y282">
        <f t="shared" si="29"/>
        <v>749.16</v>
      </c>
    </row>
    <row r="283" spans="1:25" x14ac:dyDescent="0.25">
      <c r="A283" t="s">
        <v>999</v>
      </c>
      <c r="B283">
        <v>41717</v>
      </c>
      <c r="C283" t="str">
        <f t="shared" si="24"/>
        <v>2014</v>
      </c>
      <c r="D283" t="s">
        <v>1000</v>
      </c>
      <c r="E283" t="s">
        <v>1001</v>
      </c>
      <c r="F283" t="s">
        <v>239</v>
      </c>
      <c r="G283" t="s">
        <v>240</v>
      </c>
      <c r="H283" t="s">
        <v>293</v>
      </c>
      <c r="I283" t="s">
        <v>251</v>
      </c>
      <c r="J283" t="s">
        <v>261</v>
      </c>
      <c r="K283" t="s">
        <v>634</v>
      </c>
      <c r="L283" t="s">
        <v>245</v>
      </c>
      <c r="M283" t="s">
        <v>246</v>
      </c>
      <c r="N283" t="s">
        <v>247</v>
      </c>
      <c r="O283">
        <v>41719</v>
      </c>
      <c r="P283">
        <v>2.2599999999999998</v>
      </c>
      <c r="Q283">
        <v>3.58</v>
      </c>
      <c r="R283">
        <f t="shared" si="25"/>
        <v>1.3200000000000003</v>
      </c>
      <c r="S283">
        <v>39</v>
      </c>
      <c r="T283">
        <f t="shared" si="26"/>
        <v>139.62</v>
      </c>
      <c r="U283">
        <v>0</v>
      </c>
      <c r="V283">
        <f t="shared" si="27"/>
        <v>0</v>
      </c>
      <c r="W283">
        <f t="shared" si="28"/>
        <v>139.62</v>
      </c>
      <c r="X283">
        <v>5.47</v>
      </c>
      <c r="Y283">
        <f t="shared" si="29"/>
        <v>145.09</v>
      </c>
    </row>
    <row r="284" spans="1:25" x14ac:dyDescent="0.25">
      <c r="A284" t="s">
        <v>1002</v>
      </c>
      <c r="B284">
        <v>41719</v>
      </c>
      <c r="C284" t="str">
        <f t="shared" si="24"/>
        <v>2014</v>
      </c>
      <c r="D284" t="s">
        <v>1003</v>
      </c>
      <c r="E284" t="s">
        <v>795</v>
      </c>
      <c r="F284" t="s">
        <v>257</v>
      </c>
      <c r="G284" t="s">
        <v>258</v>
      </c>
      <c r="H284" t="s">
        <v>241</v>
      </c>
      <c r="I284" t="s">
        <v>372</v>
      </c>
      <c r="J284" t="s">
        <v>279</v>
      </c>
      <c r="K284" t="s">
        <v>617</v>
      </c>
      <c r="L284" t="s">
        <v>245</v>
      </c>
      <c r="M284" t="s">
        <v>246</v>
      </c>
      <c r="N284" t="s">
        <v>247</v>
      </c>
      <c r="O284">
        <v>41724</v>
      </c>
      <c r="P284">
        <v>1.94</v>
      </c>
      <c r="Q284">
        <v>3.08</v>
      </c>
      <c r="R284">
        <f t="shared" si="25"/>
        <v>1.1400000000000001</v>
      </c>
      <c r="S284">
        <v>5</v>
      </c>
      <c r="T284">
        <f t="shared" si="26"/>
        <v>15.4</v>
      </c>
      <c r="U284">
        <v>0.06</v>
      </c>
      <c r="V284">
        <f t="shared" si="27"/>
        <v>0.92399999999999993</v>
      </c>
      <c r="W284">
        <f t="shared" si="28"/>
        <v>14.476000000000001</v>
      </c>
      <c r="X284">
        <v>0.99</v>
      </c>
      <c r="Y284">
        <f t="shared" si="29"/>
        <v>15.466000000000001</v>
      </c>
    </row>
    <row r="285" spans="1:25" x14ac:dyDescent="0.25">
      <c r="A285" t="s">
        <v>1004</v>
      </c>
      <c r="B285">
        <v>41726</v>
      </c>
      <c r="C285" t="str">
        <f t="shared" si="24"/>
        <v>2014</v>
      </c>
      <c r="D285" t="s">
        <v>890</v>
      </c>
      <c r="E285" t="s">
        <v>380</v>
      </c>
      <c r="F285" t="s">
        <v>257</v>
      </c>
      <c r="G285" t="s">
        <v>258</v>
      </c>
      <c r="H285" t="s">
        <v>293</v>
      </c>
      <c r="I285" t="s">
        <v>381</v>
      </c>
      <c r="J285" t="s">
        <v>243</v>
      </c>
      <c r="K285" t="s">
        <v>779</v>
      </c>
      <c r="L285" t="s">
        <v>245</v>
      </c>
      <c r="M285" t="s">
        <v>246</v>
      </c>
      <c r="N285" t="s">
        <v>247</v>
      </c>
      <c r="O285">
        <v>41726</v>
      </c>
      <c r="P285">
        <v>11.04</v>
      </c>
      <c r="Q285">
        <v>16.98</v>
      </c>
      <c r="R285">
        <f t="shared" si="25"/>
        <v>5.9400000000000013</v>
      </c>
      <c r="S285">
        <v>31</v>
      </c>
      <c r="T285">
        <f t="shared" si="26"/>
        <v>526.38</v>
      </c>
      <c r="U285">
        <v>0.03</v>
      </c>
      <c r="V285">
        <f t="shared" si="27"/>
        <v>15.791399999999999</v>
      </c>
      <c r="W285">
        <f t="shared" si="28"/>
        <v>510.58859999999999</v>
      </c>
      <c r="X285">
        <v>12.39</v>
      </c>
      <c r="Y285">
        <f t="shared" si="29"/>
        <v>522.97860000000003</v>
      </c>
    </row>
    <row r="286" spans="1:25" x14ac:dyDescent="0.25">
      <c r="A286" t="s">
        <v>1005</v>
      </c>
      <c r="B286">
        <v>41727</v>
      </c>
      <c r="C286" t="str">
        <f t="shared" si="24"/>
        <v>2014</v>
      </c>
      <c r="D286" t="s">
        <v>1006</v>
      </c>
      <c r="E286" t="s">
        <v>745</v>
      </c>
      <c r="F286" t="s">
        <v>257</v>
      </c>
      <c r="G286" t="s">
        <v>258</v>
      </c>
      <c r="H286" t="s">
        <v>274</v>
      </c>
      <c r="I286" t="s">
        <v>372</v>
      </c>
      <c r="J286" t="s">
        <v>294</v>
      </c>
      <c r="K286" t="s">
        <v>776</v>
      </c>
      <c r="L286" t="s">
        <v>245</v>
      </c>
      <c r="M286" t="s">
        <v>246</v>
      </c>
      <c r="N286" t="s">
        <v>247</v>
      </c>
      <c r="O286">
        <v>41728</v>
      </c>
      <c r="P286">
        <v>4.53</v>
      </c>
      <c r="Q286">
        <v>7.3</v>
      </c>
      <c r="R286">
        <f t="shared" si="25"/>
        <v>2.7699999999999996</v>
      </c>
      <c r="S286">
        <v>18</v>
      </c>
      <c r="T286">
        <f t="shared" si="26"/>
        <v>131.4</v>
      </c>
      <c r="U286">
        <v>0.05</v>
      </c>
      <c r="V286">
        <f t="shared" si="27"/>
        <v>6.57</v>
      </c>
      <c r="W286">
        <f t="shared" si="28"/>
        <v>124.83000000000001</v>
      </c>
      <c r="X286">
        <v>7.72</v>
      </c>
      <c r="Y286">
        <f t="shared" si="29"/>
        <v>132.55000000000001</v>
      </c>
    </row>
    <row r="287" spans="1:25" x14ac:dyDescent="0.25">
      <c r="A287" t="s">
        <v>1007</v>
      </c>
      <c r="B287">
        <v>41729</v>
      </c>
      <c r="C287" t="str">
        <f t="shared" si="24"/>
        <v>2014</v>
      </c>
      <c r="D287" t="s">
        <v>1008</v>
      </c>
      <c r="E287" t="s">
        <v>709</v>
      </c>
      <c r="F287" t="s">
        <v>257</v>
      </c>
      <c r="G287" t="s">
        <v>258</v>
      </c>
      <c r="H287" t="s">
        <v>241</v>
      </c>
      <c r="I287" t="s">
        <v>275</v>
      </c>
      <c r="J287" t="s">
        <v>294</v>
      </c>
      <c r="K287" t="s">
        <v>572</v>
      </c>
      <c r="L287" t="s">
        <v>245</v>
      </c>
      <c r="M287" t="s">
        <v>253</v>
      </c>
      <c r="N287" t="s">
        <v>247</v>
      </c>
      <c r="O287">
        <v>41729</v>
      </c>
      <c r="P287">
        <v>4.37</v>
      </c>
      <c r="Q287">
        <v>9.11</v>
      </c>
      <c r="R287">
        <f t="shared" si="25"/>
        <v>4.7399999999999993</v>
      </c>
      <c r="S287">
        <v>1</v>
      </c>
      <c r="T287">
        <f t="shared" si="26"/>
        <v>9.11</v>
      </c>
      <c r="U287">
        <v>0.1</v>
      </c>
      <c r="V287">
        <f t="shared" si="27"/>
        <v>0.91100000000000003</v>
      </c>
      <c r="W287">
        <f t="shared" si="28"/>
        <v>8.1989999999999998</v>
      </c>
      <c r="X287">
        <v>2.25</v>
      </c>
      <c r="Y287">
        <f t="shared" si="29"/>
        <v>10.449</v>
      </c>
    </row>
    <row r="288" spans="1:25" x14ac:dyDescent="0.25">
      <c r="A288" t="s">
        <v>1009</v>
      </c>
      <c r="B288">
        <v>41730</v>
      </c>
      <c r="C288" t="str">
        <f t="shared" si="24"/>
        <v>2014</v>
      </c>
      <c r="D288" t="s">
        <v>893</v>
      </c>
      <c r="E288" t="s">
        <v>507</v>
      </c>
      <c r="F288" t="s">
        <v>257</v>
      </c>
      <c r="G288" t="s">
        <v>258</v>
      </c>
      <c r="H288" t="s">
        <v>274</v>
      </c>
      <c r="I288" t="s">
        <v>342</v>
      </c>
      <c r="J288" t="s">
        <v>261</v>
      </c>
      <c r="K288" t="s">
        <v>786</v>
      </c>
      <c r="L288" t="s">
        <v>245</v>
      </c>
      <c r="M288" t="s">
        <v>323</v>
      </c>
      <c r="N288" t="s">
        <v>247</v>
      </c>
      <c r="O288">
        <v>41731</v>
      </c>
      <c r="P288">
        <v>16.8</v>
      </c>
      <c r="Q288">
        <v>40.97</v>
      </c>
      <c r="R288">
        <f t="shared" si="25"/>
        <v>24.169999999999998</v>
      </c>
      <c r="S288">
        <v>44</v>
      </c>
      <c r="T288">
        <f t="shared" si="26"/>
        <v>1802.6799999999998</v>
      </c>
      <c r="U288">
        <v>0.08</v>
      </c>
      <c r="V288">
        <f t="shared" si="27"/>
        <v>144.21439999999998</v>
      </c>
      <c r="W288">
        <f t="shared" si="28"/>
        <v>1658.4655999999998</v>
      </c>
      <c r="X288">
        <v>8.99</v>
      </c>
      <c r="Y288">
        <f t="shared" si="29"/>
        <v>1667.4555999999998</v>
      </c>
    </row>
    <row r="289" spans="1:25" x14ac:dyDescent="0.25">
      <c r="A289" t="s">
        <v>1010</v>
      </c>
      <c r="B289">
        <v>41731</v>
      </c>
      <c r="C289" t="str">
        <f t="shared" si="24"/>
        <v>2014</v>
      </c>
      <c r="D289" t="s">
        <v>366</v>
      </c>
      <c r="E289" t="s">
        <v>367</v>
      </c>
      <c r="F289" t="s">
        <v>239</v>
      </c>
      <c r="G289" t="s">
        <v>240</v>
      </c>
      <c r="H289" t="s">
        <v>259</v>
      </c>
      <c r="I289" t="s">
        <v>251</v>
      </c>
      <c r="J289" t="s">
        <v>304</v>
      </c>
      <c r="K289" t="s">
        <v>1011</v>
      </c>
      <c r="L289" t="s">
        <v>245</v>
      </c>
      <c r="M289" t="s">
        <v>246</v>
      </c>
      <c r="N289" t="s">
        <v>247</v>
      </c>
      <c r="O289">
        <v>41733</v>
      </c>
      <c r="P289">
        <v>7.13</v>
      </c>
      <c r="Q289">
        <v>20.98</v>
      </c>
      <c r="R289">
        <f t="shared" si="25"/>
        <v>13.850000000000001</v>
      </c>
      <c r="S289">
        <v>39</v>
      </c>
      <c r="T289">
        <f t="shared" si="26"/>
        <v>818.22</v>
      </c>
      <c r="U289">
        <v>0.04</v>
      </c>
      <c r="V289">
        <f t="shared" si="27"/>
        <v>32.7288</v>
      </c>
      <c r="W289">
        <f t="shared" si="28"/>
        <v>785.49120000000005</v>
      </c>
      <c r="X289">
        <v>5.42</v>
      </c>
      <c r="Y289">
        <f t="shared" si="29"/>
        <v>790.91120000000001</v>
      </c>
    </row>
    <row r="290" spans="1:25" x14ac:dyDescent="0.25">
      <c r="A290" t="s">
        <v>1012</v>
      </c>
      <c r="B290">
        <v>41731</v>
      </c>
      <c r="C290" t="str">
        <f t="shared" si="24"/>
        <v>2014</v>
      </c>
      <c r="D290" t="s">
        <v>1013</v>
      </c>
      <c r="E290" t="s">
        <v>1014</v>
      </c>
      <c r="F290" t="s">
        <v>257</v>
      </c>
      <c r="G290" t="s">
        <v>258</v>
      </c>
      <c r="H290" t="s">
        <v>274</v>
      </c>
      <c r="I290" t="s">
        <v>492</v>
      </c>
      <c r="J290" t="s">
        <v>261</v>
      </c>
      <c r="K290" t="s">
        <v>638</v>
      </c>
      <c r="L290" t="s">
        <v>245</v>
      </c>
      <c r="M290" t="s">
        <v>323</v>
      </c>
      <c r="N290" t="s">
        <v>247</v>
      </c>
      <c r="O290">
        <v>41733</v>
      </c>
      <c r="P290">
        <v>1.46</v>
      </c>
      <c r="Q290">
        <v>3.57</v>
      </c>
      <c r="R290">
        <f t="shared" si="25"/>
        <v>2.11</v>
      </c>
      <c r="S290">
        <v>41</v>
      </c>
      <c r="T290">
        <f t="shared" si="26"/>
        <v>146.37</v>
      </c>
      <c r="U290">
        <v>0.03</v>
      </c>
      <c r="V290">
        <f t="shared" si="27"/>
        <v>4.3910999999999998</v>
      </c>
      <c r="W290">
        <f t="shared" si="28"/>
        <v>141.97890000000001</v>
      </c>
      <c r="X290">
        <v>4.17</v>
      </c>
      <c r="Y290">
        <f t="shared" si="29"/>
        <v>146.1489</v>
      </c>
    </row>
    <row r="291" spans="1:25" x14ac:dyDescent="0.25">
      <c r="A291" t="s">
        <v>1015</v>
      </c>
      <c r="B291">
        <v>41732</v>
      </c>
      <c r="C291" t="str">
        <f t="shared" si="24"/>
        <v>2014</v>
      </c>
      <c r="D291" t="s">
        <v>623</v>
      </c>
      <c r="E291" t="s">
        <v>1016</v>
      </c>
      <c r="F291" t="s">
        <v>257</v>
      </c>
      <c r="G291" t="s">
        <v>258</v>
      </c>
      <c r="H291" t="s">
        <v>274</v>
      </c>
      <c r="I291" t="s">
        <v>504</v>
      </c>
      <c r="J291" t="s">
        <v>304</v>
      </c>
      <c r="K291" t="s">
        <v>1017</v>
      </c>
      <c r="L291" t="s">
        <v>245</v>
      </c>
      <c r="M291" t="s">
        <v>253</v>
      </c>
      <c r="N291" t="s">
        <v>247</v>
      </c>
      <c r="O291">
        <v>41734</v>
      </c>
      <c r="P291">
        <v>2.13</v>
      </c>
      <c r="Q291">
        <v>3.49</v>
      </c>
      <c r="R291">
        <f t="shared" si="25"/>
        <v>1.3600000000000003</v>
      </c>
      <c r="S291">
        <v>46</v>
      </c>
      <c r="T291">
        <f t="shared" si="26"/>
        <v>160.54000000000002</v>
      </c>
      <c r="U291">
        <v>0.01</v>
      </c>
      <c r="V291">
        <f t="shared" si="27"/>
        <v>1.6054000000000002</v>
      </c>
      <c r="W291">
        <f t="shared" si="28"/>
        <v>158.93460000000002</v>
      </c>
      <c r="X291">
        <v>0.76</v>
      </c>
      <c r="Y291">
        <f t="shared" si="29"/>
        <v>159.69460000000001</v>
      </c>
    </row>
    <row r="292" spans="1:25" x14ac:dyDescent="0.25">
      <c r="A292" t="s">
        <v>1018</v>
      </c>
      <c r="B292">
        <v>41733</v>
      </c>
      <c r="C292" t="str">
        <f t="shared" si="24"/>
        <v>2014</v>
      </c>
      <c r="D292" t="s">
        <v>611</v>
      </c>
      <c r="E292" t="s">
        <v>612</v>
      </c>
      <c r="F292" t="s">
        <v>239</v>
      </c>
      <c r="G292" t="s">
        <v>240</v>
      </c>
      <c r="H292" t="s">
        <v>293</v>
      </c>
      <c r="I292" t="s">
        <v>242</v>
      </c>
      <c r="J292" t="s">
        <v>294</v>
      </c>
      <c r="K292" t="s">
        <v>460</v>
      </c>
      <c r="L292" t="s">
        <v>245</v>
      </c>
      <c r="M292" t="s">
        <v>246</v>
      </c>
      <c r="N292" t="s">
        <v>247</v>
      </c>
      <c r="O292">
        <v>41734</v>
      </c>
      <c r="P292">
        <v>3.84</v>
      </c>
      <c r="Q292">
        <v>6.3</v>
      </c>
      <c r="R292">
        <f t="shared" si="25"/>
        <v>2.46</v>
      </c>
      <c r="S292">
        <v>18</v>
      </c>
      <c r="T292">
        <f t="shared" si="26"/>
        <v>113.39999999999999</v>
      </c>
      <c r="U292">
        <v>0.1</v>
      </c>
      <c r="V292">
        <f t="shared" si="27"/>
        <v>11.34</v>
      </c>
      <c r="W292">
        <f t="shared" si="28"/>
        <v>102.05999999999999</v>
      </c>
      <c r="X292">
        <v>0.5</v>
      </c>
      <c r="Y292">
        <f t="shared" si="29"/>
        <v>102.55999999999999</v>
      </c>
    </row>
    <row r="293" spans="1:25" x14ac:dyDescent="0.25">
      <c r="A293" t="s">
        <v>1019</v>
      </c>
      <c r="B293">
        <v>41735</v>
      </c>
      <c r="C293" t="str">
        <f t="shared" si="24"/>
        <v>2014</v>
      </c>
      <c r="D293" t="s">
        <v>1020</v>
      </c>
      <c r="E293" t="s">
        <v>1014</v>
      </c>
      <c r="F293" t="s">
        <v>257</v>
      </c>
      <c r="G293" t="s">
        <v>258</v>
      </c>
      <c r="H293" t="s">
        <v>259</v>
      </c>
      <c r="I293" t="s">
        <v>492</v>
      </c>
      <c r="J293" t="s">
        <v>279</v>
      </c>
      <c r="K293" t="s">
        <v>1021</v>
      </c>
      <c r="L293" t="s">
        <v>245</v>
      </c>
      <c r="M293" t="s">
        <v>253</v>
      </c>
      <c r="N293" t="s">
        <v>247</v>
      </c>
      <c r="O293">
        <v>41740</v>
      </c>
      <c r="P293">
        <v>1.05</v>
      </c>
      <c r="Q293">
        <v>1.95</v>
      </c>
      <c r="R293">
        <f t="shared" si="25"/>
        <v>0.89999999999999991</v>
      </c>
      <c r="S293">
        <v>31</v>
      </c>
      <c r="T293">
        <f t="shared" si="26"/>
        <v>60.449999999999996</v>
      </c>
      <c r="U293">
        <v>0.02</v>
      </c>
      <c r="V293">
        <f t="shared" si="27"/>
        <v>1.2089999999999999</v>
      </c>
      <c r="W293">
        <f t="shared" si="28"/>
        <v>59.240999999999993</v>
      </c>
      <c r="X293">
        <v>1.63</v>
      </c>
      <c r="Y293">
        <f t="shared" si="29"/>
        <v>60.870999999999995</v>
      </c>
    </row>
    <row r="294" spans="1:25" x14ac:dyDescent="0.25">
      <c r="A294" t="s">
        <v>1022</v>
      </c>
      <c r="B294">
        <v>41736</v>
      </c>
      <c r="C294" t="str">
        <f t="shared" si="24"/>
        <v>2014</v>
      </c>
      <c r="D294" t="s">
        <v>1023</v>
      </c>
      <c r="E294" t="s">
        <v>356</v>
      </c>
      <c r="F294" t="s">
        <v>239</v>
      </c>
      <c r="G294" t="s">
        <v>240</v>
      </c>
      <c r="H294" t="s">
        <v>259</v>
      </c>
      <c r="I294" t="s">
        <v>251</v>
      </c>
      <c r="J294" t="s">
        <v>261</v>
      </c>
      <c r="K294" t="s">
        <v>582</v>
      </c>
      <c r="L294" t="s">
        <v>245</v>
      </c>
      <c r="M294" t="s">
        <v>253</v>
      </c>
      <c r="N294" t="s">
        <v>247</v>
      </c>
      <c r="O294">
        <v>41736</v>
      </c>
      <c r="P294">
        <v>0.24</v>
      </c>
      <c r="Q294">
        <v>1.26</v>
      </c>
      <c r="R294">
        <f t="shared" si="25"/>
        <v>1.02</v>
      </c>
      <c r="S294">
        <v>35</v>
      </c>
      <c r="T294">
        <f t="shared" si="26"/>
        <v>44.1</v>
      </c>
      <c r="U294">
        <v>0.09</v>
      </c>
      <c r="V294">
        <f t="shared" si="27"/>
        <v>3.9689999999999999</v>
      </c>
      <c r="W294">
        <f t="shared" si="28"/>
        <v>40.131</v>
      </c>
      <c r="X294">
        <v>0.7</v>
      </c>
      <c r="Y294">
        <f t="shared" si="29"/>
        <v>40.831000000000003</v>
      </c>
    </row>
    <row r="295" spans="1:25" x14ac:dyDescent="0.25">
      <c r="A295" t="s">
        <v>1024</v>
      </c>
      <c r="B295">
        <v>41736</v>
      </c>
      <c r="C295" t="str">
        <f t="shared" si="24"/>
        <v>2014</v>
      </c>
      <c r="D295" t="s">
        <v>744</v>
      </c>
      <c r="E295" t="s">
        <v>745</v>
      </c>
      <c r="F295" t="s">
        <v>257</v>
      </c>
      <c r="G295" t="s">
        <v>258</v>
      </c>
      <c r="H295" t="s">
        <v>241</v>
      </c>
      <c r="I295" t="s">
        <v>372</v>
      </c>
      <c r="J295" t="s">
        <v>294</v>
      </c>
      <c r="K295" t="s">
        <v>1025</v>
      </c>
      <c r="L295" t="s">
        <v>268</v>
      </c>
      <c r="M295" t="s">
        <v>269</v>
      </c>
      <c r="N295" t="s">
        <v>270</v>
      </c>
      <c r="O295">
        <v>41736</v>
      </c>
      <c r="P295">
        <v>315.61</v>
      </c>
      <c r="Q295">
        <v>500.97</v>
      </c>
      <c r="R295">
        <f t="shared" si="25"/>
        <v>185.36</v>
      </c>
      <c r="S295">
        <v>31</v>
      </c>
      <c r="T295">
        <f t="shared" si="26"/>
        <v>15530.070000000002</v>
      </c>
      <c r="U295">
        <v>0.06</v>
      </c>
      <c r="V295">
        <f t="shared" si="27"/>
        <v>931.80420000000004</v>
      </c>
      <c r="W295">
        <f t="shared" si="28"/>
        <v>14598.265800000001</v>
      </c>
      <c r="X295">
        <v>69.3</v>
      </c>
      <c r="Y295">
        <f t="shared" si="29"/>
        <v>14667.5658</v>
      </c>
    </row>
    <row r="296" spans="1:25" x14ac:dyDescent="0.25">
      <c r="A296" t="s">
        <v>1026</v>
      </c>
      <c r="B296">
        <v>41736</v>
      </c>
      <c r="C296" t="str">
        <f t="shared" si="24"/>
        <v>2014</v>
      </c>
      <c r="D296" t="s">
        <v>1027</v>
      </c>
      <c r="E296" t="s">
        <v>727</v>
      </c>
      <c r="F296" t="s">
        <v>257</v>
      </c>
      <c r="G296" t="s">
        <v>258</v>
      </c>
      <c r="H296" t="s">
        <v>259</v>
      </c>
      <c r="I296" t="s">
        <v>333</v>
      </c>
      <c r="J296" t="s">
        <v>304</v>
      </c>
      <c r="K296" t="s">
        <v>939</v>
      </c>
      <c r="L296" t="s">
        <v>268</v>
      </c>
      <c r="M296" t="s">
        <v>647</v>
      </c>
      <c r="N296" t="s">
        <v>247</v>
      </c>
      <c r="O296">
        <v>41738</v>
      </c>
      <c r="P296">
        <v>377.99</v>
      </c>
      <c r="Q296">
        <v>599.99</v>
      </c>
      <c r="R296">
        <f t="shared" si="25"/>
        <v>222</v>
      </c>
      <c r="S296">
        <v>30</v>
      </c>
      <c r="T296">
        <f t="shared" si="26"/>
        <v>17999.7</v>
      </c>
      <c r="U296">
        <v>0.09</v>
      </c>
      <c r="V296">
        <f t="shared" si="27"/>
        <v>1619.973</v>
      </c>
      <c r="W296">
        <f t="shared" si="28"/>
        <v>16379.727000000001</v>
      </c>
      <c r="X296">
        <v>24.49</v>
      </c>
      <c r="Y296">
        <f t="shared" si="29"/>
        <v>16404.217000000001</v>
      </c>
    </row>
    <row r="297" spans="1:25" x14ac:dyDescent="0.25">
      <c r="A297" t="s">
        <v>1028</v>
      </c>
      <c r="B297">
        <v>41740</v>
      </c>
      <c r="C297" t="str">
        <f t="shared" si="24"/>
        <v>2014</v>
      </c>
      <c r="D297" t="s">
        <v>1029</v>
      </c>
      <c r="E297" t="s">
        <v>463</v>
      </c>
      <c r="F297" t="s">
        <v>257</v>
      </c>
      <c r="G297" t="s">
        <v>258</v>
      </c>
      <c r="H297" t="s">
        <v>293</v>
      </c>
      <c r="I297" t="s">
        <v>333</v>
      </c>
      <c r="J297" t="s">
        <v>304</v>
      </c>
      <c r="K297" t="s">
        <v>280</v>
      </c>
      <c r="L297" t="s">
        <v>245</v>
      </c>
      <c r="M297" t="s">
        <v>253</v>
      </c>
      <c r="N297" t="s">
        <v>247</v>
      </c>
      <c r="O297">
        <v>41741</v>
      </c>
      <c r="P297">
        <v>1.0900000000000001</v>
      </c>
      <c r="Q297">
        <v>2.6</v>
      </c>
      <c r="R297">
        <f t="shared" si="25"/>
        <v>1.51</v>
      </c>
      <c r="S297">
        <v>2</v>
      </c>
      <c r="T297">
        <f t="shared" si="26"/>
        <v>5.2</v>
      </c>
      <c r="U297">
        <v>0.03</v>
      </c>
      <c r="V297">
        <f t="shared" si="27"/>
        <v>0.156</v>
      </c>
      <c r="W297">
        <f t="shared" si="28"/>
        <v>5.0440000000000005</v>
      </c>
      <c r="X297">
        <v>2.4</v>
      </c>
      <c r="Y297">
        <f t="shared" si="29"/>
        <v>7.4440000000000008</v>
      </c>
    </row>
    <row r="298" spans="1:25" x14ac:dyDescent="0.25">
      <c r="A298" t="s">
        <v>1030</v>
      </c>
      <c r="B298">
        <v>41744</v>
      </c>
      <c r="C298" t="str">
        <f t="shared" si="24"/>
        <v>2014</v>
      </c>
      <c r="D298" t="s">
        <v>1031</v>
      </c>
      <c r="E298" t="s">
        <v>312</v>
      </c>
      <c r="F298" t="s">
        <v>257</v>
      </c>
      <c r="G298" t="s">
        <v>258</v>
      </c>
      <c r="H298" t="s">
        <v>259</v>
      </c>
      <c r="I298" t="s">
        <v>284</v>
      </c>
      <c r="J298" t="s">
        <v>243</v>
      </c>
      <c r="K298" t="s">
        <v>598</v>
      </c>
      <c r="L298" t="s">
        <v>268</v>
      </c>
      <c r="M298" t="s">
        <v>246</v>
      </c>
      <c r="N298" t="s">
        <v>247</v>
      </c>
      <c r="O298">
        <v>41745</v>
      </c>
      <c r="P298">
        <v>6.51</v>
      </c>
      <c r="Q298">
        <v>30.98</v>
      </c>
      <c r="R298">
        <f t="shared" si="25"/>
        <v>24.47</v>
      </c>
      <c r="S298">
        <v>36</v>
      </c>
      <c r="T298">
        <f t="shared" si="26"/>
        <v>1115.28</v>
      </c>
      <c r="U298">
        <v>0</v>
      </c>
      <c r="V298">
        <f t="shared" si="27"/>
        <v>0</v>
      </c>
      <c r="W298">
        <f t="shared" si="28"/>
        <v>1115.28</v>
      </c>
      <c r="X298">
        <v>6.5</v>
      </c>
      <c r="Y298">
        <f t="shared" si="29"/>
        <v>1121.78</v>
      </c>
    </row>
    <row r="299" spans="1:25" x14ac:dyDescent="0.25">
      <c r="A299" t="s">
        <v>1032</v>
      </c>
      <c r="B299">
        <v>41746</v>
      </c>
      <c r="C299" t="str">
        <f t="shared" si="24"/>
        <v>2014</v>
      </c>
      <c r="D299" t="s">
        <v>1033</v>
      </c>
      <c r="E299" t="s">
        <v>376</v>
      </c>
      <c r="F299" t="s">
        <v>239</v>
      </c>
      <c r="G299" t="s">
        <v>240</v>
      </c>
      <c r="H299" t="s">
        <v>274</v>
      </c>
      <c r="I299" t="s">
        <v>242</v>
      </c>
      <c r="J299" t="s">
        <v>243</v>
      </c>
      <c r="K299" t="s">
        <v>329</v>
      </c>
      <c r="L299" t="s">
        <v>245</v>
      </c>
      <c r="M299" t="s">
        <v>246</v>
      </c>
      <c r="N299" t="s">
        <v>247</v>
      </c>
      <c r="O299">
        <v>41748</v>
      </c>
      <c r="P299">
        <v>4.59</v>
      </c>
      <c r="Q299">
        <v>7.28</v>
      </c>
      <c r="R299">
        <f t="shared" si="25"/>
        <v>2.6900000000000004</v>
      </c>
      <c r="S299">
        <v>11</v>
      </c>
      <c r="T299">
        <f t="shared" si="26"/>
        <v>80.08</v>
      </c>
      <c r="U299">
        <v>7.0000000000000007E-2</v>
      </c>
      <c r="V299">
        <f t="shared" si="27"/>
        <v>5.6056000000000008</v>
      </c>
      <c r="W299">
        <f t="shared" si="28"/>
        <v>74.474400000000003</v>
      </c>
      <c r="X299">
        <v>11.15</v>
      </c>
      <c r="Y299">
        <f t="shared" si="29"/>
        <v>85.624400000000009</v>
      </c>
    </row>
    <row r="300" spans="1:25" x14ac:dyDescent="0.25">
      <c r="A300" t="s">
        <v>1034</v>
      </c>
      <c r="B300">
        <v>41746</v>
      </c>
      <c r="C300" t="str">
        <f t="shared" si="24"/>
        <v>2014</v>
      </c>
      <c r="D300" t="s">
        <v>1035</v>
      </c>
      <c r="E300" t="s">
        <v>938</v>
      </c>
      <c r="F300" t="s">
        <v>239</v>
      </c>
      <c r="G300" t="s">
        <v>240</v>
      </c>
      <c r="H300" t="s">
        <v>241</v>
      </c>
      <c r="I300" t="s">
        <v>242</v>
      </c>
      <c r="J300" t="s">
        <v>304</v>
      </c>
      <c r="K300" t="s">
        <v>963</v>
      </c>
      <c r="L300" t="s">
        <v>245</v>
      </c>
      <c r="M300" t="s">
        <v>323</v>
      </c>
      <c r="N300" t="s">
        <v>247</v>
      </c>
      <c r="O300">
        <v>41747</v>
      </c>
      <c r="P300">
        <v>4.1900000000000004</v>
      </c>
      <c r="Q300">
        <v>10.23</v>
      </c>
      <c r="R300">
        <f t="shared" si="25"/>
        <v>6.04</v>
      </c>
      <c r="S300">
        <v>22</v>
      </c>
      <c r="T300">
        <f t="shared" si="26"/>
        <v>225.06</v>
      </c>
      <c r="U300">
        <v>7.0000000000000007E-2</v>
      </c>
      <c r="V300">
        <f t="shared" si="27"/>
        <v>15.754200000000001</v>
      </c>
      <c r="W300">
        <f t="shared" si="28"/>
        <v>209.3058</v>
      </c>
      <c r="X300">
        <v>4.68</v>
      </c>
      <c r="Y300">
        <f t="shared" si="29"/>
        <v>213.98580000000001</v>
      </c>
    </row>
    <row r="301" spans="1:25" x14ac:dyDescent="0.25">
      <c r="A301" t="s">
        <v>1036</v>
      </c>
      <c r="B301">
        <v>41746</v>
      </c>
      <c r="C301" t="str">
        <f t="shared" si="24"/>
        <v>2014</v>
      </c>
      <c r="D301" t="s">
        <v>1037</v>
      </c>
      <c r="E301" t="s">
        <v>1038</v>
      </c>
      <c r="F301" t="s">
        <v>257</v>
      </c>
      <c r="G301" t="s">
        <v>258</v>
      </c>
      <c r="H301" t="s">
        <v>293</v>
      </c>
      <c r="I301" t="s">
        <v>321</v>
      </c>
      <c r="J301" t="s">
        <v>261</v>
      </c>
      <c r="K301" t="s">
        <v>322</v>
      </c>
      <c r="L301" t="s">
        <v>245</v>
      </c>
      <c r="M301" t="s">
        <v>323</v>
      </c>
      <c r="N301" t="s">
        <v>263</v>
      </c>
      <c r="O301">
        <v>41747</v>
      </c>
      <c r="P301">
        <v>3.42</v>
      </c>
      <c r="Q301">
        <v>8.34</v>
      </c>
      <c r="R301">
        <f t="shared" si="25"/>
        <v>4.92</v>
      </c>
      <c r="S301">
        <v>16</v>
      </c>
      <c r="T301">
        <f t="shared" si="26"/>
        <v>133.44</v>
      </c>
      <c r="U301">
        <v>0.04</v>
      </c>
      <c r="V301">
        <f t="shared" si="27"/>
        <v>5.3376000000000001</v>
      </c>
      <c r="W301">
        <f t="shared" si="28"/>
        <v>128.10239999999999</v>
      </c>
      <c r="X301">
        <v>2.64</v>
      </c>
      <c r="Y301">
        <f t="shared" si="29"/>
        <v>130.74239999999998</v>
      </c>
    </row>
    <row r="302" spans="1:25" x14ac:dyDescent="0.25">
      <c r="A302" t="s">
        <v>1039</v>
      </c>
      <c r="B302">
        <v>41761</v>
      </c>
      <c r="C302" t="str">
        <f t="shared" si="24"/>
        <v>2014</v>
      </c>
      <c r="D302" t="s">
        <v>1040</v>
      </c>
      <c r="E302" t="s">
        <v>1041</v>
      </c>
      <c r="F302" t="s">
        <v>257</v>
      </c>
      <c r="G302" t="s">
        <v>258</v>
      </c>
      <c r="H302" t="s">
        <v>274</v>
      </c>
      <c r="I302" t="s">
        <v>372</v>
      </c>
      <c r="J302" t="s">
        <v>279</v>
      </c>
      <c r="K302" t="s">
        <v>1042</v>
      </c>
      <c r="L302" t="s">
        <v>245</v>
      </c>
      <c r="M302" t="s">
        <v>246</v>
      </c>
      <c r="N302" t="s">
        <v>247</v>
      </c>
      <c r="O302">
        <v>41763</v>
      </c>
      <c r="P302">
        <v>84.22</v>
      </c>
      <c r="Q302">
        <v>210.55</v>
      </c>
      <c r="R302">
        <f t="shared" si="25"/>
        <v>126.33000000000001</v>
      </c>
      <c r="S302">
        <v>32</v>
      </c>
      <c r="T302">
        <f t="shared" si="26"/>
        <v>6737.6</v>
      </c>
      <c r="U302">
        <v>0.1</v>
      </c>
      <c r="V302">
        <f t="shared" si="27"/>
        <v>673.7600000000001</v>
      </c>
      <c r="W302">
        <f t="shared" si="28"/>
        <v>6063.84</v>
      </c>
      <c r="X302">
        <v>9.99</v>
      </c>
      <c r="Y302">
        <f t="shared" si="29"/>
        <v>6073.83</v>
      </c>
    </row>
    <row r="303" spans="1:25" x14ac:dyDescent="0.25">
      <c r="A303" t="s">
        <v>1043</v>
      </c>
      <c r="B303">
        <v>41761</v>
      </c>
      <c r="C303" t="str">
        <f t="shared" si="24"/>
        <v>2014</v>
      </c>
      <c r="D303" t="s">
        <v>1044</v>
      </c>
      <c r="E303" t="s">
        <v>511</v>
      </c>
      <c r="F303" t="s">
        <v>257</v>
      </c>
      <c r="G303" t="s">
        <v>258</v>
      </c>
      <c r="H303" t="s">
        <v>259</v>
      </c>
      <c r="I303" t="s">
        <v>381</v>
      </c>
      <c r="J303" t="s">
        <v>294</v>
      </c>
      <c r="K303" t="s">
        <v>1011</v>
      </c>
      <c r="L303" t="s">
        <v>245</v>
      </c>
      <c r="M303" t="s">
        <v>246</v>
      </c>
      <c r="N303" t="s">
        <v>263</v>
      </c>
      <c r="O303">
        <v>41762</v>
      </c>
      <c r="P303">
        <v>7.13</v>
      </c>
      <c r="Q303">
        <v>20.98</v>
      </c>
      <c r="R303">
        <f t="shared" si="25"/>
        <v>13.850000000000001</v>
      </c>
      <c r="S303">
        <v>14</v>
      </c>
      <c r="T303">
        <f t="shared" si="26"/>
        <v>293.72000000000003</v>
      </c>
      <c r="U303">
        <v>0.1</v>
      </c>
      <c r="V303">
        <f t="shared" si="27"/>
        <v>29.372000000000003</v>
      </c>
      <c r="W303">
        <f t="shared" si="28"/>
        <v>264.34800000000001</v>
      </c>
      <c r="X303">
        <v>5.42</v>
      </c>
      <c r="Y303">
        <f t="shared" si="29"/>
        <v>269.76800000000003</v>
      </c>
    </row>
    <row r="304" spans="1:25" x14ac:dyDescent="0.25">
      <c r="A304" t="s">
        <v>1045</v>
      </c>
      <c r="B304">
        <v>41761</v>
      </c>
      <c r="C304" t="str">
        <f t="shared" si="24"/>
        <v>2014</v>
      </c>
      <c r="D304" t="s">
        <v>1046</v>
      </c>
      <c r="E304" t="s">
        <v>432</v>
      </c>
      <c r="F304" t="s">
        <v>257</v>
      </c>
      <c r="G304" t="s">
        <v>258</v>
      </c>
      <c r="H304" t="s">
        <v>241</v>
      </c>
      <c r="I304" t="s">
        <v>333</v>
      </c>
      <c r="J304" t="s">
        <v>261</v>
      </c>
      <c r="K304" t="s">
        <v>468</v>
      </c>
      <c r="L304" t="s">
        <v>245</v>
      </c>
      <c r="M304" t="s">
        <v>253</v>
      </c>
      <c r="N304" t="s">
        <v>247</v>
      </c>
      <c r="O304">
        <v>41762</v>
      </c>
      <c r="P304">
        <v>2.29</v>
      </c>
      <c r="Q304">
        <v>3.58</v>
      </c>
      <c r="R304">
        <f t="shared" si="25"/>
        <v>1.29</v>
      </c>
      <c r="S304">
        <v>15</v>
      </c>
      <c r="T304">
        <f t="shared" si="26"/>
        <v>53.7</v>
      </c>
      <c r="U304">
        <v>0.05</v>
      </c>
      <c r="V304">
        <f t="shared" si="27"/>
        <v>2.6850000000000005</v>
      </c>
      <c r="W304">
        <f t="shared" si="28"/>
        <v>51.015000000000001</v>
      </c>
      <c r="X304">
        <v>1.63</v>
      </c>
      <c r="Y304">
        <f t="shared" si="29"/>
        <v>52.645000000000003</v>
      </c>
    </row>
    <row r="305" spans="1:25" x14ac:dyDescent="0.25">
      <c r="A305" t="s">
        <v>1047</v>
      </c>
      <c r="B305">
        <v>41762</v>
      </c>
      <c r="C305" t="str">
        <f t="shared" si="24"/>
        <v>2014</v>
      </c>
      <c r="D305" t="s">
        <v>655</v>
      </c>
      <c r="E305" t="s">
        <v>612</v>
      </c>
      <c r="F305" t="s">
        <v>239</v>
      </c>
      <c r="G305" t="s">
        <v>240</v>
      </c>
      <c r="H305" t="s">
        <v>241</v>
      </c>
      <c r="I305" t="s">
        <v>242</v>
      </c>
      <c r="J305" t="s">
        <v>279</v>
      </c>
      <c r="K305" t="s">
        <v>578</v>
      </c>
      <c r="L305" t="s">
        <v>245</v>
      </c>
      <c r="M305" t="s">
        <v>253</v>
      </c>
      <c r="N305" t="s">
        <v>247</v>
      </c>
      <c r="O305">
        <v>41766</v>
      </c>
      <c r="P305">
        <v>1.31</v>
      </c>
      <c r="Q305">
        <v>2.84</v>
      </c>
      <c r="R305">
        <f t="shared" si="25"/>
        <v>1.5299999999999998</v>
      </c>
      <c r="S305">
        <v>48</v>
      </c>
      <c r="T305">
        <f t="shared" si="26"/>
        <v>136.32</v>
      </c>
      <c r="U305">
        <v>0.1</v>
      </c>
      <c r="V305">
        <f t="shared" si="27"/>
        <v>13.632</v>
      </c>
      <c r="W305">
        <f t="shared" si="28"/>
        <v>122.68799999999999</v>
      </c>
      <c r="X305">
        <v>0.93</v>
      </c>
      <c r="Y305">
        <f t="shared" si="29"/>
        <v>123.61799999999999</v>
      </c>
    </row>
    <row r="306" spans="1:25" x14ac:dyDescent="0.25">
      <c r="A306" t="s">
        <v>1048</v>
      </c>
      <c r="B306">
        <v>41765</v>
      </c>
      <c r="C306" t="str">
        <f t="shared" si="24"/>
        <v>2014</v>
      </c>
      <c r="D306" t="s">
        <v>1049</v>
      </c>
      <c r="E306" t="s">
        <v>558</v>
      </c>
      <c r="F306" t="s">
        <v>257</v>
      </c>
      <c r="G306" t="s">
        <v>258</v>
      </c>
      <c r="H306" t="s">
        <v>241</v>
      </c>
      <c r="I306" t="s">
        <v>333</v>
      </c>
      <c r="J306" t="s">
        <v>294</v>
      </c>
      <c r="K306" t="s">
        <v>634</v>
      </c>
      <c r="L306" t="s">
        <v>245</v>
      </c>
      <c r="M306" t="s">
        <v>246</v>
      </c>
      <c r="N306" t="s">
        <v>247</v>
      </c>
      <c r="O306">
        <v>41767</v>
      </c>
      <c r="P306">
        <v>2.2599999999999998</v>
      </c>
      <c r="Q306">
        <v>3.58</v>
      </c>
      <c r="R306">
        <f t="shared" si="25"/>
        <v>1.3200000000000003</v>
      </c>
      <c r="S306">
        <v>25</v>
      </c>
      <c r="T306">
        <f t="shared" si="26"/>
        <v>89.5</v>
      </c>
      <c r="U306">
        <v>0</v>
      </c>
      <c r="V306">
        <f t="shared" si="27"/>
        <v>0</v>
      </c>
      <c r="W306">
        <f t="shared" si="28"/>
        <v>89.5</v>
      </c>
      <c r="X306">
        <v>5.47</v>
      </c>
      <c r="Y306">
        <f t="shared" si="29"/>
        <v>94.97</v>
      </c>
    </row>
    <row r="307" spans="1:25" x14ac:dyDescent="0.25">
      <c r="A307" t="s">
        <v>1050</v>
      </c>
      <c r="B307">
        <v>41765</v>
      </c>
      <c r="C307" t="str">
        <f t="shared" si="24"/>
        <v>2014</v>
      </c>
      <c r="D307" t="s">
        <v>1049</v>
      </c>
      <c r="E307" t="s">
        <v>558</v>
      </c>
      <c r="F307" t="s">
        <v>257</v>
      </c>
      <c r="G307" t="s">
        <v>258</v>
      </c>
      <c r="H307" t="s">
        <v>241</v>
      </c>
      <c r="I307" t="s">
        <v>333</v>
      </c>
      <c r="J307" t="s">
        <v>294</v>
      </c>
      <c r="K307" t="s">
        <v>1051</v>
      </c>
      <c r="L307" t="s">
        <v>245</v>
      </c>
      <c r="M307" t="s">
        <v>253</v>
      </c>
      <c r="N307" t="s">
        <v>247</v>
      </c>
      <c r="O307">
        <v>41767</v>
      </c>
      <c r="P307">
        <v>0.87</v>
      </c>
      <c r="Q307">
        <v>1.81</v>
      </c>
      <c r="R307">
        <f t="shared" si="25"/>
        <v>0.94000000000000006</v>
      </c>
      <c r="S307">
        <v>45</v>
      </c>
      <c r="T307">
        <f t="shared" si="26"/>
        <v>81.45</v>
      </c>
      <c r="U307">
        <v>0.08</v>
      </c>
      <c r="V307">
        <f t="shared" si="27"/>
        <v>6.516</v>
      </c>
      <c r="W307">
        <f t="shared" si="28"/>
        <v>74.933999999999997</v>
      </c>
      <c r="X307">
        <v>0.75</v>
      </c>
      <c r="Y307">
        <f t="shared" si="29"/>
        <v>75.683999999999997</v>
      </c>
    </row>
    <row r="308" spans="1:25" x14ac:dyDescent="0.25">
      <c r="A308" t="s">
        <v>1052</v>
      </c>
      <c r="B308">
        <v>41767</v>
      </c>
      <c r="C308" t="str">
        <f t="shared" si="24"/>
        <v>2014</v>
      </c>
      <c r="D308" t="s">
        <v>1053</v>
      </c>
      <c r="E308" t="s">
        <v>1054</v>
      </c>
      <c r="F308" t="s">
        <v>448</v>
      </c>
      <c r="G308" t="s">
        <v>449</v>
      </c>
      <c r="H308" t="s">
        <v>259</v>
      </c>
      <c r="I308" t="s">
        <v>299</v>
      </c>
      <c r="J308" t="s">
        <v>279</v>
      </c>
      <c r="K308" t="s">
        <v>656</v>
      </c>
      <c r="L308" t="s">
        <v>245</v>
      </c>
      <c r="M308" t="s">
        <v>253</v>
      </c>
      <c r="N308" t="s">
        <v>247</v>
      </c>
      <c r="O308">
        <v>41772</v>
      </c>
      <c r="P308">
        <v>0.93</v>
      </c>
      <c r="Q308">
        <v>1.48</v>
      </c>
      <c r="R308">
        <f t="shared" si="25"/>
        <v>0.54999999999999993</v>
      </c>
      <c r="S308">
        <v>33</v>
      </c>
      <c r="T308">
        <f t="shared" si="26"/>
        <v>48.839999999999996</v>
      </c>
      <c r="U308">
        <v>7.0000000000000007E-2</v>
      </c>
      <c r="V308">
        <f t="shared" si="27"/>
        <v>3.4188000000000001</v>
      </c>
      <c r="W308">
        <f t="shared" si="28"/>
        <v>45.421199999999999</v>
      </c>
      <c r="X308">
        <v>0.7</v>
      </c>
      <c r="Y308">
        <f t="shared" si="29"/>
        <v>46.121200000000002</v>
      </c>
    </row>
    <row r="309" spans="1:25" x14ac:dyDescent="0.25">
      <c r="A309" t="s">
        <v>1055</v>
      </c>
      <c r="B309">
        <v>41767</v>
      </c>
      <c r="C309" t="str">
        <f t="shared" si="24"/>
        <v>2014</v>
      </c>
      <c r="D309" t="s">
        <v>1056</v>
      </c>
      <c r="E309" t="s">
        <v>467</v>
      </c>
      <c r="F309" t="s">
        <v>257</v>
      </c>
      <c r="G309" t="s">
        <v>258</v>
      </c>
      <c r="H309" t="s">
        <v>259</v>
      </c>
      <c r="I309" t="s">
        <v>342</v>
      </c>
      <c r="J309" t="s">
        <v>279</v>
      </c>
      <c r="K309" t="s">
        <v>543</v>
      </c>
      <c r="L309" t="s">
        <v>245</v>
      </c>
      <c r="M309" t="s">
        <v>246</v>
      </c>
      <c r="N309" t="s">
        <v>247</v>
      </c>
      <c r="O309">
        <v>41771</v>
      </c>
      <c r="P309">
        <v>1.33</v>
      </c>
      <c r="Q309">
        <v>2.08</v>
      </c>
      <c r="R309">
        <f t="shared" si="25"/>
        <v>0.75</v>
      </c>
      <c r="S309">
        <v>40</v>
      </c>
      <c r="T309">
        <f t="shared" si="26"/>
        <v>83.2</v>
      </c>
      <c r="U309">
        <v>0</v>
      </c>
      <c r="V309">
        <f t="shared" si="27"/>
        <v>0</v>
      </c>
      <c r="W309">
        <f t="shared" si="28"/>
        <v>83.2</v>
      </c>
      <c r="X309">
        <v>1.49</v>
      </c>
      <c r="Y309">
        <f t="shared" si="29"/>
        <v>84.69</v>
      </c>
    </row>
    <row r="310" spans="1:25" x14ac:dyDescent="0.25">
      <c r="A310" t="s">
        <v>1057</v>
      </c>
      <c r="B310">
        <v>41768</v>
      </c>
      <c r="C310" t="str">
        <f t="shared" si="24"/>
        <v>2014</v>
      </c>
      <c r="D310" t="s">
        <v>1058</v>
      </c>
      <c r="E310" t="s">
        <v>938</v>
      </c>
      <c r="F310" t="s">
        <v>239</v>
      </c>
      <c r="G310" t="s">
        <v>240</v>
      </c>
      <c r="H310" t="s">
        <v>259</v>
      </c>
      <c r="I310" t="s">
        <v>242</v>
      </c>
      <c r="J310" t="s">
        <v>261</v>
      </c>
      <c r="K310" t="s">
        <v>668</v>
      </c>
      <c r="L310" t="s">
        <v>440</v>
      </c>
      <c r="M310" t="s">
        <v>647</v>
      </c>
      <c r="N310" t="s">
        <v>247</v>
      </c>
      <c r="O310">
        <v>41769</v>
      </c>
      <c r="P310">
        <v>56.16</v>
      </c>
      <c r="Q310">
        <v>136.97999999999999</v>
      </c>
      <c r="R310">
        <f t="shared" si="25"/>
        <v>80.819999999999993</v>
      </c>
      <c r="S310">
        <v>44</v>
      </c>
      <c r="T310">
        <f t="shared" si="26"/>
        <v>6027.12</v>
      </c>
      <c r="U310">
        <v>0.08</v>
      </c>
      <c r="V310">
        <f t="shared" si="27"/>
        <v>482.1696</v>
      </c>
      <c r="W310">
        <f t="shared" si="28"/>
        <v>5544.9503999999997</v>
      </c>
      <c r="X310">
        <v>24.49</v>
      </c>
      <c r="Y310">
        <f t="shared" si="29"/>
        <v>5569.4403999999995</v>
      </c>
    </row>
    <row r="311" spans="1:25" x14ac:dyDescent="0.25">
      <c r="A311" t="s">
        <v>1059</v>
      </c>
      <c r="B311">
        <v>41770</v>
      </c>
      <c r="C311" t="str">
        <f t="shared" si="24"/>
        <v>2014</v>
      </c>
      <c r="D311" t="s">
        <v>535</v>
      </c>
      <c r="E311" t="s">
        <v>536</v>
      </c>
      <c r="F311" t="s">
        <v>448</v>
      </c>
      <c r="G311" t="s">
        <v>449</v>
      </c>
      <c r="H311" t="s">
        <v>259</v>
      </c>
      <c r="I311" t="s">
        <v>333</v>
      </c>
      <c r="J311" t="s">
        <v>304</v>
      </c>
      <c r="K311" t="s">
        <v>803</v>
      </c>
      <c r="L311" t="s">
        <v>245</v>
      </c>
      <c r="M311" t="s">
        <v>253</v>
      </c>
      <c r="N311" t="s">
        <v>247</v>
      </c>
      <c r="O311">
        <v>41771</v>
      </c>
      <c r="P311">
        <v>5.22</v>
      </c>
      <c r="Q311">
        <v>9.85</v>
      </c>
      <c r="R311">
        <f t="shared" si="25"/>
        <v>4.63</v>
      </c>
      <c r="S311">
        <v>20</v>
      </c>
      <c r="T311">
        <f t="shared" si="26"/>
        <v>197</v>
      </c>
      <c r="U311">
        <v>0.06</v>
      </c>
      <c r="V311">
        <f t="shared" si="27"/>
        <v>11.82</v>
      </c>
      <c r="W311">
        <f t="shared" si="28"/>
        <v>185.18</v>
      </c>
      <c r="X311">
        <v>4.82</v>
      </c>
      <c r="Y311">
        <f t="shared" si="29"/>
        <v>190</v>
      </c>
    </row>
    <row r="312" spans="1:25" x14ac:dyDescent="0.25">
      <c r="A312" t="s">
        <v>1060</v>
      </c>
      <c r="B312">
        <v>41772</v>
      </c>
      <c r="C312" t="str">
        <f t="shared" si="24"/>
        <v>2014</v>
      </c>
      <c r="D312" t="s">
        <v>667</v>
      </c>
      <c r="E312" t="s">
        <v>341</v>
      </c>
      <c r="F312" t="s">
        <v>257</v>
      </c>
      <c r="G312" t="s">
        <v>258</v>
      </c>
      <c r="H312" t="s">
        <v>241</v>
      </c>
      <c r="I312" t="s">
        <v>342</v>
      </c>
      <c r="J312" t="s">
        <v>294</v>
      </c>
      <c r="K312" t="s">
        <v>1061</v>
      </c>
      <c r="L312" t="s">
        <v>245</v>
      </c>
      <c r="M312" t="s">
        <v>246</v>
      </c>
      <c r="N312" t="s">
        <v>247</v>
      </c>
      <c r="O312">
        <v>41773</v>
      </c>
      <c r="P312">
        <v>2.76</v>
      </c>
      <c r="Q312">
        <v>4.38</v>
      </c>
      <c r="R312">
        <f t="shared" si="25"/>
        <v>1.62</v>
      </c>
      <c r="S312">
        <v>29</v>
      </c>
      <c r="T312">
        <f t="shared" si="26"/>
        <v>127.02</v>
      </c>
      <c r="U312">
        <v>0.08</v>
      </c>
      <c r="V312">
        <f t="shared" si="27"/>
        <v>10.1616</v>
      </c>
      <c r="W312">
        <f t="shared" si="28"/>
        <v>116.85839999999999</v>
      </c>
      <c r="X312">
        <v>6.21</v>
      </c>
      <c r="Y312">
        <f t="shared" si="29"/>
        <v>123.06839999999998</v>
      </c>
    </row>
    <row r="313" spans="1:25" x14ac:dyDescent="0.25">
      <c r="A313" t="s">
        <v>1062</v>
      </c>
      <c r="B313">
        <v>41774</v>
      </c>
      <c r="C313" t="str">
        <f t="shared" si="24"/>
        <v>2014</v>
      </c>
      <c r="D313" t="s">
        <v>605</v>
      </c>
      <c r="E313" t="s">
        <v>606</v>
      </c>
      <c r="F313" t="s">
        <v>448</v>
      </c>
      <c r="G313" t="s">
        <v>449</v>
      </c>
      <c r="H313" t="s">
        <v>274</v>
      </c>
      <c r="I313" t="s">
        <v>284</v>
      </c>
      <c r="J313" t="s">
        <v>304</v>
      </c>
      <c r="K313" t="s">
        <v>617</v>
      </c>
      <c r="L313" t="s">
        <v>245</v>
      </c>
      <c r="M313" t="s">
        <v>246</v>
      </c>
      <c r="N313" t="s">
        <v>247</v>
      </c>
      <c r="O313">
        <v>41775</v>
      </c>
      <c r="P313">
        <v>1.94</v>
      </c>
      <c r="Q313">
        <v>3.08</v>
      </c>
      <c r="R313">
        <f t="shared" si="25"/>
        <v>1.1400000000000001</v>
      </c>
      <c r="S313">
        <v>9</v>
      </c>
      <c r="T313">
        <f t="shared" si="26"/>
        <v>27.72</v>
      </c>
      <c r="U313">
        <v>0.01</v>
      </c>
      <c r="V313">
        <f t="shared" si="27"/>
        <v>0.2772</v>
      </c>
      <c r="W313">
        <f t="shared" si="28"/>
        <v>27.442799999999998</v>
      </c>
      <c r="X313">
        <v>0.99</v>
      </c>
      <c r="Y313">
        <f t="shared" si="29"/>
        <v>28.432799999999997</v>
      </c>
    </row>
    <row r="314" spans="1:25" x14ac:dyDescent="0.25">
      <c r="A314" t="s">
        <v>1063</v>
      </c>
      <c r="B314">
        <v>41776</v>
      </c>
      <c r="C314" t="str">
        <f t="shared" si="24"/>
        <v>2014</v>
      </c>
      <c r="D314" t="s">
        <v>497</v>
      </c>
      <c r="E314" t="s">
        <v>346</v>
      </c>
      <c r="F314" t="s">
        <v>257</v>
      </c>
      <c r="G314" t="s">
        <v>258</v>
      </c>
      <c r="H314" t="s">
        <v>293</v>
      </c>
      <c r="I314" t="s">
        <v>309</v>
      </c>
      <c r="J314" t="s">
        <v>294</v>
      </c>
      <c r="K314" t="s">
        <v>676</v>
      </c>
      <c r="L314" t="s">
        <v>245</v>
      </c>
      <c r="M314" t="s">
        <v>323</v>
      </c>
      <c r="N314" t="s">
        <v>247</v>
      </c>
      <c r="O314">
        <v>41777</v>
      </c>
      <c r="P314">
        <v>5.19</v>
      </c>
      <c r="Q314">
        <v>12.98</v>
      </c>
      <c r="R314">
        <f t="shared" si="25"/>
        <v>7.79</v>
      </c>
      <c r="S314">
        <v>20</v>
      </c>
      <c r="T314">
        <f t="shared" si="26"/>
        <v>259.60000000000002</v>
      </c>
      <c r="U314">
        <v>0.04</v>
      </c>
      <c r="V314">
        <f t="shared" si="27"/>
        <v>10.384</v>
      </c>
      <c r="W314">
        <f t="shared" si="28"/>
        <v>249.21600000000001</v>
      </c>
      <c r="X314">
        <v>3.14</v>
      </c>
      <c r="Y314">
        <f t="shared" si="29"/>
        <v>252.35599999999999</v>
      </c>
    </row>
    <row r="315" spans="1:25" x14ac:dyDescent="0.25">
      <c r="A315" t="s">
        <v>1064</v>
      </c>
      <c r="B315">
        <v>41778</v>
      </c>
      <c r="C315" t="str">
        <f t="shared" si="24"/>
        <v>2014</v>
      </c>
      <c r="D315" t="s">
        <v>1065</v>
      </c>
      <c r="E315" t="s">
        <v>1001</v>
      </c>
      <c r="F315" t="s">
        <v>239</v>
      </c>
      <c r="G315" t="s">
        <v>240</v>
      </c>
      <c r="H315" t="s">
        <v>274</v>
      </c>
      <c r="I315" t="s">
        <v>251</v>
      </c>
      <c r="J315" t="s">
        <v>304</v>
      </c>
      <c r="K315" t="s">
        <v>439</v>
      </c>
      <c r="L315" t="s">
        <v>440</v>
      </c>
      <c r="M315" t="s">
        <v>323</v>
      </c>
      <c r="N315" t="s">
        <v>263</v>
      </c>
      <c r="O315">
        <v>41779</v>
      </c>
      <c r="P315">
        <v>5.5</v>
      </c>
      <c r="Q315">
        <v>12.22</v>
      </c>
      <c r="R315">
        <f t="shared" si="25"/>
        <v>6.7200000000000006</v>
      </c>
      <c r="S315">
        <v>18</v>
      </c>
      <c r="T315">
        <f t="shared" si="26"/>
        <v>219.96</v>
      </c>
      <c r="U315">
        <v>0.04</v>
      </c>
      <c r="V315">
        <f t="shared" si="27"/>
        <v>8.7984000000000009</v>
      </c>
      <c r="W315">
        <f t="shared" si="28"/>
        <v>211.16160000000002</v>
      </c>
      <c r="X315">
        <v>2.85</v>
      </c>
      <c r="Y315">
        <f t="shared" si="29"/>
        <v>214.01160000000002</v>
      </c>
    </row>
    <row r="316" spans="1:25" x14ac:dyDescent="0.25">
      <c r="A316" t="s">
        <v>1066</v>
      </c>
      <c r="B316">
        <v>41778</v>
      </c>
      <c r="C316" t="str">
        <f t="shared" si="24"/>
        <v>2014</v>
      </c>
      <c r="D316" t="s">
        <v>1067</v>
      </c>
      <c r="E316" t="s">
        <v>438</v>
      </c>
      <c r="F316" t="s">
        <v>257</v>
      </c>
      <c r="G316" t="s">
        <v>258</v>
      </c>
      <c r="H316" t="s">
        <v>259</v>
      </c>
      <c r="I316" t="s">
        <v>309</v>
      </c>
      <c r="J316" t="s">
        <v>279</v>
      </c>
      <c r="K316" t="s">
        <v>888</v>
      </c>
      <c r="L316" t="s">
        <v>245</v>
      </c>
      <c r="M316" t="s">
        <v>253</v>
      </c>
      <c r="N316" t="s">
        <v>263</v>
      </c>
      <c r="O316">
        <v>41783</v>
      </c>
      <c r="P316">
        <v>2.31</v>
      </c>
      <c r="Q316">
        <v>3.78</v>
      </c>
      <c r="R316">
        <f t="shared" si="25"/>
        <v>1.4699999999999998</v>
      </c>
      <c r="S316">
        <v>15</v>
      </c>
      <c r="T316">
        <f t="shared" si="26"/>
        <v>56.699999999999996</v>
      </c>
      <c r="U316">
        <v>0.03</v>
      </c>
      <c r="V316">
        <f t="shared" si="27"/>
        <v>1.7009999999999998</v>
      </c>
      <c r="W316">
        <f t="shared" si="28"/>
        <v>54.998999999999995</v>
      </c>
      <c r="X316">
        <v>0.71</v>
      </c>
      <c r="Y316">
        <f t="shared" si="29"/>
        <v>55.708999999999996</v>
      </c>
    </row>
    <row r="317" spans="1:25" x14ac:dyDescent="0.25">
      <c r="A317" t="s">
        <v>1068</v>
      </c>
      <c r="B317">
        <v>41784</v>
      </c>
      <c r="C317" t="str">
        <f t="shared" si="24"/>
        <v>2014</v>
      </c>
      <c r="D317" t="s">
        <v>1069</v>
      </c>
      <c r="E317" t="s">
        <v>1070</v>
      </c>
      <c r="F317" t="s">
        <v>257</v>
      </c>
      <c r="G317" t="s">
        <v>258</v>
      </c>
      <c r="H317" t="s">
        <v>293</v>
      </c>
      <c r="I317" t="s">
        <v>504</v>
      </c>
      <c r="J317" t="s">
        <v>279</v>
      </c>
      <c r="K317" t="s">
        <v>594</v>
      </c>
      <c r="L317" t="s">
        <v>268</v>
      </c>
      <c r="M317" t="s">
        <v>269</v>
      </c>
      <c r="N317" t="s">
        <v>270</v>
      </c>
      <c r="O317">
        <v>41788</v>
      </c>
      <c r="P317">
        <v>278.99</v>
      </c>
      <c r="Q317">
        <v>449.99</v>
      </c>
      <c r="R317">
        <f t="shared" si="25"/>
        <v>171</v>
      </c>
      <c r="S317">
        <v>47</v>
      </c>
      <c r="T317">
        <f t="shared" si="26"/>
        <v>21149.53</v>
      </c>
      <c r="U317">
        <v>0.1</v>
      </c>
      <c r="V317">
        <f t="shared" si="27"/>
        <v>2114.953</v>
      </c>
      <c r="W317">
        <f t="shared" si="28"/>
        <v>19034.576999999997</v>
      </c>
      <c r="X317">
        <v>49</v>
      </c>
      <c r="Y317">
        <f t="shared" si="29"/>
        <v>19083.576999999997</v>
      </c>
    </row>
    <row r="318" spans="1:25" x14ac:dyDescent="0.25">
      <c r="A318" t="s">
        <v>1071</v>
      </c>
      <c r="B318">
        <v>41788</v>
      </c>
      <c r="C318" t="str">
        <f t="shared" si="24"/>
        <v>2014</v>
      </c>
      <c r="D318" t="s">
        <v>1072</v>
      </c>
      <c r="E318" t="s">
        <v>463</v>
      </c>
      <c r="F318" t="s">
        <v>257</v>
      </c>
      <c r="G318" t="s">
        <v>258</v>
      </c>
      <c r="H318" t="s">
        <v>259</v>
      </c>
      <c r="I318" t="s">
        <v>333</v>
      </c>
      <c r="J318" t="s">
        <v>279</v>
      </c>
      <c r="K318" t="s">
        <v>377</v>
      </c>
      <c r="L318" t="s">
        <v>268</v>
      </c>
      <c r="M318" t="s">
        <v>246</v>
      </c>
      <c r="N318" t="s">
        <v>247</v>
      </c>
      <c r="O318">
        <v>41792</v>
      </c>
      <c r="P318">
        <v>32.020000000000003</v>
      </c>
      <c r="Q318">
        <v>152.47999999999999</v>
      </c>
      <c r="R318">
        <f t="shared" si="25"/>
        <v>120.45999999999998</v>
      </c>
      <c r="S318">
        <v>49</v>
      </c>
      <c r="T318">
        <f t="shared" si="26"/>
        <v>7471.5199999999995</v>
      </c>
      <c r="U318">
        <v>0.03</v>
      </c>
      <c r="V318">
        <f t="shared" si="27"/>
        <v>224.14559999999997</v>
      </c>
      <c r="W318">
        <f t="shared" si="28"/>
        <v>7247.3743999999997</v>
      </c>
      <c r="X318">
        <v>4</v>
      </c>
      <c r="Y318">
        <f t="shared" si="29"/>
        <v>7251.3743999999997</v>
      </c>
    </row>
    <row r="319" spans="1:25" x14ac:dyDescent="0.25">
      <c r="A319" t="s">
        <v>1073</v>
      </c>
      <c r="B319">
        <v>41788</v>
      </c>
      <c r="C319" t="str">
        <f t="shared" si="24"/>
        <v>2014</v>
      </c>
      <c r="D319" t="s">
        <v>1074</v>
      </c>
      <c r="E319" t="s">
        <v>1075</v>
      </c>
      <c r="F319" t="s">
        <v>257</v>
      </c>
      <c r="G319" t="s">
        <v>258</v>
      </c>
      <c r="H319" t="s">
        <v>259</v>
      </c>
      <c r="I319" t="s">
        <v>299</v>
      </c>
      <c r="J319" t="s">
        <v>243</v>
      </c>
      <c r="K319" t="s">
        <v>421</v>
      </c>
      <c r="L319" t="s">
        <v>245</v>
      </c>
      <c r="M319" t="s">
        <v>246</v>
      </c>
      <c r="N319" t="s">
        <v>247</v>
      </c>
      <c r="O319">
        <v>41788</v>
      </c>
      <c r="P319">
        <v>13.88</v>
      </c>
      <c r="Q319">
        <v>22.38</v>
      </c>
      <c r="R319">
        <f t="shared" si="25"/>
        <v>8.4999999999999982</v>
      </c>
      <c r="S319">
        <v>26</v>
      </c>
      <c r="T319">
        <f t="shared" si="26"/>
        <v>581.88</v>
      </c>
      <c r="U319">
        <v>7.0000000000000007E-2</v>
      </c>
      <c r="V319">
        <f t="shared" si="27"/>
        <v>40.7316</v>
      </c>
      <c r="W319">
        <f t="shared" si="28"/>
        <v>541.14840000000004</v>
      </c>
      <c r="X319">
        <v>15.1</v>
      </c>
      <c r="Y319">
        <f t="shared" si="29"/>
        <v>556.24840000000006</v>
      </c>
    </row>
    <row r="320" spans="1:25" x14ac:dyDescent="0.25">
      <c r="A320" t="s">
        <v>1076</v>
      </c>
      <c r="B320">
        <v>41788</v>
      </c>
      <c r="C320" t="str">
        <f t="shared" si="24"/>
        <v>2014</v>
      </c>
      <c r="D320" t="s">
        <v>1077</v>
      </c>
      <c r="E320" t="s">
        <v>633</v>
      </c>
      <c r="F320" t="s">
        <v>239</v>
      </c>
      <c r="G320" t="s">
        <v>240</v>
      </c>
      <c r="H320" t="s">
        <v>259</v>
      </c>
      <c r="I320" t="s">
        <v>242</v>
      </c>
      <c r="J320" t="s">
        <v>304</v>
      </c>
      <c r="K320" t="s">
        <v>387</v>
      </c>
      <c r="L320" t="s">
        <v>245</v>
      </c>
      <c r="M320" t="s">
        <v>323</v>
      </c>
      <c r="N320" t="s">
        <v>247</v>
      </c>
      <c r="O320">
        <v>41788</v>
      </c>
      <c r="P320">
        <v>4.79</v>
      </c>
      <c r="Q320">
        <v>11.97</v>
      </c>
      <c r="R320">
        <f t="shared" si="25"/>
        <v>7.1800000000000006</v>
      </c>
      <c r="S320">
        <v>46</v>
      </c>
      <c r="T320">
        <f t="shared" si="26"/>
        <v>550.62</v>
      </c>
      <c r="U320">
        <v>7.0000000000000007E-2</v>
      </c>
      <c r="V320">
        <f t="shared" si="27"/>
        <v>38.543400000000005</v>
      </c>
      <c r="W320">
        <f t="shared" si="28"/>
        <v>512.07659999999998</v>
      </c>
      <c r="X320">
        <v>5.81</v>
      </c>
      <c r="Y320">
        <f t="shared" si="29"/>
        <v>517.88659999999993</v>
      </c>
    </row>
    <row r="321" spans="1:25" x14ac:dyDescent="0.25">
      <c r="A321" t="s">
        <v>1078</v>
      </c>
      <c r="B321">
        <v>41792</v>
      </c>
      <c r="C321" t="str">
        <f t="shared" si="24"/>
        <v>2014</v>
      </c>
      <c r="D321" t="s">
        <v>1079</v>
      </c>
      <c r="E321" t="s">
        <v>1080</v>
      </c>
      <c r="F321" t="s">
        <v>239</v>
      </c>
      <c r="G321" t="s">
        <v>240</v>
      </c>
      <c r="H321" t="s">
        <v>259</v>
      </c>
      <c r="I321" t="s">
        <v>251</v>
      </c>
      <c r="J321" t="s">
        <v>261</v>
      </c>
      <c r="K321" t="s">
        <v>413</v>
      </c>
      <c r="L321" t="s">
        <v>268</v>
      </c>
      <c r="M321" t="s">
        <v>414</v>
      </c>
      <c r="N321" t="s">
        <v>247</v>
      </c>
      <c r="O321">
        <v>41794</v>
      </c>
      <c r="P321">
        <v>8.82</v>
      </c>
      <c r="Q321">
        <v>20.99</v>
      </c>
      <c r="R321">
        <f t="shared" si="25"/>
        <v>12.169999999999998</v>
      </c>
      <c r="S321">
        <v>10</v>
      </c>
      <c r="T321">
        <f t="shared" si="26"/>
        <v>209.89999999999998</v>
      </c>
      <c r="U321">
        <v>0</v>
      </c>
      <c r="V321">
        <f t="shared" si="27"/>
        <v>0</v>
      </c>
      <c r="W321">
        <f t="shared" si="28"/>
        <v>209.89999999999998</v>
      </c>
      <c r="X321">
        <v>4.8099999999999996</v>
      </c>
      <c r="Y321">
        <f t="shared" si="29"/>
        <v>214.70999999999998</v>
      </c>
    </row>
    <row r="322" spans="1:25" x14ac:dyDescent="0.25">
      <c r="A322" t="s">
        <v>1081</v>
      </c>
      <c r="B322">
        <v>41793</v>
      </c>
      <c r="C322" t="str">
        <f t="shared" si="24"/>
        <v>2014</v>
      </c>
      <c r="D322" t="s">
        <v>794</v>
      </c>
      <c r="E322" t="s">
        <v>795</v>
      </c>
      <c r="F322" t="s">
        <v>257</v>
      </c>
      <c r="G322" t="s">
        <v>258</v>
      </c>
      <c r="H322" t="s">
        <v>259</v>
      </c>
      <c r="I322" t="s">
        <v>372</v>
      </c>
      <c r="J322" t="s">
        <v>294</v>
      </c>
      <c r="K322" t="s">
        <v>1082</v>
      </c>
      <c r="L322" t="s">
        <v>245</v>
      </c>
      <c r="M322" t="s">
        <v>253</v>
      </c>
      <c r="N322" t="s">
        <v>247</v>
      </c>
      <c r="O322">
        <v>41794</v>
      </c>
      <c r="P322">
        <v>1.0900000000000001</v>
      </c>
      <c r="Q322">
        <v>1.82</v>
      </c>
      <c r="R322">
        <f t="shared" si="25"/>
        <v>0.73</v>
      </c>
      <c r="S322">
        <v>40</v>
      </c>
      <c r="T322">
        <f t="shared" si="26"/>
        <v>72.8</v>
      </c>
      <c r="U322">
        <v>0.1</v>
      </c>
      <c r="V322">
        <f t="shared" si="27"/>
        <v>7.28</v>
      </c>
      <c r="W322">
        <f t="shared" si="28"/>
        <v>65.52</v>
      </c>
      <c r="X322">
        <v>1</v>
      </c>
      <c r="Y322">
        <f t="shared" si="29"/>
        <v>66.52</v>
      </c>
    </row>
    <row r="323" spans="1:25" x14ac:dyDescent="0.25">
      <c r="A323" t="s">
        <v>1083</v>
      </c>
      <c r="B323">
        <v>41793</v>
      </c>
      <c r="C323" t="str">
        <f t="shared" si="24"/>
        <v>2014</v>
      </c>
      <c r="D323" t="s">
        <v>1084</v>
      </c>
      <c r="E323" t="s">
        <v>1085</v>
      </c>
      <c r="F323" t="s">
        <v>448</v>
      </c>
      <c r="G323" t="s">
        <v>449</v>
      </c>
      <c r="H323" t="s">
        <v>293</v>
      </c>
      <c r="I323" t="s">
        <v>333</v>
      </c>
      <c r="J323" t="s">
        <v>243</v>
      </c>
      <c r="K323" t="s">
        <v>435</v>
      </c>
      <c r="L323" t="s">
        <v>245</v>
      </c>
      <c r="M323" t="s">
        <v>253</v>
      </c>
      <c r="N323" t="s">
        <v>247</v>
      </c>
      <c r="O323">
        <v>41795</v>
      </c>
      <c r="P323">
        <v>3.75</v>
      </c>
      <c r="Q323">
        <v>7.08</v>
      </c>
      <c r="R323">
        <f t="shared" si="25"/>
        <v>3.33</v>
      </c>
      <c r="S323">
        <v>45</v>
      </c>
      <c r="T323">
        <f t="shared" si="26"/>
        <v>318.60000000000002</v>
      </c>
      <c r="U323">
        <v>0.06</v>
      </c>
      <c r="V323">
        <f t="shared" si="27"/>
        <v>19.116</v>
      </c>
      <c r="W323">
        <f t="shared" si="28"/>
        <v>299.48400000000004</v>
      </c>
      <c r="X323">
        <v>2.35</v>
      </c>
      <c r="Y323">
        <f t="shared" si="29"/>
        <v>301.83400000000006</v>
      </c>
    </row>
    <row r="324" spans="1:25" x14ac:dyDescent="0.25">
      <c r="A324" t="s">
        <v>1086</v>
      </c>
      <c r="B324">
        <v>41794</v>
      </c>
      <c r="C324" t="str">
        <f t="shared" si="24"/>
        <v>2014</v>
      </c>
      <c r="D324" t="s">
        <v>752</v>
      </c>
      <c r="E324" t="s">
        <v>503</v>
      </c>
      <c r="F324" t="s">
        <v>257</v>
      </c>
      <c r="G324" t="s">
        <v>258</v>
      </c>
      <c r="H324" t="s">
        <v>274</v>
      </c>
      <c r="I324" t="s">
        <v>504</v>
      </c>
      <c r="J324" t="s">
        <v>243</v>
      </c>
      <c r="K324" t="s">
        <v>508</v>
      </c>
      <c r="L324" t="s">
        <v>245</v>
      </c>
      <c r="M324" t="s">
        <v>246</v>
      </c>
      <c r="N324" t="s">
        <v>247</v>
      </c>
      <c r="O324">
        <v>41795</v>
      </c>
      <c r="P324">
        <v>178.83</v>
      </c>
      <c r="Q324">
        <v>415.88</v>
      </c>
      <c r="R324">
        <f t="shared" si="25"/>
        <v>237.04999999999998</v>
      </c>
      <c r="S324">
        <v>43</v>
      </c>
      <c r="T324">
        <f t="shared" si="26"/>
        <v>17882.84</v>
      </c>
      <c r="U324">
        <v>7.0000000000000007E-2</v>
      </c>
      <c r="V324">
        <f t="shared" si="27"/>
        <v>1251.7988</v>
      </c>
      <c r="W324">
        <f t="shared" si="28"/>
        <v>16631.0412</v>
      </c>
      <c r="X324">
        <v>11.37</v>
      </c>
      <c r="Y324">
        <f t="shared" si="29"/>
        <v>16642.411199999999</v>
      </c>
    </row>
    <row r="325" spans="1:25" x14ac:dyDescent="0.25">
      <c r="A325" t="s">
        <v>1087</v>
      </c>
      <c r="B325">
        <v>41794</v>
      </c>
      <c r="C325" t="str">
        <f t="shared" si="24"/>
        <v>2014</v>
      </c>
      <c r="D325" t="s">
        <v>1088</v>
      </c>
      <c r="E325" t="s">
        <v>467</v>
      </c>
      <c r="F325" t="s">
        <v>257</v>
      </c>
      <c r="G325" t="s">
        <v>258</v>
      </c>
      <c r="H325" t="s">
        <v>293</v>
      </c>
      <c r="I325" t="s">
        <v>342</v>
      </c>
      <c r="J325" t="s">
        <v>294</v>
      </c>
      <c r="K325" t="s">
        <v>464</v>
      </c>
      <c r="L325" t="s">
        <v>268</v>
      </c>
      <c r="M325" t="s">
        <v>246</v>
      </c>
      <c r="N325" t="s">
        <v>247</v>
      </c>
      <c r="O325">
        <v>41795</v>
      </c>
      <c r="P325">
        <v>156.5</v>
      </c>
      <c r="Q325">
        <v>300.97000000000003</v>
      </c>
      <c r="R325">
        <f t="shared" si="25"/>
        <v>144.47000000000003</v>
      </c>
      <c r="S325">
        <v>6</v>
      </c>
      <c r="T325">
        <f t="shared" si="26"/>
        <v>1805.8200000000002</v>
      </c>
      <c r="U325">
        <v>0.04</v>
      </c>
      <c r="V325">
        <f t="shared" si="27"/>
        <v>72.232800000000012</v>
      </c>
      <c r="W325">
        <f t="shared" si="28"/>
        <v>1733.5872000000002</v>
      </c>
      <c r="X325">
        <v>7.18</v>
      </c>
      <c r="Y325">
        <f t="shared" si="29"/>
        <v>1740.7672000000002</v>
      </c>
    </row>
    <row r="326" spans="1:25" x14ac:dyDescent="0.25">
      <c r="A326" t="s">
        <v>1089</v>
      </c>
      <c r="B326">
        <v>41795</v>
      </c>
      <c r="C326" t="str">
        <f t="shared" ref="C326:C389" si="30">TEXT(B326,"yyyy")</f>
        <v>2014</v>
      </c>
      <c r="D326" t="s">
        <v>1090</v>
      </c>
      <c r="E326" t="s">
        <v>835</v>
      </c>
      <c r="F326" t="s">
        <v>257</v>
      </c>
      <c r="G326" t="s">
        <v>258</v>
      </c>
      <c r="H326" t="s">
        <v>259</v>
      </c>
      <c r="I326" t="s">
        <v>284</v>
      </c>
      <c r="J326" t="s">
        <v>304</v>
      </c>
      <c r="K326" t="s">
        <v>475</v>
      </c>
      <c r="L326" t="s">
        <v>245</v>
      </c>
      <c r="M326" t="s">
        <v>246</v>
      </c>
      <c r="N326" t="s">
        <v>247</v>
      </c>
      <c r="O326">
        <v>41797</v>
      </c>
      <c r="P326">
        <v>12.39</v>
      </c>
      <c r="Q326">
        <v>19.98</v>
      </c>
      <c r="R326">
        <f t="shared" ref="R326:R389" si="31">Q326-P326</f>
        <v>7.59</v>
      </c>
      <c r="S326">
        <v>10</v>
      </c>
      <c r="T326">
        <f t="shared" ref="T326:T389" si="32">Q326*S326</f>
        <v>199.8</v>
      </c>
      <c r="U326">
        <v>0.1</v>
      </c>
      <c r="V326">
        <f t="shared" ref="V326:V389" si="33">T326*U326</f>
        <v>19.980000000000004</v>
      </c>
      <c r="W326">
        <f t="shared" ref="W326:W389" si="34">T326-V326</f>
        <v>179.82</v>
      </c>
      <c r="X326">
        <v>5.77</v>
      </c>
      <c r="Y326">
        <f t="shared" ref="Y326:Y389" si="35">W326+X326</f>
        <v>185.59</v>
      </c>
    </row>
    <row r="327" spans="1:25" x14ac:dyDescent="0.25">
      <c r="A327" t="s">
        <v>1091</v>
      </c>
      <c r="B327">
        <v>41797</v>
      </c>
      <c r="C327" t="str">
        <f t="shared" si="30"/>
        <v>2014</v>
      </c>
      <c r="D327" t="s">
        <v>1092</v>
      </c>
      <c r="E327" t="s">
        <v>1093</v>
      </c>
      <c r="F327" t="s">
        <v>257</v>
      </c>
      <c r="G327" t="s">
        <v>258</v>
      </c>
      <c r="H327" t="s">
        <v>274</v>
      </c>
      <c r="I327" t="s">
        <v>372</v>
      </c>
      <c r="J327" t="s">
        <v>304</v>
      </c>
      <c r="K327" t="s">
        <v>594</v>
      </c>
      <c r="L327" t="s">
        <v>268</v>
      </c>
      <c r="M327" t="s">
        <v>269</v>
      </c>
      <c r="N327" t="s">
        <v>270</v>
      </c>
      <c r="O327">
        <v>41798</v>
      </c>
      <c r="P327">
        <v>278.99</v>
      </c>
      <c r="Q327">
        <v>449.99</v>
      </c>
      <c r="R327">
        <f t="shared" si="31"/>
        <v>171</v>
      </c>
      <c r="S327">
        <v>5</v>
      </c>
      <c r="T327">
        <f t="shared" si="32"/>
        <v>2249.9499999999998</v>
      </c>
      <c r="U327">
        <v>0.01</v>
      </c>
      <c r="V327">
        <f t="shared" si="33"/>
        <v>22.499499999999998</v>
      </c>
      <c r="W327">
        <f t="shared" si="34"/>
        <v>2227.4504999999999</v>
      </c>
      <c r="X327">
        <v>49</v>
      </c>
      <c r="Y327">
        <f t="shared" si="35"/>
        <v>2276.4504999999999</v>
      </c>
    </row>
    <row r="328" spans="1:25" x14ac:dyDescent="0.25">
      <c r="A328" t="s">
        <v>1094</v>
      </c>
      <c r="B328">
        <v>41798</v>
      </c>
      <c r="C328" t="str">
        <f t="shared" si="30"/>
        <v>2014</v>
      </c>
      <c r="D328" t="s">
        <v>1095</v>
      </c>
      <c r="E328" t="s">
        <v>528</v>
      </c>
      <c r="F328" t="s">
        <v>239</v>
      </c>
      <c r="G328" t="s">
        <v>240</v>
      </c>
      <c r="H328" t="s">
        <v>259</v>
      </c>
      <c r="I328" t="s">
        <v>251</v>
      </c>
      <c r="J328" t="s">
        <v>294</v>
      </c>
      <c r="K328" t="s">
        <v>634</v>
      </c>
      <c r="L328" t="s">
        <v>245</v>
      </c>
      <c r="M328" t="s">
        <v>246</v>
      </c>
      <c r="N328" t="s">
        <v>263</v>
      </c>
      <c r="O328">
        <v>41800</v>
      </c>
      <c r="P328">
        <v>2.2599999999999998</v>
      </c>
      <c r="Q328">
        <v>3.58</v>
      </c>
      <c r="R328">
        <f t="shared" si="31"/>
        <v>1.3200000000000003</v>
      </c>
      <c r="S328">
        <v>44</v>
      </c>
      <c r="T328">
        <f t="shared" si="32"/>
        <v>157.52000000000001</v>
      </c>
      <c r="U328">
        <v>0.06</v>
      </c>
      <c r="V328">
        <f t="shared" si="33"/>
        <v>9.4512</v>
      </c>
      <c r="W328">
        <f t="shared" si="34"/>
        <v>148.06880000000001</v>
      </c>
      <c r="X328">
        <v>5.47</v>
      </c>
      <c r="Y328">
        <f t="shared" si="35"/>
        <v>153.53880000000001</v>
      </c>
    </row>
    <row r="329" spans="1:25" x14ac:dyDescent="0.25">
      <c r="A329" t="s">
        <v>1096</v>
      </c>
      <c r="B329">
        <v>41799</v>
      </c>
      <c r="C329" t="str">
        <f t="shared" si="30"/>
        <v>2014</v>
      </c>
      <c r="D329" t="s">
        <v>474</v>
      </c>
      <c r="E329" t="s">
        <v>320</v>
      </c>
      <c r="F329" t="s">
        <v>448</v>
      </c>
      <c r="G329" t="s">
        <v>449</v>
      </c>
      <c r="H329" t="s">
        <v>293</v>
      </c>
      <c r="I329" t="s">
        <v>381</v>
      </c>
      <c r="J329" t="s">
        <v>243</v>
      </c>
      <c r="K329" t="s">
        <v>836</v>
      </c>
      <c r="L329" t="s">
        <v>440</v>
      </c>
      <c r="M329" t="s">
        <v>323</v>
      </c>
      <c r="N329" t="s">
        <v>247</v>
      </c>
      <c r="O329">
        <v>41799</v>
      </c>
      <c r="P329">
        <v>11.38</v>
      </c>
      <c r="Q329">
        <v>18.649999999999999</v>
      </c>
      <c r="R329">
        <f t="shared" si="31"/>
        <v>7.2699999999999978</v>
      </c>
      <c r="S329">
        <v>18</v>
      </c>
      <c r="T329">
        <f t="shared" si="32"/>
        <v>335.7</v>
      </c>
      <c r="U329">
        <v>0.1</v>
      </c>
      <c r="V329">
        <f t="shared" si="33"/>
        <v>33.57</v>
      </c>
      <c r="W329">
        <f t="shared" si="34"/>
        <v>302.13</v>
      </c>
      <c r="X329">
        <v>3.77</v>
      </c>
      <c r="Y329">
        <f t="shared" si="35"/>
        <v>305.89999999999998</v>
      </c>
    </row>
    <row r="330" spans="1:25" x14ac:dyDescent="0.25">
      <c r="A330" t="s">
        <v>1097</v>
      </c>
      <c r="B330">
        <v>41803</v>
      </c>
      <c r="C330" t="str">
        <f t="shared" si="30"/>
        <v>2014</v>
      </c>
      <c r="D330" t="s">
        <v>1098</v>
      </c>
      <c r="E330" t="s">
        <v>581</v>
      </c>
      <c r="F330" t="s">
        <v>257</v>
      </c>
      <c r="G330" t="s">
        <v>258</v>
      </c>
      <c r="H330" t="s">
        <v>259</v>
      </c>
      <c r="I330" t="s">
        <v>309</v>
      </c>
      <c r="J330" t="s">
        <v>279</v>
      </c>
      <c r="K330" t="s">
        <v>514</v>
      </c>
      <c r="L330" t="s">
        <v>245</v>
      </c>
      <c r="M330" t="s">
        <v>246</v>
      </c>
      <c r="N330" t="s">
        <v>263</v>
      </c>
      <c r="O330">
        <v>41812</v>
      </c>
      <c r="P330">
        <v>19.829999999999998</v>
      </c>
      <c r="Q330">
        <v>30.98</v>
      </c>
      <c r="R330">
        <f t="shared" si="31"/>
        <v>11.150000000000002</v>
      </c>
      <c r="S330">
        <v>46</v>
      </c>
      <c r="T330">
        <f t="shared" si="32"/>
        <v>1425.08</v>
      </c>
      <c r="U330">
        <v>0.04</v>
      </c>
      <c r="V330">
        <f t="shared" si="33"/>
        <v>57.0032</v>
      </c>
      <c r="W330">
        <f t="shared" si="34"/>
        <v>1368.0767999999998</v>
      </c>
      <c r="X330">
        <v>19.510000000000002</v>
      </c>
      <c r="Y330">
        <f t="shared" si="35"/>
        <v>1387.5867999999998</v>
      </c>
    </row>
    <row r="331" spans="1:25" x14ac:dyDescent="0.25">
      <c r="A331" t="s">
        <v>1099</v>
      </c>
      <c r="B331">
        <v>41806</v>
      </c>
      <c r="C331" t="str">
        <f t="shared" si="30"/>
        <v>2014</v>
      </c>
      <c r="D331" t="s">
        <v>951</v>
      </c>
      <c r="E331" t="s">
        <v>424</v>
      </c>
      <c r="F331" t="s">
        <v>257</v>
      </c>
      <c r="G331" t="s">
        <v>258</v>
      </c>
      <c r="H331" t="s">
        <v>241</v>
      </c>
      <c r="I331" t="s">
        <v>299</v>
      </c>
      <c r="J331" t="s">
        <v>279</v>
      </c>
      <c r="K331" t="s">
        <v>349</v>
      </c>
      <c r="L331" t="s">
        <v>245</v>
      </c>
      <c r="M331" t="s">
        <v>246</v>
      </c>
      <c r="N331" t="s">
        <v>247</v>
      </c>
      <c r="O331">
        <v>41811</v>
      </c>
      <c r="P331">
        <v>3.52</v>
      </c>
      <c r="Q331">
        <v>5.68</v>
      </c>
      <c r="R331">
        <f t="shared" si="31"/>
        <v>2.1599999999999997</v>
      </c>
      <c r="S331">
        <v>32</v>
      </c>
      <c r="T331">
        <f t="shared" si="32"/>
        <v>181.76</v>
      </c>
      <c r="U331">
        <v>0.1</v>
      </c>
      <c r="V331">
        <f t="shared" si="33"/>
        <v>18.175999999999998</v>
      </c>
      <c r="W331">
        <f t="shared" si="34"/>
        <v>163.584</v>
      </c>
      <c r="X331">
        <v>1.39</v>
      </c>
      <c r="Y331">
        <f t="shared" si="35"/>
        <v>164.97399999999999</v>
      </c>
    </row>
    <row r="332" spans="1:25" x14ac:dyDescent="0.25">
      <c r="A332" t="s">
        <v>1100</v>
      </c>
      <c r="B332">
        <v>41807</v>
      </c>
      <c r="C332" t="str">
        <f t="shared" si="30"/>
        <v>2014</v>
      </c>
      <c r="D332" t="s">
        <v>345</v>
      </c>
      <c r="E332" t="s">
        <v>346</v>
      </c>
      <c r="F332" t="s">
        <v>257</v>
      </c>
      <c r="G332" t="s">
        <v>258</v>
      </c>
      <c r="H332" t="s">
        <v>241</v>
      </c>
      <c r="I332" t="s">
        <v>309</v>
      </c>
      <c r="J332" t="s">
        <v>304</v>
      </c>
      <c r="K332" t="s">
        <v>453</v>
      </c>
      <c r="L332" t="s">
        <v>245</v>
      </c>
      <c r="M332" t="s">
        <v>246</v>
      </c>
      <c r="N332" t="s">
        <v>247</v>
      </c>
      <c r="O332">
        <v>41808</v>
      </c>
      <c r="P332">
        <v>1.18</v>
      </c>
      <c r="Q332">
        <v>1.88</v>
      </c>
      <c r="R332">
        <f t="shared" si="31"/>
        <v>0.7</v>
      </c>
      <c r="S332">
        <v>19</v>
      </c>
      <c r="T332">
        <f t="shared" si="32"/>
        <v>35.72</v>
      </c>
      <c r="U332">
        <v>7.0000000000000007E-2</v>
      </c>
      <c r="V332">
        <f t="shared" si="33"/>
        <v>2.5004</v>
      </c>
      <c r="W332">
        <f t="shared" si="34"/>
        <v>33.2196</v>
      </c>
      <c r="X332">
        <v>1.49</v>
      </c>
      <c r="Y332">
        <f t="shared" si="35"/>
        <v>34.709600000000002</v>
      </c>
    </row>
    <row r="333" spans="1:25" x14ac:dyDescent="0.25">
      <c r="A333" t="s">
        <v>1101</v>
      </c>
      <c r="B333">
        <v>41808</v>
      </c>
      <c r="C333" t="str">
        <f t="shared" si="30"/>
        <v>2014</v>
      </c>
      <c r="D333" t="s">
        <v>1102</v>
      </c>
      <c r="E333" t="s">
        <v>1103</v>
      </c>
      <c r="F333" t="s">
        <v>448</v>
      </c>
      <c r="G333" t="s">
        <v>449</v>
      </c>
      <c r="H333" t="s">
        <v>259</v>
      </c>
      <c r="I333" t="s">
        <v>284</v>
      </c>
      <c r="J333" t="s">
        <v>243</v>
      </c>
      <c r="K333" t="s">
        <v>262</v>
      </c>
      <c r="L333" t="s">
        <v>245</v>
      </c>
      <c r="M333" t="s">
        <v>253</v>
      </c>
      <c r="N333" t="s">
        <v>247</v>
      </c>
      <c r="O333">
        <v>41808</v>
      </c>
      <c r="P333">
        <v>2.41</v>
      </c>
      <c r="Q333">
        <v>3.71</v>
      </c>
      <c r="R333">
        <f t="shared" si="31"/>
        <v>1.2999999999999998</v>
      </c>
      <c r="S333">
        <v>39</v>
      </c>
      <c r="T333">
        <f t="shared" si="32"/>
        <v>144.69</v>
      </c>
      <c r="U333">
        <v>0.06</v>
      </c>
      <c r="V333">
        <f t="shared" si="33"/>
        <v>8.6814</v>
      </c>
      <c r="W333">
        <f t="shared" si="34"/>
        <v>136.0086</v>
      </c>
      <c r="X333">
        <v>1.93</v>
      </c>
      <c r="Y333">
        <f t="shared" si="35"/>
        <v>137.93860000000001</v>
      </c>
    </row>
    <row r="334" spans="1:25" x14ac:dyDescent="0.25">
      <c r="A334" t="s">
        <v>1104</v>
      </c>
      <c r="B334">
        <v>41808</v>
      </c>
      <c r="C334" t="str">
        <f t="shared" si="30"/>
        <v>2014</v>
      </c>
      <c r="D334" t="s">
        <v>291</v>
      </c>
      <c r="E334" t="s">
        <v>292</v>
      </c>
      <c r="F334" t="s">
        <v>257</v>
      </c>
      <c r="G334" t="s">
        <v>258</v>
      </c>
      <c r="H334" t="s">
        <v>293</v>
      </c>
      <c r="I334" t="s">
        <v>260</v>
      </c>
      <c r="J334" t="s">
        <v>261</v>
      </c>
      <c r="K334" t="s">
        <v>1105</v>
      </c>
      <c r="L334" t="s">
        <v>245</v>
      </c>
      <c r="M334" t="s">
        <v>253</v>
      </c>
      <c r="N334" t="s">
        <v>247</v>
      </c>
      <c r="O334">
        <v>41808</v>
      </c>
      <c r="P334">
        <v>1.88</v>
      </c>
      <c r="Q334">
        <v>3.14</v>
      </c>
      <c r="R334">
        <f t="shared" si="31"/>
        <v>1.2600000000000002</v>
      </c>
      <c r="S334">
        <v>32</v>
      </c>
      <c r="T334">
        <f t="shared" si="32"/>
        <v>100.48</v>
      </c>
      <c r="U334">
        <v>0.03</v>
      </c>
      <c r="V334">
        <f t="shared" si="33"/>
        <v>3.0144000000000002</v>
      </c>
      <c r="W334">
        <f t="shared" si="34"/>
        <v>97.465600000000009</v>
      </c>
      <c r="X334">
        <v>1.1399999999999999</v>
      </c>
      <c r="Y334">
        <f t="shared" si="35"/>
        <v>98.60560000000001</v>
      </c>
    </row>
    <row r="335" spans="1:25" x14ac:dyDescent="0.25">
      <c r="A335" t="s">
        <v>1106</v>
      </c>
      <c r="B335">
        <v>41809</v>
      </c>
      <c r="C335" t="str">
        <f t="shared" si="30"/>
        <v>2014</v>
      </c>
      <c r="D335" t="s">
        <v>1107</v>
      </c>
      <c r="E335" t="s">
        <v>371</v>
      </c>
      <c r="F335" t="s">
        <v>239</v>
      </c>
      <c r="G335" t="s">
        <v>240</v>
      </c>
      <c r="H335" t="s">
        <v>274</v>
      </c>
      <c r="I335" t="s">
        <v>251</v>
      </c>
      <c r="J335" t="s">
        <v>304</v>
      </c>
      <c r="K335" t="s">
        <v>425</v>
      </c>
      <c r="L335" t="s">
        <v>245</v>
      </c>
      <c r="M335" t="s">
        <v>253</v>
      </c>
      <c r="N335" t="s">
        <v>247</v>
      </c>
      <c r="O335">
        <v>41811</v>
      </c>
      <c r="P335">
        <v>21.56</v>
      </c>
      <c r="Q335">
        <v>36.549999999999997</v>
      </c>
      <c r="R335">
        <f t="shared" si="31"/>
        <v>14.989999999999998</v>
      </c>
      <c r="S335">
        <v>48</v>
      </c>
      <c r="T335">
        <f t="shared" si="32"/>
        <v>1754.3999999999999</v>
      </c>
      <c r="U335">
        <v>7.0000000000000007E-2</v>
      </c>
      <c r="V335">
        <f t="shared" si="33"/>
        <v>122.80800000000001</v>
      </c>
      <c r="W335">
        <f t="shared" si="34"/>
        <v>1631.5919999999999</v>
      </c>
      <c r="X335">
        <v>13.89</v>
      </c>
      <c r="Y335">
        <f t="shared" si="35"/>
        <v>1645.482</v>
      </c>
    </row>
    <row r="336" spans="1:25" x14ac:dyDescent="0.25">
      <c r="A336" t="s">
        <v>1108</v>
      </c>
      <c r="B336">
        <v>41809</v>
      </c>
      <c r="C336" t="str">
        <f t="shared" si="30"/>
        <v>2014</v>
      </c>
      <c r="D336" t="s">
        <v>1109</v>
      </c>
      <c r="E336" t="s">
        <v>380</v>
      </c>
      <c r="F336" t="s">
        <v>257</v>
      </c>
      <c r="G336" t="s">
        <v>258</v>
      </c>
      <c r="H336" t="s">
        <v>274</v>
      </c>
      <c r="I336" t="s">
        <v>381</v>
      </c>
      <c r="J336" t="s">
        <v>294</v>
      </c>
      <c r="K336" t="s">
        <v>488</v>
      </c>
      <c r="L336" t="s">
        <v>268</v>
      </c>
      <c r="M336" t="s">
        <v>323</v>
      </c>
      <c r="N336" t="s">
        <v>247</v>
      </c>
      <c r="O336">
        <v>41811</v>
      </c>
      <c r="P336">
        <v>20.18</v>
      </c>
      <c r="Q336">
        <v>35.409999999999997</v>
      </c>
      <c r="R336">
        <f t="shared" si="31"/>
        <v>15.229999999999997</v>
      </c>
      <c r="S336">
        <v>21</v>
      </c>
      <c r="T336">
        <f t="shared" si="32"/>
        <v>743.6099999999999</v>
      </c>
      <c r="U336">
        <v>0.01</v>
      </c>
      <c r="V336">
        <f t="shared" si="33"/>
        <v>7.4360999999999988</v>
      </c>
      <c r="W336">
        <f t="shared" si="34"/>
        <v>736.17389999999989</v>
      </c>
      <c r="X336">
        <v>1.99</v>
      </c>
      <c r="Y336">
        <f t="shared" si="35"/>
        <v>738.1638999999999</v>
      </c>
    </row>
    <row r="337" spans="1:25" x14ac:dyDescent="0.25">
      <c r="A337" t="s">
        <v>1110</v>
      </c>
      <c r="B337">
        <v>41809</v>
      </c>
      <c r="C337" t="str">
        <f t="shared" si="30"/>
        <v>2014</v>
      </c>
      <c r="D337" t="s">
        <v>678</v>
      </c>
      <c r="E337" t="s">
        <v>346</v>
      </c>
      <c r="F337" t="s">
        <v>257</v>
      </c>
      <c r="G337" t="s">
        <v>258</v>
      </c>
      <c r="H337" t="s">
        <v>241</v>
      </c>
      <c r="I337" t="s">
        <v>309</v>
      </c>
      <c r="J337" t="s">
        <v>243</v>
      </c>
      <c r="K337" t="s">
        <v>285</v>
      </c>
      <c r="L337" t="s">
        <v>245</v>
      </c>
      <c r="M337" t="s">
        <v>246</v>
      </c>
      <c r="N337" t="s">
        <v>247</v>
      </c>
      <c r="O337">
        <v>41811</v>
      </c>
      <c r="P337">
        <v>99.39</v>
      </c>
      <c r="Q337">
        <v>162.93</v>
      </c>
      <c r="R337">
        <f t="shared" si="31"/>
        <v>63.540000000000006</v>
      </c>
      <c r="S337">
        <v>16</v>
      </c>
      <c r="T337">
        <f t="shared" si="32"/>
        <v>2606.88</v>
      </c>
      <c r="U337">
        <v>0.1</v>
      </c>
      <c r="V337">
        <f t="shared" si="33"/>
        <v>260.68800000000005</v>
      </c>
      <c r="W337">
        <f t="shared" si="34"/>
        <v>2346.192</v>
      </c>
      <c r="X337">
        <v>19.989999999999998</v>
      </c>
      <c r="Y337">
        <f t="shared" si="35"/>
        <v>2366.1819999999998</v>
      </c>
    </row>
    <row r="338" spans="1:25" x14ac:dyDescent="0.25">
      <c r="A338" t="s">
        <v>1111</v>
      </c>
      <c r="B338">
        <v>41812</v>
      </c>
      <c r="C338" t="str">
        <f t="shared" si="30"/>
        <v>2014</v>
      </c>
      <c r="D338" t="s">
        <v>1112</v>
      </c>
      <c r="E338" t="s">
        <v>1041</v>
      </c>
      <c r="F338" t="s">
        <v>257</v>
      </c>
      <c r="G338" t="s">
        <v>258</v>
      </c>
      <c r="H338" t="s">
        <v>259</v>
      </c>
      <c r="I338" t="s">
        <v>372</v>
      </c>
      <c r="J338" t="s">
        <v>294</v>
      </c>
      <c r="K338" t="s">
        <v>668</v>
      </c>
      <c r="L338" t="s">
        <v>440</v>
      </c>
      <c r="M338" t="s">
        <v>647</v>
      </c>
      <c r="N338" t="s">
        <v>263</v>
      </c>
      <c r="O338">
        <v>41814</v>
      </c>
      <c r="P338">
        <v>56.16</v>
      </c>
      <c r="Q338">
        <v>136.97999999999999</v>
      </c>
      <c r="R338">
        <f t="shared" si="31"/>
        <v>80.819999999999993</v>
      </c>
      <c r="S338">
        <v>17</v>
      </c>
      <c r="T338">
        <f t="shared" si="32"/>
        <v>2328.66</v>
      </c>
      <c r="U338">
        <v>0</v>
      </c>
      <c r="V338">
        <f t="shared" si="33"/>
        <v>0</v>
      </c>
      <c r="W338">
        <f t="shared" si="34"/>
        <v>2328.66</v>
      </c>
      <c r="X338">
        <v>24.49</v>
      </c>
      <c r="Y338">
        <f t="shared" si="35"/>
        <v>2353.1499999999996</v>
      </c>
    </row>
    <row r="339" spans="1:25" x14ac:dyDescent="0.25">
      <c r="A339" t="s">
        <v>1113</v>
      </c>
      <c r="B339">
        <v>41812</v>
      </c>
      <c r="C339" t="str">
        <f t="shared" si="30"/>
        <v>2014</v>
      </c>
      <c r="D339" t="s">
        <v>1114</v>
      </c>
      <c r="E339" t="s">
        <v>1115</v>
      </c>
      <c r="F339" t="s">
        <v>239</v>
      </c>
      <c r="G339" t="s">
        <v>240</v>
      </c>
      <c r="H339" t="s">
        <v>274</v>
      </c>
      <c r="I339" t="s">
        <v>251</v>
      </c>
      <c r="J339" t="s">
        <v>304</v>
      </c>
      <c r="K339" t="s">
        <v>872</v>
      </c>
      <c r="L339" t="s">
        <v>245</v>
      </c>
      <c r="M339" t="s">
        <v>246</v>
      </c>
      <c r="N339" t="s">
        <v>263</v>
      </c>
      <c r="O339">
        <v>41814</v>
      </c>
      <c r="P339">
        <v>3.14</v>
      </c>
      <c r="Q339">
        <v>4.91</v>
      </c>
      <c r="R339">
        <f t="shared" si="31"/>
        <v>1.77</v>
      </c>
      <c r="S339">
        <v>24</v>
      </c>
      <c r="T339">
        <f t="shared" si="32"/>
        <v>117.84</v>
      </c>
      <c r="U339">
        <v>0.01</v>
      </c>
      <c r="V339">
        <f t="shared" si="33"/>
        <v>1.1784000000000001</v>
      </c>
      <c r="W339">
        <f t="shared" si="34"/>
        <v>116.66160000000001</v>
      </c>
      <c r="X339">
        <v>0.5</v>
      </c>
      <c r="Y339">
        <f t="shared" si="35"/>
        <v>117.16160000000001</v>
      </c>
    </row>
    <row r="340" spans="1:25" x14ac:dyDescent="0.25">
      <c r="A340" t="s">
        <v>1116</v>
      </c>
      <c r="B340">
        <v>41813</v>
      </c>
      <c r="C340" t="str">
        <f t="shared" si="30"/>
        <v>2014</v>
      </c>
      <c r="D340" t="s">
        <v>1117</v>
      </c>
      <c r="E340" t="s">
        <v>1118</v>
      </c>
      <c r="F340" t="s">
        <v>257</v>
      </c>
      <c r="G340" t="s">
        <v>258</v>
      </c>
      <c r="H340" t="s">
        <v>241</v>
      </c>
      <c r="I340" t="s">
        <v>284</v>
      </c>
      <c r="J340" t="s">
        <v>304</v>
      </c>
      <c r="K340" t="s">
        <v>1119</v>
      </c>
      <c r="L340" t="s">
        <v>245</v>
      </c>
      <c r="M340" t="s">
        <v>246</v>
      </c>
      <c r="N340" t="s">
        <v>247</v>
      </c>
      <c r="O340">
        <v>41813</v>
      </c>
      <c r="P340">
        <v>1.84</v>
      </c>
      <c r="Q340">
        <v>2.88</v>
      </c>
      <c r="R340">
        <f t="shared" si="31"/>
        <v>1.0399999999999998</v>
      </c>
      <c r="S340">
        <v>8</v>
      </c>
      <c r="T340">
        <f t="shared" si="32"/>
        <v>23.04</v>
      </c>
      <c r="U340">
        <v>7.0000000000000007E-2</v>
      </c>
      <c r="V340">
        <f t="shared" si="33"/>
        <v>1.6128</v>
      </c>
      <c r="W340">
        <f t="shared" si="34"/>
        <v>21.427199999999999</v>
      </c>
      <c r="X340">
        <v>0.99</v>
      </c>
      <c r="Y340">
        <f t="shared" si="35"/>
        <v>22.417199999999998</v>
      </c>
    </row>
    <row r="341" spans="1:25" x14ac:dyDescent="0.25">
      <c r="A341" t="s">
        <v>1120</v>
      </c>
      <c r="B341">
        <v>41815</v>
      </c>
      <c r="C341" t="str">
        <f t="shared" si="30"/>
        <v>2014</v>
      </c>
      <c r="D341" t="s">
        <v>510</v>
      </c>
      <c r="E341" t="s">
        <v>511</v>
      </c>
      <c r="F341" t="s">
        <v>257</v>
      </c>
      <c r="G341" t="s">
        <v>258</v>
      </c>
      <c r="H341" t="s">
        <v>293</v>
      </c>
      <c r="I341" t="s">
        <v>381</v>
      </c>
      <c r="J341" t="s">
        <v>294</v>
      </c>
      <c r="K341" t="s">
        <v>786</v>
      </c>
      <c r="L341" t="s">
        <v>245</v>
      </c>
      <c r="M341" t="s">
        <v>323</v>
      </c>
      <c r="N341" t="s">
        <v>247</v>
      </c>
      <c r="O341">
        <v>41815</v>
      </c>
      <c r="P341">
        <v>16.8</v>
      </c>
      <c r="Q341">
        <v>40.97</v>
      </c>
      <c r="R341">
        <f t="shared" si="31"/>
        <v>24.169999999999998</v>
      </c>
      <c r="S341">
        <v>47</v>
      </c>
      <c r="T341">
        <f t="shared" si="32"/>
        <v>1925.59</v>
      </c>
      <c r="U341">
        <v>0.06</v>
      </c>
      <c r="V341">
        <f t="shared" si="33"/>
        <v>115.5354</v>
      </c>
      <c r="W341">
        <f t="shared" si="34"/>
        <v>1810.0545999999999</v>
      </c>
      <c r="X341">
        <v>8.99</v>
      </c>
      <c r="Y341">
        <f t="shared" si="35"/>
        <v>1819.0445999999999</v>
      </c>
    </row>
    <row r="342" spans="1:25" x14ac:dyDescent="0.25">
      <c r="A342" t="s">
        <v>1121</v>
      </c>
      <c r="B342">
        <v>41817</v>
      </c>
      <c r="C342" t="str">
        <f t="shared" si="30"/>
        <v>2014</v>
      </c>
      <c r="D342" t="s">
        <v>1122</v>
      </c>
      <c r="E342" t="s">
        <v>420</v>
      </c>
      <c r="F342" t="s">
        <v>239</v>
      </c>
      <c r="G342" t="s">
        <v>240</v>
      </c>
      <c r="H342" t="s">
        <v>293</v>
      </c>
      <c r="I342" t="s">
        <v>251</v>
      </c>
      <c r="J342" t="s">
        <v>243</v>
      </c>
      <c r="K342" t="s">
        <v>638</v>
      </c>
      <c r="L342" t="s">
        <v>245</v>
      </c>
      <c r="M342" t="s">
        <v>323</v>
      </c>
      <c r="N342" t="s">
        <v>247</v>
      </c>
      <c r="O342">
        <v>41818</v>
      </c>
      <c r="P342">
        <v>1.46</v>
      </c>
      <c r="Q342">
        <v>3.57</v>
      </c>
      <c r="R342">
        <f t="shared" si="31"/>
        <v>2.11</v>
      </c>
      <c r="S342">
        <v>46</v>
      </c>
      <c r="T342">
        <f t="shared" si="32"/>
        <v>164.22</v>
      </c>
      <c r="U342">
        <v>0.01</v>
      </c>
      <c r="V342">
        <f t="shared" si="33"/>
        <v>1.6422000000000001</v>
      </c>
      <c r="W342">
        <f t="shared" si="34"/>
        <v>162.5778</v>
      </c>
      <c r="X342">
        <v>4.17</v>
      </c>
      <c r="Y342">
        <f t="shared" si="35"/>
        <v>166.74779999999998</v>
      </c>
    </row>
    <row r="343" spans="1:25" x14ac:dyDescent="0.25">
      <c r="A343" t="s">
        <v>1123</v>
      </c>
      <c r="B343">
        <v>41819</v>
      </c>
      <c r="C343" t="str">
        <f t="shared" si="30"/>
        <v>2014</v>
      </c>
      <c r="D343" t="s">
        <v>1124</v>
      </c>
      <c r="E343" t="s">
        <v>789</v>
      </c>
      <c r="F343" t="s">
        <v>257</v>
      </c>
      <c r="G343" t="s">
        <v>258</v>
      </c>
      <c r="H343" t="s">
        <v>241</v>
      </c>
      <c r="I343" t="s">
        <v>309</v>
      </c>
      <c r="J343" t="s">
        <v>294</v>
      </c>
      <c r="K343" t="s">
        <v>776</v>
      </c>
      <c r="L343" t="s">
        <v>245</v>
      </c>
      <c r="M343" t="s">
        <v>246</v>
      </c>
      <c r="N343" t="s">
        <v>247</v>
      </c>
      <c r="O343">
        <v>41820</v>
      </c>
      <c r="P343">
        <v>4.53</v>
      </c>
      <c r="Q343">
        <v>7.3</v>
      </c>
      <c r="R343">
        <f t="shared" si="31"/>
        <v>2.7699999999999996</v>
      </c>
      <c r="S343">
        <v>50</v>
      </c>
      <c r="T343">
        <f t="shared" si="32"/>
        <v>365</v>
      </c>
      <c r="U343">
        <v>0.02</v>
      </c>
      <c r="V343">
        <f t="shared" si="33"/>
        <v>7.3</v>
      </c>
      <c r="W343">
        <f t="shared" si="34"/>
        <v>357.7</v>
      </c>
      <c r="X343">
        <v>7.72</v>
      </c>
      <c r="Y343">
        <f t="shared" si="35"/>
        <v>365.42</v>
      </c>
    </row>
    <row r="344" spans="1:25" x14ac:dyDescent="0.25">
      <c r="A344" t="s">
        <v>1125</v>
      </c>
      <c r="B344">
        <v>41819</v>
      </c>
      <c r="C344" t="str">
        <f t="shared" si="30"/>
        <v>2014</v>
      </c>
      <c r="D344" t="s">
        <v>1124</v>
      </c>
      <c r="E344" t="s">
        <v>789</v>
      </c>
      <c r="F344" t="s">
        <v>257</v>
      </c>
      <c r="G344" t="s">
        <v>258</v>
      </c>
      <c r="H344" t="s">
        <v>241</v>
      </c>
      <c r="I344" t="s">
        <v>309</v>
      </c>
      <c r="J344" t="s">
        <v>294</v>
      </c>
      <c r="K344" t="s">
        <v>1126</v>
      </c>
      <c r="L344" t="s">
        <v>245</v>
      </c>
      <c r="M344" t="s">
        <v>253</v>
      </c>
      <c r="N344" t="s">
        <v>247</v>
      </c>
      <c r="O344">
        <v>41820</v>
      </c>
      <c r="P344">
        <v>1.53</v>
      </c>
      <c r="Q344">
        <v>2.4700000000000002</v>
      </c>
      <c r="R344">
        <f t="shared" si="31"/>
        <v>0.94000000000000017</v>
      </c>
      <c r="S344">
        <v>43</v>
      </c>
      <c r="T344">
        <f t="shared" si="32"/>
        <v>106.21000000000001</v>
      </c>
      <c r="U344">
        <v>0.02</v>
      </c>
      <c r="V344">
        <f t="shared" si="33"/>
        <v>2.1242000000000001</v>
      </c>
      <c r="W344">
        <f t="shared" si="34"/>
        <v>104.08580000000001</v>
      </c>
      <c r="X344">
        <v>1.02</v>
      </c>
      <c r="Y344">
        <f t="shared" si="35"/>
        <v>105.1058</v>
      </c>
    </row>
    <row r="345" spans="1:25" x14ac:dyDescent="0.25">
      <c r="A345" t="s">
        <v>1127</v>
      </c>
      <c r="B345">
        <v>41819</v>
      </c>
      <c r="C345" t="str">
        <f t="shared" si="30"/>
        <v>2014</v>
      </c>
      <c r="D345" t="s">
        <v>1128</v>
      </c>
      <c r="E345" t="s">
        <v>288</v>
      </c>
      <c r="F345" t="s">
        <v>257</v>
      </c>
      <c r="G345" t="s">
        <v>258</v>
      </c>
      <c r="H345" t="s">
        <v>259</v>
      </c>
      <c r="I345" t="s">
        <v>284</v>
      </c>
      <c r="J345" t="s">
        <v>304</v>
      </c>
      <c r="K345" t="s">
        <v>368</v>
      </c>
      <c r="L345" t="s">
        <v>245</v>
      </c>
      <c r="M345" t="s">
        <v>246</v>
      </c>
      <c r="N345" t="s">
        <v>247</v>
      </c>
      <c r="O345">
        <v>41819</v>
      </c>
      <c r="P345">
        <v>1.59</v>
      </c>
      <c r="Q345">
        <v>2.61</v>
      </c>
      <c r="R345">
        <f t="shared" si="31"/>
        <v>1.0199999999999998</v>
      </c>
      <c r="S345">
        <v>44</v>
      </c>
      <c r="T345">
        <f t="shared" si="32"/>
        <v>114.83999999999999</v>
      </c>
      <c r="U345">
        <v>0.09</v>
      </c>
      <c r="V345">
        <f t="shared" si="33"/>
        <v>10.335599999999999</v>
      </c>
      <c r="W345">
        <f t="shared" si="34"/>
        <v>104.50439999999999</v>
      </c>
      <c r="X345">
        <v>0.5</v>
      </c>
      <c r="Y345">
        <f t="shared" si="35"/>
        <v>105.00439999999999</v>
      </c>
    </row>
    <row r="346" spans="1:25" x14ac:dyDescent="0.25">
      <c r="A346" t="s">
        <v>1129</v>
      </c>
      <c r="B346">
        <v>41819</v>
      </c>
      <c r="C346" t="str">
        <f t="shared" si="30"/>
        <v>2014</v>
      </c>
      <c r="D346" t="s">
        <v>386</v>
      </c>
      <c r="E346" t="s">
        <v>266</v>
      </c>
      <c r="F346" t="s">
        <v>239</v>
      </c>
      <c r="G346" t="s">
        <v>240</v>
      </c>
      <c r="H346" t="s">
        <v>259</v>
      </c>
      <c r="I346" t="s">
        <v>242</v>
      </c>
      <c r="J346" t="s">
        <v>294</v>
      </c>
      <c r="K346" t="s">
        <v>1130</v>
      </c>
      <c r="L346" t="s">
        <v>268</v>
      </c>
      <c r="M346" t="s">
        <v>246</v>
      </c>
      <c r="N346" t="s">
        <v>247</v>
      </c>
      <c r="O346">
        <v>41820</v>
      </c>
      <c r="P346">
        <v>14.7</v>
      </c>
      <c r="Q346">
        <v>29.99</v>
      </c>
      <c r="R346">
        <f t="shared" si="31"/>
        <v>15.29</v>
      </c>
      <c r="S346">
        <v>20</v>
      </c>
      <c r="T346">
        <f t="shared" si="32"/>
        <v>599.79999999999995</v>
      </c>
      <c r="U346">
        <v>0</v>
      </c>
      <c r="V346">
        <f t="shared" si="33"/>
        <v>0</v>
      </c>
      <c r="W346">
        <f t="shared" si="34"/>
        <v>599.79999999999995</v>
      </c>
      <c r="X346">
        <v>5.5</v>
      </c>
      <c r="Y346">
        <f t="shared" si="35"/>
        <v>605.29999999999995</v>
      </c>
    </row>
    <row r="347" spans="1:25" x14ac:dyDescent="0.25">
      <c r="A347" t="s">
        <v>1131</v>
      </c>
      <c r="B347">
        <v>41820</v>
      </c>
      <c r="C347" t="str">
        <f t="shared" si="30"/>
        <v>2014</v>
      </c>
      <c r="D347" t="s">
        <v>1132</v>
      </c>
      <c r="E347" t="s">
        <v>1133</v>
      </c>
      <c r="F347" t="s">
        <v>257</v>
      </c>
      <c r="G347" t="s">
        <v>258</v>
      </c>
      <c r="H347" t="s">
        <v>259</v>
      </c>
      <c r="I347" t="s">
        <v>372</v>
      </c>
      <c r="J347" t="s">
        <v>304</v>
      </c>
      <c r="K347" t="s">
        <v>479</v>
      </c>
      <c r="L347" t="s">
        <v>245</v>
      </c>
      <c r="M347" t="s">
        <v>246</v>
      </c>
      <c r="N347" t="s">
        <v>247</v>
      </c>
      <c r="O347">
        <v>41823</v>
      </c>
      <c r="P347">
        <v>8.92</v>
      </c>
      <c r="Q347">
        <v>29.74</v>
      </c>
      <c r="R347">
        <f t="shared" si="31"/>
        <v>20.82</v>
      </c>
      <c r="S347">
        <v>4</v>
      </c>
      <c r="T347">
        <f t="shared" si="32"/>
        <v>118.96</v>
      </c>
      <c r="U347">
        <v>0.05</v>
      </c>
      <c r="V347">
        <f t="shared" si="33"/>
        <v>5.9480000000000004</v>
      </c>
      <c r="W347">
        <f t="shared" si="34"/>
        <v>113.012</v>
      </c>
      <c r="X347">
        <v>6.64</v>
      </c>
      <c r="Y347">
        <f t="shared" si="35"/>
        <v>119.652</v>
      </c>
    </row>
    <row r="348" spans="1:25" x14ac:dyDescent="0.25">
      <c r="A348" t="s">
        <v>1134</v>
      </c>
      <c r="B348">
        <v>41824</v>
      </c>
      <c r="C348" t="str">
        <f t="shared" si="30"/>
        <v>2014</v>
      </c>
      <c r="D348" t="s">
        <v>1135</v>
      </c>
      <c r="E348" t="s">
        <v>528</v>
      </c>
      <c r="F348" t="s">
        <v>239</v>
      </c>
      <c r="G348" t="s">
        <v>240</v>
      </c>
      <c r="H348" t="s">
        <v>274</v>
      </c>
      <c r="I348" t="s">
        <v>251</v>
      </c>
      <c r="J348" t="s">
        <v>243</v>
      </c>
      <c r="K348" t="s">
        <v>698</v>
      </c>
      <c r="L348" t="s">
        <v>245</v>
      </c>
      <c r="M348" t="s">
        <v>253</v>
      </c>
      <c r="N348" t="s">
        <v>247</v>
      </c>
      <c r="O348">
        <v>41826</v>
      </c>
      <c r="P348">
        <v>3.32</v>
      </c>
      <c r="Q348">
        <v>5.18</v>
      </c>
      <c r="R348">
        <f t="shared" si="31"/>
        <v>1.8599999999999999</v>
      </c>
      <c r="S348">
        <v>43</v>
      </c>
      <c r="T348">
        <f t="shared" si="32"/>
        <v>222.73999999999998</v>
      </c>
      <c r="U348">
        <v>0.03</v>
      </c>
      <c r="V348">
        <f t="shared" si="33"/>
        <v>6.682199999999999</v>
      </c>
      <c r="W348">
        <f t="shared" si="34"/>
        <v>216.05779999999999</v>
      </c>
      <c r="X348">
        <v>2.04</v>
      </c>
      <c r="Y348">
        <f t="shared" si="35"/>
        <v>218.09779999999998</v>
      </c>
    </row>
    <row r="349" spans="1:25" x14ac:dyDescent="0.25">
      <c r="A349" t="s">
        <v>1136</v>
      </c>
      <c r="B349">
        <v>41825</v>
      </c>
      <c r="C349" t="str">
        <f t="shared" si="30"/>
        <v>2014</v>
      </c>
      <c r="D349" t="s">
        <v>1137</v>
      </c>
      <c r="E349" t="s">
        <v>709</v>
      </c>
      <c r="F349" t="s">
        <v>257</v>
      </c>
      <c r="G349" t="s">
        <v>258</v>
      </c>
      <c r="H349" t="s">
        <v>274</v>
      </c>
      <c r="I349" t="s">
        <v>275</v>
      </c>
      <c r="J349" t="s">
        <v>261</v>
      </c>
      <c r="K349" t="s">
        <v>1138</v>
      </c>
      <c r="L349" t="s">
        <v>245</v>
      </c>
      <c r="M349" t="s">
        <v>246</v>
      </c>
      <c r="N349" t="s">
        <v>247</v>
      </c>
      <c r="O349">
        <v>41828</v>
      </c>
      <c r="P349">
        <v>1.84</v>
      </c>
      <c r="Q349">
        <v>2.88</v>
      </c>
      <c r="R349">
        <f t="shared" si="31"/>
        <v>1.0399999999999998</v>
      </c>
      <c r="S349">
        <v>47</v>
      </c>
      <c r="T349">
        <f t="shared" si="32"/>
        <v>135.35999999999999</v>
      </c>
      <c r="U349">
        <v>0.03</v>
      </c>
      <c r="V349">
        <f t="shared" si="33"/>
        <v>4.0607999999999995</v>
      </c>
      <c r="W349">
        <f t="shared" si="34"/>
        <v>131.29919999999998</v>
      </c>
      <c r="X349">
        <v>5.33</v>
      </c>
      <c r="Y349">
        <f t="shared" si="35"/>
        <v>136.6292</v>
      </c>
    </row>
    <row r="350" spans="1:25" x14ac:dyDescent="0.25">
      <c r="A350" t="s">
        <v>1139</v>
      </c>
      <c r="B350">
        <v>41831</v>
      </c>
      <c r="C350" t="str">
        <f t="shared" si="30"/>
        <v>2014</v>
      </c>
      <c r="D350" t="s">
        <v>965</v>
      </c>
      <c r="E350" t="s">
        <v>633</v>
      </c>
      <c r="F350" t="s">
        <v>239</v>
      </c>
      <c r="G350" t="s">
        <v>240</v>
      </c>
      <c r="H350" t="s">
        <v>274</v>
      </c>
      <c r="I350" t="s">
        <v>242</v>
      </c>
      <c r="J350" t="s">
        <v>243</v>
      </c>
      <c r="K350" t="s">
        <v>384</v>
      </c>
      <c r="L350" t="s">
        <v>268</v>
      </c>
      <c r="M350" t="s">
        <v>246</v>
      </c>
      <c r="N350" t="s">
        <v>247</v>
      </c>
      <c r="O350">
        <v>41833</v>
      </c>
      <c r="P350">
        <v>8.31</v>
      </c>
      <c r="Q350">
        <v>15.98</v>
      </c>
      <c r="R350">
        <f t="shared" si="31"/>
        <v>7.67</v>
      </c>
      <c r="S350">
        <v>40</v>
      </c>
      <c r="T350">
        <f t="shared" si="32"/>
        <v>639.20000000000005</v>
      </c>
      <c r="U350">
        <v>0.03</v>
      </c>
      <c r="V350">
        <f t="shared" si="33"/>
        <v>19.176000000000002</v>
      </c>
      <c r="W350">
        <f t="shared" si="34"/>
        <v>620.024</v>
      </c>
      <c r="X350">
        <v>6.5</v>
      </c>
      <c r="Y350">
        <f t="shared" si="35"/>
        <v>626.524</v>
      </c>
    </row>
    <row r="351" spans="1:25" x14ac:dyDescent="0.25">
      <c r="A351" t="s">
        <v>1140</v>
      </c>
      <c r="B351">
        <v>41832</v>
      </c>
      <c r="C351" t="str">
        <f t="shared" si="30"/>
        <v>2014</v>
      </c>
      <c r="D351" t="s">
        <v>1141</v>
      </c>
      <c r="E351" t="s">
        <v>575</v>
      </c>
      <c r="F351" t="s">
        <v>257</v>
      </c>
      <c r="G351" t="s">
        <v>258</v>
      </c>
      <c r="H351" t="s">
        <v>274</v>
      </c>
      <c r="I351" t="s">
        <v>381</v>
      </c>
      <c r="J351" t="s">
        <v>304</v>
      </c>
      <c r="K351" t="s">
        <v>1142</v>
      </c>
      <c r="L351" t="s">
        <v>245</v>
      </c>
      <c r="M351" t="s">
        <v>246</v>
      </c>
      <c r="N351" t="s">
        <v>247</v>
      </c>
      <c r="O351">
        <v>41834</v>
      </c>
      <c r="P351">
        <v>1.82</v>
      </c>
      <c r="Q351">
        <v>2.84</v>
      </c>
      <c r="R351">
        <f t="shared" si="31"/>
        <v>1.0199999999999998</v>
      </c>
      <c r="S351">
        <v>19</v>
      </c>
      <c r="T351">
        <f t="shared" si="32"/>
        <v>53.959999999999994</v>
      </c>
      <c r="U351">
        <v>0</v>
      </c>
      <c r="V351">
        <f t="shared" si="33"/>
        <v>0</v>
      </c>
      <c r="W351">
        <f t="shared" si="34"/>
        <v>53.959999999999994</v>
      </c>
      <c r="X351">
        <v>5.44</v>
      </c>
      <c r="Y351">
        <f t="shared" si="35"/>
        <v>59.399999999999991</v>
      </c>
    </row>
    <row r="352" spans="1:25" x14ac:dyDescent="0.25">
      <c r="A352" t="s">
        <v>1143</v>
      </c>
      <c r="B352">
        <v>41835</v>
      </c>
      <c r="C352" t="str">
        <f t="shared" si="30"/>
        <v>2014</v>
      </c>
      <c r="D352" t="s">
        <v>1144</v>
      </c>
      <c r="E352" t="s">
        <v>856</v>
      </c>
      <c r="F352" t="s">
        <v>239</v>
      </c>
      <c r="G352" t="s">
        <v>240</v>
      </c>
      <c r="H352" t="s">
        <v>259</v>
      </c>
      <c r="I352" t="s">
        <v>251</v>
      </c>
      <c r="J352" t="s">
        <v>294</v>
      </c>
      <c r="K352" t="s">
        <v>403</v>
      </c>
      <c r="L352" t="s">
        <v>268</v>
      </c>
      <c r="M352" t="s">
        <v>323</v>
      </c>
      <c r="N352" t="s">
        <v>247</v>
      </c>
      <c r="O352">
        <v>41837</v>
      </c>
      <c r="P352">
        <v>1.87</v>
      </c>
      <c r="Q352">
        <v>8.1199999999999992</v>
      </c>
      <c r="R352">
        <f t="shared" si="31"/>
        <v>6.2499999999999991</v>
      </c>
      <c r="S352">
        <v>4</v>
      </c>
      <c r="T352">
        <f t="shared" si="32"/>
        <v>32.479999999999997</v>
      </c>
      <c r="U352">
        <v>7.0000000000000007E-2</v>
      </c>
      <c r="V352">
        <f t="shared" si="33"/>
        <v>2.2736000000000001</v>
      </c>
      <c r="W352">
        <f t="shared" si="34"/>
        <v>30.206399999999995</v>
      </c>
      <c r="X352">
        <v>2.83</v>
      </c>
      <c r="Y352">
        <f t="shared" si="35"/>
        <v>33.036399999999993</v>
      </c>
    </row>
    <row r="353" spans="1:25" x14ac:dyDescent="0.25">
      <c r="A353" t="s">
        <v>1145</v>
      </c>
      <c r="B353">
        <v>41837</v>
      </c>
      <c r="C353" t="str">
        <f t="shared" si="30"/>
        <v>2014</v>
      </c>
      <c r="D353" t="s">
        <v>605</v>
      </c>
      <c r="E353" t="s">
        <v>606</v>
      </c>
      <c r="F353" t="s">
        <v>448</v>
      </c>
      <c r="G353" t="s">
        <v>449</v>
      </c>
      <c r="H353" t="s">
        <v>293</v>
      </c>
      <c r="I353" t="s">
        <v>284</v>
      </c>
      <c r="J353" t="s">
        <v>243</v>
      </c>
      <c r="K353" t="s">
        <v>1061</v>
      </c>
      <c r="L353" t="s">
        <v>245</v>
      </c>
      <c r="M353" t="s">
        <v>246</v>
      </c>
      <c r="N353" t="s">
        <v>247</v>
      </c>
      <c r="O353">
        <v>41838</v>
      </c>
      <c r="P353">
        <v>2.76</v>
      </c>
      <c r="Q353">
        <v>4.38</v>
      </c>
      <c r="R353">
        <f t="shared" si="31"/>
        <v>1.62</v>
      </c>
      <c r="S353">
        <v>18</v>
      </c>
      <c r="T353">
        <f t="shared" si="32"/>
        <v>78.84</v>
      </c>
      <c r="U353">
        <v>0.03</v>
      </c>
      <c r="V353">
        <f t="shared" si="33"/>
        <v>2.3652000000000002</v>
      </c>
      <c r="W353">
        <f t="shared" si="34"/>
        <v>76.474800000000002</v>
      </c>
      <c r="X353">
        <v>6.21</v>
      </c>
      <c r="Y353">
        <f t="shared" si="35"/>
        <v>82.684799999999996</v>
      </c>
    </row>
    <row r="354" spans="1:25" x14ac:dyDescent="0.25">
      <c r="A354" t="s">
        <v>1146</v>
      </c>
      <c r="B354">
        <v>41838</v>
      </c>
      <c r="C354" t="str">
        <f t="shared" si="30"/>
        <v>2014</v>
      </c>
      <c r="D354" t="s">
        <v>1147</v>
      </c>
      <c r="E354" t="s">
        <v>320</v>
      </c>
      <c r="F354" t="s">
        <v>257</v>
      </c>
      <c r="G354" t="s">
        <v>258</v>
      </c>
      <c r="H354" t="s">
        <v>259</v>
      </c>
      <c r="I354" t="s">
        <v>260</v>
      </c>
      <c r="J354" t="s">
        <v>304</v>
      </c>
      <c r="K354" t="s">
        <v>1119</v>
      </c>
      <c r="L354" t="s">
        <v>245</v>
      </c>
      <c r="M354" t="s">
        <v>246</v>
      </c>
      <c r="N354" t="s">
        <v>247</v>
      </c>
      <c r="O354">
        <v>41839</v>
      </c>
      <c r="P354">
        <v>1.84</v>
      </c>
      <c r="Q354">
        <v>2.88</v>
      </c>
      <c r="R354">
        <f t="shared" si="31"/>
        <v>1.0399999999999998</v>
      </c>
      <c r="S354">
        <v>10</v>
      </c>
      <c r="T354">
        <f t="shared" si="32"/>
        <v>28.799999999999997</v>
      </c>
      <c r="U354">
        <v>0.01</v>
      </c>
      <c r="V354">
        <f t="shared" si="33"/>
        <v>0.28799999999999998</v>
      </c>
      <c r="W354">
        <f t="shared" si="34"/>
        <v>28.511999999999997</v>
      </c>
      <c r="X354">
        <v>0.99</v>
      </c>
      <c r="Y354">
        <f t="shared" si="35"/>
        <v>29.501999999999995</v>
      </c>
    </row>
    <row r="355" spans="1:25" x14ac:dyDescent="0.25">
      <c r="A355" t="s">
        <v>1148</v>
      </c>
      <c r="B355">
        <v>41838</v>
      </c>
      <c r="C355" t="str">
        <f t="shared" si="30"/>
        <v>2014</v>
      </c>
      <c r="D355" t="s">
        <v>1149</v>
      </c>
      <c r="E355" t="s">
        <v>1150</v>
      </c>
      <c r="F355" t="s">
        <v>448</v>
      </c>
      <c r="G355" t="s">
        <v>449</v>
      </c>
      <c r="H355" t="s">
        <v>274</v>
      </c>
      <c r="I355" t="s">
        <v>284</v>
      </c>
      <c r="J355" t="s">
        <v>279</v>
      </c>
      <c r="K355" t="s">
        <v>1151</v>
      </c>
      <c r="L355" t="s">
        <v>245</v>
      </c>
      <c r="M355" t="s">
        <v>253</v>
      </c>
      <c r="N355" t="s">
        <v>247</v>
      </c>
      <c r="O355">
        <v>41840</v>
      </c>
      <c r="P355">
        <v>0.92</v>
      </c>
      <c r="Q355">
        <v>1.81</v>
      </c>
      <c r="R355">
        <f t="shared" si="31"/>
        <v>0.89</v>
      </c>
      <c r="S355">
        <v>8</v>
      </c>
      <c r="T355">
        <f t="shared" si="32"/>
        <v>14.48</v>
      </c>
      <c r="U355">
        <v>0.05</v>
      </c>
      <c r="V355">
        <f t="shared" si="33"/>
        <v>0.72400000000000009</v>
      </c>
      <c r="W355">
        <f t="shared" si="34"/>
        <v>13.756</v>
      </c>
      <c r="X355">
        <v>1.56</v>
      </c>
      <c r="Y355">
        <f t="shared" si="35"/>
        <v>15.316000000000001</v>
      </c>
    </row>
    <row r="356" spans="1:25" x14ac:dyDescent="0.25">
      <c r="A356" t="s">
        <v>1152</v>
      </c>
      <c r="B356">
        <v>41838</v>
      </c>
      <c r="C356" t="str">
        <f t="shared" si="30"/>
        <v>2014</v>
      </c>
      <c r="D356" t="s">
        <v>1149</v>
      </c>
      <c r="E356" t="s">
        <v>1150</v>
      </c>
      <c r="F356" t="s">
        <v>448</v>
      </c>
      <c r="G356" t="s">
        <v>449</v>
      </c>
      <c r="H356" t="s">
        <v>274</v>
      </c>
      <c r="I356" t="s">
        <v>284</v>
      </c>
      <c r="J356" t="s">
        <v>279</v>
      </c>
      <c r="K356" t="s">
        <v>1153</v>
      </c>
      <c r="L356" t="s">
        <v>245</v>
      </c>
      <c r="M356" t="s">
        <v>253</v>
      </c>
      <c r="N356" t="s">
        <v>247</v>
      </c>
      <c r="O356">
        <v>41845</v>
      </c>
      <c r="P356">
        <v>1.9</v>
      </c>
      <c r="Q356">
        <v>3.28</v>
      </c>
      <c r="R356">
        <f t="shared" si="31"/>
        <v>1.38</v>
      </c>
      <c r="S356">
        <v>41</v>
      </c>
      <c r="T356">
        <f t="shared" si="32"/>
        <v>134.47999999999999</v>
      </c>
      <c r="U356">
        <v>0.05</v>
      </c>
      <c r="V356">
        <f t="shared" si="33"/>
        <v>6.7240000000000002</v>
      </c>
      <c r="W356">
        <f t="shared" si="34"/>
        <v>127.75599999999999</v>
      </c>
      <c r="X356">
        <v>1.95</v>
      </c>
      <c r="Y356">
        <f t="shared" si="35"/>
        <v>129.70599999999999</v>
      </c>
    </row>
    <row r="357" spans="1:25" x14ac:dyDescent="0.25">
      <c r="A357" t="s">
        <v>1154</v>
      </c>
      <c r="B357">
        <v>41842</v>
      </c>
      <c r="C357" t="str">
        <f t="shared" si="30"/>
        <v>2014</v>
      </c>
      <c r="D357" t="s">
        <v>1155</v>
      </c>
      <c r="E357" t="s">
        <v>767</v>
      </c>
      <c r="F357" t="s">
        <v>257</v>
      </c>
      <c r="G357" t="s">
        <v>258</v>
      </c>
      <c r="H357" t="s">
        <v>274</v>
      </c>
      <c r="I357" t="s">
        <v>260</v>
      </c>
      <c r="J357" t="s">
        <v>279</v>
      </c>
      <c r="K357" t="s">
        <v>543</v>
      </c>
      <c r="L357" t="s">
        <v>245</v>
      </c>
      <c r="M357" t="s">
        <v>246</v>
      </c>
      <c r="N357" t="s">
        <v>247</v>
      </c>
      <c r="O357">
        <v>41844</v>
      </c>
      <c r="P357">
        <v>1.33</v>
      </c>
      <c r="Q357">
        <v>2.08</v>
      </c>
      <c r="R357">
        <f t="shared" si="31"/>
        <v>0.75</v>
      </c>
      <c r="S357">
        <v>20</v>
      </c>
      <c r="T357">
        <f t="shared" si="32"/>
        <v>41.6</v>
      </c>
      <c r="U357">
        <v>0.04</v>
      </c>
      <c r="V357">
        <f t="shared" si="33"/>
        <v>1.6640000000000001</v>
      </c>
      <c r="W357">
        <f t="shared" si="34"/>
        <v>39.936</v>
      </c>
      <c r="X357">
        <v>1.49</v>
      </c>
      <c r="Y357">
        <f t="shared" si="35"/>
        <v>41.426000000000002</v>
      </c>
    </row>
    <row r="358" spans="1:25" x14ac:dyDescent="0.25">
      <c r="A358" t="s">
        <v>1156</v>
      </c>
      <c r="B358">
        <v>41844</v>
      </c>
      <c r="C358" t="str">
        <f t="shared" si="30"/>
        <v>2014</v>
      </c>
      <c r="D358" t="s">
        <v>1157</v>
      </c>
      <c r="E358" t="s">
        <v>1014</v>
      </c>
      <c r="F358" t="s">
        <v>257</v>
      </c>
      <c r="G358" t="s">
        <v>258</v>
      </c>
      <c r="H358" t="s">
        <v>293</v>
      </c>
      <c r="I358" t="s">
        <v>492</v>
      </c>
      <c r="J358" t="s">
        <v>261</v>
      </c>
      <c r="K358" t="s">
        <v>529</v>
      </c>
      <c r="L358" t="s">
        <v>245</v>
      </c>
      <c r="M358" t="s">
        <v>253</v>
      </c>
      <c r="N358" t="s">
        <v>263</v>
      </c>
      <c r="O358">
        <v>41846</v>
      </c>
      <c r="P358">
        <v>1.6</v>
      </c>
      <c r="Q358">
        <v>2.62</v>
      </c>
      <c r="R358">
        <f t="shared" si="31"/>
        <v>1.02</v>
      </c>
      <c r="S358">
        <v>25</v>
      </c>
      <c r="T358">
        <f t="shared" si="32"/>
        <v>65.5</v>
      </c>
      <c r="U358">
        <v>0.09</v>
      </c>
      <c r="V358">
        <f t="shared" si="33"/>
        <v>5.8949999999999996</v>
      </c>
      <c r="W358">
        <f t="shared" si="34"/>
        <v>59.605000000000004</v>
      </c>
      <c r="X358">
        <v>0.8</v>
      </c>
      <c r="Y358">
        <f t="shared" si="35"/>
        <v>60.405000000000001</v>
      </c>
    </row>
    <row r="359" spans="1:25" x14ac:dyDescent="0.25">
      <c r="A359" t="s">
        <v>1158</v>
      </c>
      <c r="B359">
        <v>41845</v>
      </c>
      <c r="C359" t="str">
        <f t="shared" si="30"/>
        <v>2014</v>
      </c>
      <c r="D359" t="s">
        <v>1159</v>
      </c>
      <c r="E359" t="s">
        <v>376</v>
      </c>
      <c r="F359" t="s">
        <v>239</v>
      </c>
      <c r="G359" t="s">
        <v>240</v>
      </c>
      <c r="H359" t="s">
        <v>241</v>
      </c>
      <c r="I359" t="s">
        <v>242</v>
      </c>
      <c r="J359" t="s">
        <v>279</v>
      </c>
      <c r="K359" t="s">
        <v>555</v>
      </c>
      <c r="L359" t="s">
        <v>245</v>
      </c>
      <c r="M359" t="s">
        <v>246</v>
      </c>
      <c r="N359" t="s">
        <v>247</v>
      </c>
      <c r="O359">
        <v>41847</v>
      </c>
      <c r="P359">
        <v>1.98</v>
      </c>
      <c r="Q359">
        <v>3.15</v>
      </c>
      <c r="R359">
        <f t="shared" si="31"/>
        <v>1.17</v>
      </c>
      <c r="S359">
        <v>46</v>
      </c>
      <c r="T359">
        <f t="shared" si="32"/>
        <v>144.9</v>
      </c>
      <c r="U359">
        <v>0.1</v>
      </c>
      <c r="V359">
        <f t="shared" si="33"/>
        <v>14.490000000000002</v>
      </c>
      <c r="W359">
        <f t="shared" si="34"/>
        <v>130.41</v>
      </c>
      <c r="X359">
        <v>0.49</v>
      </c>
      <c r="Y359">
        <f t="shared" si="35"/>
        <v>130.9</v>
      </c>
    </row>
    <row r="360" spans="1:25" x14ac:dyDescent="0.25">
      <c r="A360" t="s">
        <v>1160</v>
      </c>
      <c r="B360">
        <v>41846</v>
      </c>
      <c r="C360" t="str">
        <f t="shared" si="30"/>
        <v>2014</v>
      </c>
      <c r="D360" t="s">
        <v>1161</v>
      </c>
      <c r="E360" t="s">
        <v>739</v>
      </c>
      <c r="F360" t="s">
        <v>257</v>
      </c>
      <c r="G360" t="s">
        <v>258</v>
      </c>
      <c r="H360" t="s">
        <v>241</v>
      </c>
      <c r="I360" t="s">
        <v>299</v>
      </c>
      <c r="J360" t="s">
        <v>279</v>
      </c>
      <c r="K360" t="s">
        <v>939</v>
      </c>
      <c r="L360" t="s">
        <v>268</v>
      </c>
      <c r="M360" t="s">
        <v>647</v>
      </c>
      <c r="N360" t="s">
        <v>247</v>
      </c>
      <c r="O360">
        <v>41855</v>
      </c>
      <c r="P360">
        <v>377.99</v>
      </c>
      <c r="Q360">
        <v>599.99</v>
      </c>
      <c r="R360">
        <f t="shared" si="31"/>
        <v>222</v>
      </c>
      <c r="S360">
        <v>25</v>
      </c>
      <c r="T360">
        <f t="shared" si="32"/>
        <v>14999.75</v>
      </c>
      <c r="U360">
        <v>7.0000000000000007E-2</v>
      </c>
      <c r="V360">
        <f t="shared" si="33"/>
        <v>1049.9825000000001</v>
      </c>
      <c r="W360">
        <f t="shared" si="34"/>
        <v>13949.7675</v>
      </c>
      <c r="X360">
        <v>24.49</v>
      </c>
      <c r="Y360">
        <f t="shared" si="35"/>
        <v>13974.2575</v>
      </c>
    </row>
    <row r="361" spans="1:25" x14ac:dyDescent="0.25">
      <c r="A361" t="s">
        <v>1162</v>
      </c>
      <c r="B361">
        <v>41846</v>
      </c>
      <c r="C361" t="str">
        <f t="shared" si="30"/>
        <v>2014</v>
      </c>
      <c r="D361" t="s">
        <v>1161</v>
      </c>
      <c r="E361" t="s">
        <v>739</v>
      </c>
      <c r="F361" t="s">
        <v>257</v>
      </c>
      <c r="G361" t="s">
        <v>258</v>
      </c>
      <c r="H361" t="s">
        <v>241</v>
      </c>
      <c r="I361" t="s">
        <v>299</v>
      </c>
      <c r="J361" t="s">
        <v>279</v>
      </c>
      <c r="K361" t="s">
        <v>529</v>
      </c>
      <c r="L361" t="s">
        <v>245</v>
      </c>
      <c r="M361" t="s">
        <v>253</v>
      </c>
      <c r="N361" t="s">
        <v>247</v>
      </c>
      <c r="O361">
        <v>41853</v>
      </c>
      <c r="P361">
        <v>1.6</v>
      </c>
      <c r="Q361">
        <v>2.62</v>
      </c>
      <c r="R361">
        <f t="shared" si="31"/>
        <v>1.02</v>
      </c>
      <c r="S361">
        <v>10</v>
      </c>
      <c r="T361">
        <f t="shared" si="32"/>
        <v>26.200000000000003</v>
      </c>
      <c r="U361">
        <v>0.08</v>
      </c>
      <c r="V361">
        <f t="shared" si="33"/>
        <v>2.0960000000000001</v>
      </c>
      <c r="W361">
        <f t="shared" si="34"/>
        <v>24.104000000000003</v>
      </c>
      <c r="X361">
        <v>0.8</v>
      </c>
      <c r="Y361">
        <f t="shared" si="35"/>
        <v>24.904000000000003</v>
      </c>
    </row>
    <row r="362" spans="1:25" x14ac:dyDescent="0.25">
      <c r="A362" t="s">
        <v>1163</v>
      </c>
      <c r="B362">
        <v>41848</v>
      </c>
      <c r="C362" t="str">
        <f t="shared" si="30"/>
        <v>2014</v>
      </c>
      <c r="D362" t="s">
        <v>1164</v>
      </c>
      <c r="E362" t="s">
        <v>1165</v>
      </c>
      <c r="F362" t="s">
        <v>257</v>
      </c>
      <c r="G362" t="s">
        <v>258</v>
      </c>
      <c r="H362" t="s">
        <v>259</v>
      </c>
      <c r="I362" t="s">
        <v>381</v>
      </c>
      <c r="J362" t="s">
        <v>304</v>
      </c>
      <c r="K362" t="s">
        <v>413</v>
      </c>
      <c r="L362" t="s">
        <v>268</v>
      </c>
      <c r="M362" t="s">
        <v>414</v>
      </c>
      <c r="N362" t="s">
        <v>247</v>
      </c>
      <c r="O362">
        <v>41850</v>
      </c>
      <c r="P362">
        <v>8.82</v>
      </c>
      <c r="Q362">
        <v>20.99</v>
      </c>
      <c r="R362">
        <f t="shared" si="31"/>
        <v>12.169999999999998</v>
      </c>
      <c r="S362">
        <v>9</v>
      </c>
      <c r="T362">
        <f t="shared" si="32"/>
        <v>188.91</v>
      </c>
      <c r="U362">
        <v>0.08</v>
      </c>
      <c r="V362">
        <f t="shared" si="33"/>
        <v>15.1128</v>
      </c>
      <c r="W362">
        <f t="shared" si="34"/>
        <v>173.7972</v>
      </c>
      <c r="X362">
        <v>4.8099999999999996</v>
      </c>
      <c r="Y362">
        <f t="shared" si="35"/>
        <v>178.60720000000001</v>
      </c>
    </row>
    <row r="363" spans="1:25" x14ac:dyDescent="0.25">
      <c r="A363" t="s">
        <v>1166</v>
      </c>
      <c r="B363">
        <v>41850</v>
      </c>
      <c r="C363" t="str">
        <f t="shared" si="30"/>
        <v>2014</v>
      </c>
      <c r="D363" t="s">
        <v>1167</v>
      </c>
      <c r="E363" t="s">
        <v>303</v>
      </c>
      <c r="F363" t="s">
        <v>239</v>
      </c>
      <c r="G363" t="s">
        <v>240</v>
      </c>
      <c r="H363" t="s">
        <v>293</v>
      </c>
      <c r="I363" t="s">
        <v>242</v>
      </c>
      <c r="J363" t="s">
        <v>243</v>
      </c>
      <c r="K363" t="s">
        <v>1138</v>
      </c>
      <c r="L363" t="s">
        <v>245</v>
      </c>
      <c r="M363" t="s">
        <v>246</v>
      </c>
      <c r="N363" t="s">
        <v>247</v>
      </c>
      <c r="O363">
        <v>41851</v>
      </c>
      <c r="P363">
        <v>1.84</v>
      </c>
      <c r="Q363">
        <v>2.88</v>
      </c>
      <c r="R363">
        <f t="shared" si="31"/>
        <v>1.0399999999999998</v>
      </c>
      <c r="S363">
        <v>11</v>
      </c>
      <c r="T363">
        <f t="shared" si="32"/>
        <v>31.68</v>
      </c>
      <c r="U363">
        <v>0.02</v>
      </c>
      <c r="V363">
        <f t="shared" si="33"/>
        <v>0.63360000000000005</v>
      </c>
      <c r="W363">
        <f t="shared" si="34"/>
        <v>31.046399999999998</v>
      </c>
      <c r="X363">
        <v>5.33</v>
      </c>
      <c r="Y363">
        <f t="shared" si="35"/>
        <v>36.376399999999997</v>
      </c>
    </row>
    <row r="364" spans="1:25" x14ac:dyDescent="0.25">
      <c r="A364" t="s">
        <v>1168</v>
      </c>
      <c r="B364">
        <v>41850</v>
      </c>
      <c r="C364" t="str">
        <f t="shared" si="30"/>
        <v>2014</v>
      </c>
      <c r="D364" t="s">
        <v>1169</v>
      </c>
      <c r="E364" t="s">
        <v>288</v>
      </c>
      <c r="F364" t="s">
        <v>257</v>
      </c>
      <c r="G364" t="s">
        <v>258</v>
      </c>
      <c r="H364" t="s">
        <v>293</v>
      </c>
      <c r="I364" t="s">
        <v>284</v>
      </c>
      <c r="J364" t="s">
        <v>243</v>
      </c>
      <c r="K364" t="s">
        <v>421</v>
      </c>
      <c r="L364" t="s">
        <v>245</v>
      </c>
      <c r="M364" t="s">
        <v>246</v>
      </c>
      <c r="N364" t="s">
        <v>247</v>
      </c>
      <c r="O364">
        <v>41852</v>
      </c>
      <c r="P364">
        <v>13.88</v>
      </c>
      <c r="Q364">
        <v>22.38</v>
      </c>
      <c r="R364">
        <f t="shared" si="31"/>
        <v>8.4999999999999982</v>
      </c>
      <c r="S364">
        <v>34</v>
      </c>
      <c r="T364">
        <f t="shared" si="32"/>
        <v>760.92</v>
      </c>
      <c r="U364">
        <v>0.01</v>
      </c>
      <c r="V364">
        <f t="shared" si="33"/>
        <v>7.6091999999999995</v>
      </c>
      <c r="W364">
        <f t="shared" si="34"/>
        <v>753.31079999999997</v>
      </c>
      <c r="X364">
        <v>15.1</v>
      </c>
      <c r="Y364">
        <f t="shared" si="35"/>
        <v>768.41079999999999</v>
      </c>
    </row>
    <row r="365" spans="1:25" x14ac:dyDescent="0.25">
      <c r="A365" t="s">
        <v>1170</v>
      </c>
      <c r="B365">
        <v>41850</v>
      </c>
      <c r="C365" t="str">
        <f t="shared" si="30"/>
        <v>2014</v>
      </c>
      <c r="D365" t="s">
        <v>1171</v>
      </c>
      <c r="E365" t="s">
        <v>356</v>
      </c>
      <c r="F365" t="s">
        <v>239</v>
      </c>
      <c r="G365" t="s">
        <v>240</v>
      </c>
      <c r="H365" t="s">
        <v>259</v>
      </c>
      <c r="I365" t="s">
        <v>251</v>
      </c>
      <c r="J365" t="s">
        <v>304</v>
      </c>
      <c r="K365" t="s">
        <v>305</v>
      </c>
      <c r="L365" t="s">
        <v>245</v>
      </c>
      <c r="M365" t="s">
        <v>246</v>
      </c>
      <c r="N365" t="s">
        <v>247</v>
      </c>
      <c r="O365">
        <v>41852</v>
      </c>
      <c r="P365">
        <v>4.8899999999999997</v>
      </c>
      <c r="Q365">
        <v>7.64</v>
      </c>
      <c r="R365">
        <f t="shared" si="31"/>
        <v>2.75</v>
      </c>
      <c r="S365">
        <v>7</v>
      </c>
      <c r="T365">
        <f t="shared" si="32"/>
        <v>53.48</v>
      </c>
      <c r="U365">
        <v>0.06</v>
      </c>
      <c r="V365">
        <f t="shared" si="33"/>
        <v>3.2087999999999997</v>
      </c>
      <c r="W365">
        <f t="shared" si="34"/>
        <v>50.2712</v>
      </c>
      <c r="X365">
        <v>1.39</v>
      </c>
      <c r="Y365">
        <f t="shared" si="35"/>
        <v>51.661200000000001</v>
      </c>
    </row>
    <row r="366" spans="1:25" x14ac:dyDescent="0.25">
      <c r="A366" t="s">
        <v>1172</v>
      </c>
      <c r="B366">
        <v>41854</v>
      </c>
      <c r="C366" t="str">
        <f t="shared" si="30"/>
        <v>2014</v>
      </c>
      <c r="D366" t="s">
        <v>1173</v>
      </c>
      <c r="E366" t="s">
        <v>816</v>
      </c>
      <c r="F366" t="s">
        <v>257</v>
      </c>
      <c r="G366" t="s">
        <v>258</v>
      </c>
      <c r="H366" t="s">
        <v>259</v>
      </c>
      <c r="I366" t="s">
        <v>492</v>
      </c>
      <c r="J366" t="s">
        <v>304</v>
      </c>
      <c r="K366" t="s">
        <v>653</v>
      </c>
      <c r="L366" t="s">
        <v>245</v>
      </c>
      <c r="M366" t="s">
        <v>246</v>
      </c>
      <c r="N366" t="s">
        <v>247</v>
      </c>
      <c r="O366">
        <v>41855</v>
      </c>
      <c r="P366">
        <v>3.5</v>
      </c>
      <c r="Q366">
        <v>5.74</v>
      </c>
      <c r="R366">
        <f t="shared" si="31"/>
        <v>2.2400000000000002</v>
      </c>
      <c r="S366">
        <v>7</v>
      </c>
      <c r="T366">
        <f t="shared" si="32"/>
        <v>40.18</v>
      </c>
      <c r="U366">
        <v>0.04</v>
      </c>
      <c r="V366">
        <f t="shared" si="33"/>
        <v>1.6072</v>
      </c>
      <c r="W366">
        <f t="shared" si="34"/>
        <v>38.572800000000001</v>
      </c>
      <c r="X366">
        <v>5.01</v>
      </c>
      <c r="Y366">
        <f t="shared" si="35"/>
        <v>43.582799999999999</v>
      </c>
    </row>
    <row r="367" spans="1:25" x14ac:dyDescent="0.25">
      <c r="A367" t="s">
        <v>1174</v>
      </c>
      <c r="B367">
        <v>41856</v>
      </c>
      <c r="C367" t="str">
        <f t="shared" si="30"/>
        <v>2014</v>
      </c>
      <c r="D367" t="s">
        <v>1175</v>
      </c>
      <c r="E367" t="s">
        <v>238</v>
      </c>
      <c r="F367" t="s">
        <v>239</v>
      </c>
      <c r="G367" t="s">
        <v>240</v>
      </c>
      <c r="H367" t="s">
        <v>274</v>
      </c>
      <c r="I367" t="s">
        <v>242</v>
      </c>
      <c r="J367" t="s">
        <v>243</v>
      </c>
      <c r="K367" t="s">
        <v>280</v>
      </c>
      <c r="L367" t="s">
        <v>245</v>
      </c>
      <c r="M367" t="s">
        <v>253</v>
      </c>
      <c r="N367" t="s">
        <v>247</v>
      </c>
      <c r="O367">
        <v>41858</v>
      </c>
      <c r="P367">
        <v>1.0900000000000001</v>
      </c>
      <c r="Q367">
        <v>2.6</v>
      </c>
      <c r="R367">
        <f t="shared" si="31"/>
        <v>1.51</v>
      </c>
      <c r="S367">
        <v>43</v>
      </c>
      <c r="T367">
        <f t="shared" si="32"/>
        <v>111.8</v>
      </c>
      <c r="U367">
        <v>0.06</v>
      </c>
      <c r="V367">
        <f t="shared" si="33"/>
        <v>6.7079999999999993</v>
      </c>
      <c r="W367">
        <f t="shared" si="34"/>
        <v>105.092</v>
      </c>
      <c r="X367">
        <v>2.4</v>
      </c>
      <c r="Y367">
        <f t="shared" si="35"/>
        <v>107.492</v>
      </c>
    </row>
    <row r="368" spans="1:25" x14ac:dyDescent="0.25">
      <c r="A368" t="s">
        <v>1176</v>
      </c>
      <c r="B368">
        <v>41857</v>
      </c>
      <c r="C368" t="str">
        <f t="shared" si="30"/>
        <v>2014</v>
      </c>
      <c r="D368" t="s">
        <v>1177</v>
      </c>
      <c r="E368" t="s">
        <v>1178</v>
      </c>
      <c r="F368" t="s">
        <v>257</v>
      </c>
      <c r="G368" t="s">
        <v>258</v>
      </c>
      <c r="H368" t="s">
        <v>259</v>
      </c>
      <c r="I368" t="s">
        <v>504</v>
      </c>
      <c r="J368" t="s">
        <v>279</v>
      </c>
      <c r="K368" t="s">
        <v>603</v>
      </c>
      <c r="L368" t="s">
        <v>245</v>
      </c>
      <c r="M368" t="s">
        <v>246</v>
      </c>
      <c r="N368" t="s">
        <v>247</v>
      </c>
      <c r="O368">
        <v>41857</v>
      </c>
      <c r="P368">
        <v>3.65</v>
      </c>
      <c r="Q368">
        <v>5.98</v>
      </c>
      <c r="R368">
        <f t="shared" si="31"/>
        <v>2.3300000000000005</v>
      </c>
      <c r="S368">
        <v>32</v>
      </c>
      <c r="T368">
        <f t="shared" si="32"/>
        <v>191.36</v>
      </c>
      <c r="U368">
        <v>0.1</v>
      </c>
      <c r="V368">
        <f t="shared" si="33"/>
        <v>19.136000000000003</v>
      </c>
      <c r="W368">
        <f t="shared" si="34"/>
        <v>172.22400000000002</v>
      </c>
      <c r="X368">
        <v>1.49</v>
      </c>
      <c r="Y368">
        <f t="shared" si="35"/>
        <v>173.71400000000003</v>
      </c>
    </row>
    <row r="369" spans="1:25" x14ac:dyDescent="0.25">
      <c r="A369" t="s">
        <v>1179</v>
      </c>
      <c r="B369">
        <v>41858</v>
      </c>
      <c r="C369" t="str">
        <f t="shared" si="30"/>
        <v>2014</v>
      </c>
      <c r="D369" t="s">
        <v>1180</v>
      </c>
      <c r="E369" t="s">
        <v>332</v>
      </c>
      <c r="F369" t="s">
        <v>257</v>
      </c>
      <c r="G369" t="s">
        <v>258</v>
      </c>
      <c r="H369" t="s">
        <v>293</v>
      </c>
      <c r="I369" t="s">
        <v>333</v>
      </c>
      <c r="J369" t="s">
        <v>261</v>
      </c>
      <c r="K369" t="s">
        <v>698</v>
      </c>
      <c r="L369" t="s">
        <v>245</v>
      </c>
      <c r="M369" t="s">
        <v>253</v>
      </c>
      <c r="N369" t="s">
        <v>247</v>
      </c>
      <c r="O369">
        <v>41860</v>
      </c>
      <c r="P369">
        <v>3.32</v>
      </c>
      <c r="Q369">
        <v>5.18</v>
      </c>
      <c r="R369">
        <f t="shared" si="31"/>
        <v>1.8599999999999999</v>
      </c>
      <c r="S369">
        <v>17</v>
      </c>
      <c r="T369">
        <f t="shared" si="32"/>
        <v>88.06</v>
      </c>
      <c r="U369">
        <v>0.02</v>
      </c>
      <c r="V369">
        <f t="shared" si="33"/>
        <v>1.7612000000000001</v>
      </c>
      <c r="W369">
        <f t="shared" si="34"/>
        <v>86.2988</v>
      </c>
      <c r="X369">
        <v>2.04</v>
      </c>
      <c r="Y369">
        <f t="shared" si="35"/>
        <v>88.338800000000006</v>
      </c>
    </row>
    <row r="370" spans="1:25" x14ac:dyDescent="0.25">
      <c r="A370" t="s">
        <v>1181</v>
      </c>
      <c r="B370">
        <v>41862</v>
      </c>
      <c r="C370" t="str">
        <f t="shared" si="30"/>
        <v>2014</v>
      </c>
      <c r="D370" t="s">
        <v>1182</v>
      </c>
      <c r="E370" t="s">
        <v>589</v>
      </c>
      <c r="F370" t="s">
        <v>257</v>
      </c>
      <c r="G370" t="s">
        <v>258</v>
      </c>
      <c r="H370" t="s">
        <v>259</v>
      </c>
      <c r="I370" t="s">
        <v>342</v>
      </c>
      <c r="J370" t="s">
        <v>261</v>
      </c>
      <c r="K370" t="s">
        <v>582</v>
      </c>
      <c r="L370" t="s">
        <v>245</v>
      </c>
      <c r="M370" t="s">
        <v>253</v>
      </c>
      <c r="N370" t="s">
        <v>247</v>
      </c>
      <c r="O370">
        <v>41863</v>
      </c>
      <c r="P370">
        <v>0.24</v>
      </c>
      <c r="Q370">
        <v>1.26</v>
      </c>
      <c r="R370">
        <f t="shared" si="31"/>
        <v>1.02</v>
      </c>
      <c r="S370">
        <v>2</v>
      </c>
      <c r="T370">
        <f t="shared" si="32"/>
        <v>2.52</v>
      </c>
      <c r="U370">
        <v>0.06</v>
      </c>
      <c r="V370">
        <f t="shared" si="33"/>
        <v>0.1512</v>
      </c>
      <c r="W370">
        <f t="shared" si="34"/>
        <v>2.3688000000000002</v>
      </c>
      <c r="X370">
        <v>0.7</v>
      </c>
      <c r="Y370">
        <f t="shared" si="35"/>
        <v>3.0688000000000004</v>
      </c>
    </row>
    <row r="371" spans="1:25" x14ac:dyDescent="0.25">
      <c r="A371" t="s">
        <v>1183</v>
      </c>
      <c r="B371">
        <v>41862</v>
      </c>
      <c r="C371" t="str">
        <f t="shared" si="30"/>
        <v>2014</v>
      </c>
      <c r="D371" t="s">
        <v>561</v>
      </c>
      <c r="E371" t="s">
        <v>528</v>
      </c>
      <c r="F371" t="s">
        <v>239</v>
      </c>
      <c r="G371" t="s">
        <v>240</v>
      </c>
      <c r="H371" t="s">
        <v>293</v>
      </c>
      <c r="I371" t="s">
        <v>251</v>
      </c>
      <c r="J371" t="s">
        <v>261</v>
      </c>
      <c r="K371" t="s">
        <v>425</v>
      </c>
      <c r="L371" t="s">
        <v>245</v>
      </c>
      <c r="M371" t="s">
        <v>253</v>
      </c>
      <c r="N371" t="s">
        <v>247</v>
      </c>
      <c r="O371">
        <v>41865</v>
      </c>
      <c r="P371">
        <v>21.56</v>
      </c>
      <c r="Q371">
        <v>36.549999999999997</v>
      </c>
      <c r="R371">
        <f t="shared" si="31"/>
        <v>14.989999999999998</v>
      </c>
      <c r="S371">
        <v>24</v>
      </c>
      <c r="T371">
        <f t="shared" si="32"/>
        <v>877.19999999999993</v>
      </c>
      <c r="U371">
        <v>7.0000000000000007E-2</v>
      </c>
      <c r="V371">
        <f t="shared" si="33"/>
        <v>61.404000000000003</v>
      </c>
      <c r="W371">
        <f t="shared" si="34"/>
        <v>815.79599999999994</v>
      </c>
      <c r="X371">
        <v>13.89</v>
      </c>
      <c r="Y371">
        <f t="shared" si="35"/>
        <v>829.68599999999992</v>
      </c>
    </row>
    <row r="372" spans="1:25" x14ac:dyDescent="0.25">
      <c r="A372" t="s">
        <v>1184</v>
      </c>
      <c r="B372">
        <v>41862</v>
      </c>
      <c r="C372" t="str">
        <f t="shared" si="30"/>
        <v>2014</v>
      </c>
      <c r="D372" t="s">
        <v>1185</v>
      </c>
      <c r="E372" t="s">
        <v>528</v>
      </c>
      <c r="F372" t="s">
        <v>239</v>
      </c>
      <c r="G372" t="s">
        <v>240</v>
      </c>
      <c r="H372" t="s">
        <v>259</v>
      </c>
      <c r="I372" t="s">
        <v>251</v>
      </c>
      <c r="J372" t="s">
        <v>304</v>
      </c>
      <c r="K372" t="s">
        <v>435</v>
      </c>
      <c r="L372" t="s">
        <v>245</v>
      </c>
      <c r="M372" t="s">
        <v>253</v>
      </c>
      <c r="N372" t="s">
        <v>247</v>
      </c>
      <c r="O372">
        <v>41864</v>
      </c>
      <c r="P372">
        <v>3.75</v>
      </c>
      <c r="Q372">
        <v>7.08</v>
      </c>
      <c r="R372">
        <f t="shared" si="31"/>
        <v>3.33</v>
      </c>
      <c r="S372">
        <v>47</v>
      </c>
      <c r="T372">
        <f t="shared" si="32"/>
        <v>332.76</v>
      </c>
      <c r="U372">
        <v>0.1</v>
      </c>
      <c r="V372">
        <f t="shared" si="33"/>
        <v>33.276000000000003</v>
      </c>
      <c r="W372">
        <f t="shared" si="34"/>
        <v>299.48399999999998</v>
      </c>
      <c r="X372">
        <v>2.35</v>
      </c>
      <c r="Y372">
        <f t="shared" si="35"/>
        <v>301.834</v>
      </c>
    </row>
    <row r="373" spans="1:25" x14ac:dyDescent="0.25">
      <c r="A373" t="s">
        <v>1186</v>
      </c>
      <c r="B373">
        <v>41862</v>
      </c>
      <c r="C373" t="str">
        <f t="shared" si="30"/>
        <v>2014</v>
      </c>
      <c r="D373" t="s">
        <v>1187</v>
      </c>
      <c r="E373" t="s">
        <v>238</v>
      </c>
      <c r="F373" t="s">
        <v>239</v>
      </c>
      <c r="G373" t="s">
        <v>240</v>
      </c>
      <c r="H373" t="s">
        <v>274</v>
      </c>
      <c r="I373" t="s">
        <v>242</v>
      </c>
      <c r="J373" t="s">
        <v>243</v>
      </c>
      <c r="K373" t="s">
        <v>519</v>
      </c>
      <c r="L373" t="s">
        <v>245</v>
      </c>
      <c r="M373" t="s">
        <v>253</v>
      </c>
      <c r="N373" t="s">
        <v>263</v>
      </c>
      <c r="O373">
        <v>41864</v>
      </c>
      <c r="P373">
        <v>2.9</v>
      </c>
      <c r="Q373">
        <v>4.76</v>
      </c>
      <c r="R373">
        <f t="shared" si="31"/>
        <v>1.8599999999999999</v>
      </c>
      <c r="S373">
        <v>11</v>
      </c>
      <c r="T373">
        <f t="shared" si="32"/>
        <v>52.36</v>
      </c>
      <c r="U373">
        <v>0.08</v>
      </c>
      <c r="V373">
        <f t="shared" si="33"/>
        <v>4.1887999999999996</v>
      </c>
      <c r="W373">
        <f t="shared" si="34"/>
        <v>48.171199999999999</v>
      </c>
      <c r="X373">
        <v>0.88</v>
      </c>
      <c r="Y373">
        <f t="shared" si="35"/>
        <v>49.051200000000001</v>
      </c>
    </row>
    <row r="374" spans="1:25" x14ac:dyDescent="0.25">
      <c r="A374" t="s">
        <v>1188</v>
      </c>
      <c r="B374">
        <v>41863</v>
      </c>
      <c r="C374" t="str">
        <f t="shared" si="30"/>
        <v>2014</v>
      </c>
      <c r="D374" t="s">
        <v>431</v>
      </c>
      <c r="E374" t="s">
        <v>432</v>
      </c>
      <c r="F374" t="s">
        <v>257</v>
      </c>
      <c r="G374" t="s">
        <v>258</v>
      </c>
      <c r="H374" t="s">
        <v>241</v>
      </c>
      <c r="I374" t="s">
        <v>333</v>
      </c>
      <c r="J374" t="s">
        <v>279</v>
      </c>
      <c r="K374" t="s">
        <v>373</v>
      </c>
      <c r="L374" t="s">
        <v>268</v>
      </c>
      <c r="M374" t="s">
        <v>246</v>
      </c>
      <c r="N374" t="s">
        <v>247</v>
      </c>
      <c r="O374">
        <v>41870</v>
      </c>
      <c r="P374">
        <v>6.39</v>
      </c>
      <c r="Q374">
        <v>19.98</v>
      </c>
      <c r="R374">
        <f t="shared" si="31"/>
        <v>13.59</v>
      </c>
      <c r="S374">
        <v>5</v>
      </c>
      <c r="T374">
        <f t="shared" si="32"/>
        <v>99.9</v>
      </c>
      <c r="U374">
        <v>0.09</v>
      </c>
      <c r="V374">
        <f t="shared" si="33"/>
        <v>8.9909999999999997</v>
      </c>
      <c r="W374">
        <f t="shared" si="34"/>
        <v>90.909000000000006</v>
      </c>
      <c r="X374">
        <v>4</v>
      </c>
      <c r="Y374">
        <f t="shared" si="35"/>
        <v>94.909000000000006</v>
      </c>
    </row>
    <row r="375" spans="1:25" x14ac:dyDescent="0.25">
      <c r="A375" t="s">
        <v>1189</v>
      </c>
      <c r="B375">
        <v>41873</v>
      </c>
      <c r="C375" t="str">
        <f t="shared" si="30"/>
        <v>2014</v>
      </c>
      <c r="D375" t="s">
        <v>1190</v>
      </c>
      <c r="E375" t="s">
        <v>552</v>
      </c>
      <c r="F375" t="s">
        <v>257</v>
      </c>
      <c r="G375" t="s">
        <v>258</v>
      </c>
      <c r="H375" t="s">
        <v>241</v>
      </c>
      <c r="I375" t="s">
        <v>284</v>
      </c>
      <c r="J375" t="s">
        <v>294</v>
      </c>
      <c r="K375" t="s">
        <v>1191</v>
      </c>
      <c r="L375" t="s">
        <v>245</v>
      </c>
      <c r="M375" t="s">
        <v>246</v>
      </c>
      <c r="N375" t="s">
        <v>247</v>
      </c>
      <c r="O375">
        <v>41874</v>
      </c>
      <c r="P375">
        <v>4.03</v>
      </c>
      <c r="Q375">
        <v>9.3800000000000008</v>
      </c>
      <c r="R375">
        <f t="shared" si="31"/>
        <v>5.3500000000000005</v>
      </c>
      <c r="S375">
        <v>17</v>
      </c>
      <c r="T375">
        <f t="shared" si="32"/>
        <v>159.46</v>
      </c>
      <c r="U375">
        <v>0.09</v>
      </c>
      <c r="V375">
        <f t="shared" si="33"/>
        <v>14.3514</v>
      </c>
      <c r="W375">
        <f t="shared" si="34"/>
        <v>145.1086</v>
      </c>
      <c r="X375">
        <v>7.28</v>
      </c>
      <c r="Y375">
        <f t="shared" si="35"/>
        <v>152.3886</v>
      </c>
    </row>
    <row r="376" spans="1:25" x14ac:dyDescent="0.25">
      <c r="A376" t="s">
        <v>1192</v>
      </c>
      <c r="B376">
        <v>41876</v>
      </c>
      <c r="C376" t="str">
        <f t="shared" si="30"/>
        <v>2014</v>
      </c>
      <c r="D376" t="s">
        <v>1095</v>
      </c>
      <c r="E376" t="s">
        <v>528</v>
      </c>
      <c r="F376" t="s">
        <v>239</v>
      </c>
      <c r="G376" t="s">
        <v>240</v>
      </c>
      <c r="H376" t="s">
        <v>259</v>
      </c>
      <c r="I376" t="s">
        <v>251</v>
      </c>
      <c r="J376" t="s">
        <v>243</v>
      </c>
      <c r="K376" t="s">
        <v>439</v>
      </c>
      <c r="L376" t="s">
        <v>440</v>
      </c>
      <c r="M376" t="s">
        <v>323</v>
      </c>
      <c r="N376" t="s">
        <v>247</v>
      </c>
      <c r="O376">
        <v>41878</v>
      </c>
      <c r="P376">
        <v>5.5</v>
      </c>
      <c r="Q376">
        <v>12.22</v>
      </c>
      <c r="R376">
        <f t="shared" si="31"/>
        <v>6.7200000000000006</v>
      </c>
      <c r="S376">
        <v>37</v>
      </c>
      <c r="T376">
        <f t="shared" si="32"/>
        <v>452.14000000000004</v>
      </c>
      <c r="U376">
        <v>0.09</v>
      </c>
      <c r="V376">
        <f t="shared" si="33"/>
        <v>40.692600000000006</v>
      </c>
      <c r="W376">
        <f t="shared" si="34"/>
        <v>411.44740000000002</v>
      </c>
      <c r="X376">
        <v>2.85</v>
      </c>
      <c r="Y376">
        <f t="shared" si="35"/>
        <v>414.29740000000004</v>
      </c>
    </row>
    <row r="377" spans="1:25" x14ac:dyDescent="0.25">
      <c r="A377" t="s">
        <v>1193</v>
      </c>
      <c r="B377">
        <v>41876</v>
      </c>
      <c r="C377" t="str">
        <f t="shared" si="30"/>
        <v>2014</v>
      </c>
      <c r="D377" t="s">
        <v>1194</v>
      </c>
      <c r="E377" t="s">
        <v>944</v>
      </c>
      <c r="F377" t="s">
        <v>257</v>
      </c>
      <c r="G377" t="s">
        <v>258</v>
      </c>
      <c r="H377" t="s">
        <v>241</v>
      </c>
      <c r="I377" t="s">
        <v>333</v>
      </c>
      <c r="J377" t="s">
        <v>243</v>
      </c>
      <c r="K377" t="s">
        <v>537</v>
      </c>
      <c r="L377" t="s">
        <v>245</v>
      </c>
      <c r="M377" t="s">
        <v>253</v>
      </c>
      <c r="N377" t="s">
        <v>247</v>
      </c>
      <c r="O377">
        <v>41878</v>
      </c>
      <c r="P377">
        <v>11.11</v>
      </c>
      <c r="Q377">
        <v>19.84</v>
      </c>
      <c r="R377">
        <f t="shared" si="31"/>
        <v>8.73</v>
      </c>
      <c r="S377">
        <v>28</v>
      </c>
      <c r="T377">
        <f t="shared" si="32"/>
        <v>555.52</v>
      </c>
      <c r="U377">
        <v>0.06</v>
      </c>
      <c r="V377">
        <f t="shared" si="33"/>
        <v>33.331199999999995</v>
      </c>
      <c r="W377">
        <f t="shared" si="34"/>
        <v>522.18880000000001</v>
      </c>
      <c r="X377">
        <v>4.0999999999999996</v>
      </c>
      <c r="Y377">
        <f t="shared" si="35"/>
        <v>526.28880000000004</v>
      </c>
    </row>
    <row r="378" spans="1:25" x14ac:dyDescent="0.25">
      <c r="A378" t="s">
        <v>1195</v>
      </c>
      <c r="B378">
        <v>41877</v>
      </c>
      <c r="C378" t="str">
        <f t="shared" si="30"/>
        <v>2014</v>
      </c>
      <c r="D378" t="s">
        <v>664</v>
      </c>
      <c r="E378" t="s">
        <v>665</v>
      </c>
      <c r="F378" t="s">
        <v>448</v>
      </c>
      <c r="G378" t="s">
        <v>449</v>
      </c>
      <c r="H378" t="s">
        <v>259</v>
      </c>
      <c r="I378" t="s">
        <v>333</v>
      </c>
      <c r="J378" t="s">
        <v>304</v>
      </c>
      <c r="K378" t="s">
        <v>384</v>
      </c>
      <c r="L378" t="s">
        <v>268</v>
      </c>
      <c r="M378" t="s">
        <v>246</v>
      </c>
      <c r="N378" t="s">
        <v>247</v>
      </c>
      <c r="O378">
        <v>41877</v>
      </c>
      <c r="P378">
        <v>10.07</v>
      </c>
      <c r="Q378">
        <v>15.98</v>
      </c>
      <c r="R378">
        <f t="shared" si="31"/>
        <v>5.91</v>
      </c>
      <c r="S378">
        <v>46</v>
      </c>
      <c r="T378">
        <f t="shared" si="32"/>
        <v>735.08</v>
      </c>
      <c r="U378">
        <v>0.02</v>
      </c>
      <c r="V378">
        <f t="shared" si="33"/>
        <v>14.701600000000001</v>
      </c>
      <c r="W378">
        <f t="shared" si="34"/>
        <v>720.37840000000006</v>
      </c>
      <c r="X378">
        <v>4</v>
      </c>
      <c r="Y378">
        <f t="shared" si="35"/>
        <v>724.37840000000006</v>
      </c>
    </row>
    <row r="379" spans="1:25" x14ac:dyDescent="0.25">
      <c r="A379" t="s">
        <v>1196</v>
      </c>
      <c r="B379">
        <v>41878</v>
      </c>
      <c r="C379" t="str">
        <f t="shared" si="30"/>
        <v>2014</v>
      </c>
      <c r="D379" t="s">
        <v>1197</v>
      </c>
      <c r="E379" t="s">
        <v>359</v>
      </c>
      <c r="F379" t="s">
        <v>239</v>
      </c>
      <c r="G379" t="s">
        <v>240</v>
      </c>
      <c r="H379" t="s">
        <v>241</v>
      </c>
      <c r="I379" t="s">
        <v>251</v>
      </c>
      <c r="J379" t="s">
        <v>294</v>
      </c>
      <c r="K379" t="s">
        <v>529</v>
      </c>
      <c r="L379" t="s">
        <v>245</v>
      </c>
      <c r="M379" t="s">
        <v>253</v>
      </c>
      <c r="N379" t="s">
        <v>263</v>
      </c>
      <c r="O379">
        <v>41879</v>
      </c>
      <c r="P379">
        <v>1.6</v>
      </c>
      <c r="Q379">
        <v>2.62</v>
      </c>
      <c r="R379">
        <f t="shared" si="31"/>
        <v>1.02</v>
      </c>
      <c r="S379">
        <v>45</v>
      </c>
      <c r="T379">
        <f t="shared" si="32"/>
        <v>117.9</v>
      </c>
      <c r="U379">
        <v>0.01</v>
      </c>
      <c r="V379">
        <f t="shared" si="33"/>
        <v>1.179</v>
      </c>
      <c r="W379">
        <f t="shared" si="34"/>
        <v>116.721</v>
      </c>
      <c r="X379">
        <v>0.8</v>
      </c>
      <c r="Y379">
        <f t="shared" si="35"/>
        <v>117.521</v>
      </c>
    </row>
    <row r="380" spans="1:25" x14ac:dyDescent="0.25">
      <c r="A380" t="s">
        <v>1198</v>
      </c>
      <c r="B380">
        <v>41879</v>
      </c>
      <c r="C380" t="str">
        <f t="shared" si="30"/>
        <v>2014</v>
      </c>
      <c r="D380" t="s">
        <v>1199</v>
      </c>
      <c r="E380" t="s">
        <v>637</v>
      </c>
      <c r="F380" t="s">
        <v>239</v>
      </c>
      <c r="G380" t="s">
        <v>240</v>
      </c>
      <c r="H380" t="s">
        <v>259</v>
      </c>
      <c r="I380" t="s">
        <v>242</v>
      </c>
      <c r="J380" t="s">
        <v>243</v>
      </c>
      <c r="K380" t="s">
        <v>594</v>
      </c>
      <c r="L380" t="s">
        <v>268</v>
      </c>
      <c r="M380" t="s">
        <v>269</v>
      </c>
      <c r="N380" t="s">
        <v>270</v>
      </c>
      <c r="O380">
        <v>41879</v>
      </c>
      <c r="P380">
        <v>278.99</v>
      </c>
      <c r="Q380">
        <v>449.99</v>
      </c>
      <c r="R380">
        <f t="shared" si="31"/>
        <v>171</v>
      </c>
      <c r="S380">
        <v>15</v>
      </c>
      <c r="T380">
        <f t="shared" si="32"/>
        <v>6749.85</v>
      </c>
      <c r="U380">
        <v>0.04</v>
      </c>
      <c r="V380">
        <f t="shared" si="33"/>
        <v>269.99400000000003</v>
      </c>
      <c r="W380">
        <f t="shared" si="34"/>
        <v>6479.8560000000007</v>
      </c>
      <c r="X380">
        <v>49</v>
      </c>
      <c r="Y380">
        <f t="shared" si="35"/>
        <v>6528.8560000000007</v>
      </c>
    </row>
    <row r="381" spans="1:25" x14ac:dyDescent="0.25">
      <c r="A381" t="s">
        <v>1200</v>
      </c>
      <c r="B381">
        <v>41879</v>
      </c>
      <c r="C381" t="str">
        <f t="shared" si="30"/>
        <v>2014</v>
      </c>
      <c r="D381" t="s">
        <v>1199</v>
      </c>
      <c r="E381" t="s">
        <v>637</v>
      </c>
      <c r="F381" t="s">
        <v>239</v>
      </c>
      <c r="G381" t="s">
        <v>240</v>
      </c>
      <c r="H381" t="s">
        <v>259</v>
      </c>
      <c r="I381" t="s">
        <v>242</v>
      </c>
      <c r="J381" t="s">
        <v>243</v>
      </c>
      <c r="K381" t="s">
        <v>360</v>
      </c>
      <c r="L381" t="s">
        <v>245</v>
      </c>
      <c r="M381" t="s">
        <v>253</v>
      </c>
      <c r="N381" t="s">
        <v>247</v>
      </c>
      <c r="O381">
        <v>41880</v>
      </c>
      <c r="P381">
        <v>2.52</v>
      </c>
      <c r="Q381">
        <v>4</v>
      </c>
      <c r="R381">
        <f t="shared" si="31"/>
        <v>1.48</v>
      </c>
      <c r="S381">
        <v>14</v>
      </c>
      <c r="T381">
        <f t="shared" si="32"/>
        <v>56</v>
      </c>
      <c r="U381">
        <v>0.06</v>
      </c>
      <c r="V381">
        <f t="shared" si="33"/>
        <v>3.36</v>
      </c>
      <c r="W381">
        <f t="shared" si="34"/>
        <v>52.64</v>
      </c>
      <c r="X381">
        <v>1.3</v>
      </c>
      <c r="Y381">
        <f t="shared" si="35"/>
        <v>53.94</v>
      </c>
    </row>
    <row r="382" spans="1:25" x14ac:dyDescent="0.25">
      <c r="A382" t="s">
        <v>1201</v>
      </c>
      <c r="B382">
        <v>41879</v>
      </c>
      <c r="C382" t="str">
        <f t="shared" si="30"/>
        <v>2014</v>
      </c>
      <c r="D382" t="s">
        <v>513</v>
      </c>
      <c r="E382" t="s">
        <v>511</v>
      </c>
      <c r="F382" t="s">
        <v>257</v>
      </c>
      <c r="G382" t="s">
        <v>258</v>
      </c>
      <c r="H382" t="s">
        <v>274</v>
      </c>
      <c r="I382" t="s">
        <v>381</v>
      </c>
      <c r="J382" t="s">
        <v>279</v>
      </c>
      <c r="K382" t="s">
        <v>598</v>
      </c>
      <c r="L382" t="s">
        <v>268</v>
      </c>
      <c r="M382" t="s">
        <v>246</v>
      </c>
      <c r="N382" t="s">
        <v>247</v>
      </c>
      <c r="O382">
        <v>41883</v>
      </c>
      <c r="P382">
        <v>6.51</v>
      </c>
      <c r="Q382">
        <v>30.98</v>
      </c>
      <c r="R382">
        <f t="shared" si="31"/>
        <v>24.47</v>
      </c>
      <c r="S382">
        <v>37</v>
      </c>
      <c r="T382">
        <f t="shared" si="32"/>
        <v>1146.26</v>
      </c>
      <c r="U382">
        <v>0.03</v>
      </c>
      <c r="V382">
        <f t="shared" si="33"/>
        <v>34.387799999999999</v>
      </c>
      <c r="W382">
        <f t="shared" si="34"/>
        <v>1111.8722</v>
      </c>
      <c r="X382">
        <v>6.5</v>
      </c>
      <c r="Y382">
        <f t="shared" si="35"/>
        <v>1118.3722</v>
      </c>
    </row>
    <row r="383" spans="1:25" x14ac:dyDescent="0.25">
      <c r="A383" t="s">
        <v>1202</v>
      </c>
      <c r="B383">
        <v>41884</v>
      </c>
      <c r="C383" t="str">
        <f t="shared" si="30"/>
        <v>2014</v>
      </c>
      <c r="D383" t="s">
        <v>1046</v>
      </c>
      <c r="E383" t="s">
        <v>432</v>
      </c>
      <c r="F383" t="s">
        <v>257</v>
      </c>
      <c r="G383" t="s">
        <v>258</v>
      </c>
      <c r="H383" t="s">
        <v>241</v>
      </c>
      <c r="I383" t="s">
        <v>333</v>
      </c>
      <c r="J383" t="s">
        <v>279</v>
      </c>
      <c r="K383" t="s">
        <v>384</v>
      </c>
      <c r="L383" t="s">
        <v>268</v>
      </c>
      <c r="M383" t="s">
        <v>246</v>
      </c>
      <c r="N383" t="s">
        <v>247</v>
      </c>
      <c r="O383">
        <v>41886</v>
      </c>
      <c r="P383">
        <v>10.07</v>
      </c>
      <c r="Q383">
        <v>15.98</v>
      </c>
      <c r="R383">
        <f t="shared" si="31"/>
        <v>5.91</v>
      </c>
      <c r="S383">
        <v>29</v>
      </c>
      <c r="T383">
        <f t="shared" si="32"/>
        <v>463.42</v>
      </c>
      <c r="U383">
        <v>0.04</v>
      </c>
      <c r="V383">
        <f t="shared" si="33"/>
        <v>18.536799999999999</v>
      </c>
      <c r="W383">
        <f t="shared" si="34"/>
        <v>444.88319999999999</v>
      </c>
      <c r="X383">
        <v>4</v>
      </c>
      <c r="Y383">
        <f t="shared" si="35"/>
        <v>448.88319999999999</v>
      </c>
    </row>
    <row r="384" spans="1:25" x14ac:dyDescent="0.25">
      <c r="A384" t="s">
        <v>1203</v>
      </c>
      <c r="B384">
        <v>41885</v>
      </c>
      <c r="C384" t="str">
        <f t="shared" si="30"/>
        <v>2014</v>
      </c>
      <c r="D384" t="s">
        <v>1204</v>
      </c>
      <c r="E384" t="s">
        <v>341</v>
      </c>
      <c r="F384" t="s">
        <v>257</v>
      </c>
      <c r="G384" t="s">
        <v>258</v>
      </c>
      <c r="H384" t="s">
        <v>293</v>
      </c>
      <c r="I384" t="s">
        <v>342</v>
      </c>
      <c r="J384" t="s">
        <v>304</v>
      </c>
      <c r="K384" t="s">
        <v>862</v>
      </c>
      <c r="L384" t="s">
        <v>245</v>
      </c>
      <c r="M384" t="s">
        <v>253</v>
      </c>
      <c r="N384" t="s">
        <v>247</v>
      </c>
      <c r="O384">
        <v>41887</v>
      </c>
      <c r="P384">
        <v>1.92</v>
      </c>
      <c r="Q384">
        <v>3.26</v>
      </c>
      <c r="R384">
        <f t="shared" si="31"/>
        <v>1.3399999999999999</v>
      </c>
      <c r="S384">
        <v>31</v>
      </c>
      <c r="T384">
        <f t="shared" si="32"/>
        <v>101.05999999999999</v>
      </c>
      <c r="U384">
        <v>0</v>
      </c>
      <c r="V384">
        <f t="shared" si="33"/>
        <v>0</v>
      </c>
      <c r="W384">
        <f t="shared" si="34"/>
        <v>101.05999999999999</v>
      </c>
      <c r="X384">
        <v>1.86</v>
      </c>
      <c r="Y384">
        <f t="shared" si="35"/>
        <v>102.91999999999999</v>
      </c>
    </row>
    <row r="385" spans="1:25" x14ac:dyDescent="0.25">
      <c r="A385" t="s">
        <v>1205</v>
      </c>
      <c r="B385">
        <v>41885</v>
      </c>
      <c r="C385" t="str">
        <f t="shared" si="30"/>
        <v>2014</v>
      </c>
      <c r="D385" t="s">
        <v>1206</v>
      </c>
      <c r="E385" t="s">
        <v>1207</v>
      </c>
      <c r="F385" t="s">
        <v>448</v>
      </c>
      <c r="G385" t="s">
        <v>449</v>
      </c>
      <c r="H385" t="s">
        <v>259</v>
      </c>
      <c r="I385" t="s">
        <v>299</v>
      </c>
      <c r="J385" t="s">
        <v>279</v>
      </c>
      <c r="K385" t="s">
        <v>600</v>
      </c>
      <c r="L385" t="s">
        <v>245</v>
      </c>
      <c r="M385" t="s">
        <v>253</v>
      </c>
      <c r="N385" t="s">
        <v>247</v>
      </c>
      <c r="O385">
        <v>41892</v>
      </c>
      <c r="P385">
        <v>2.98</v>
      </c>
      <c r="Q385">
        <v>5.84</v>
      </c>
      <c r="R385">
        <f t="shared" si="31"/>
        <v>2.86</v>
      </c>
      <c r="S385">
        <v>22</v>
      </c>
      <c r="T385">
        <f t="shared" si="32"/>
        <v>128.47999999999999</v>
      </c>
      <c r="U385">
        <v>0.1</v>
      </c>
      <c r="V385">
        <f t="shared" si="33"/>
        <v>12.847999999999999</v>
      </c>
      <c r="W385">
        <f t="shared" si="34"/>
        <v>115.63199999999999</v>
      </c>
      <c r="X385">
        <v>0.83</v>
      </c>
      <c r="Y385">
        <f t="shared" si="35"/>
        <v>116.46199999999999</v>
      </c>
    </row>
    <row r="386" spans="1:25" x14ac:dyDescent="0.25">
      <c r="A386" t="s">
        <v>1208</v>
      </c>
      <c r="B386">
        <v>41886</v>
      </c>
      <c r="C386" t="str">
        <f t="shared" si="30"/>
        <v>2014</v>
      </c>
      <c r="D386" t="s">
        <v>649</v>
      </c>
      <c r="E386" t="s">
        <v>650</v>
      </c>
      <c r="F386" t="s">
        <v>257</v>
      </c>
      <c r="G386" t="s">
        <v>258</v>
      </c>
      <c r="H386" t="s">
        <v>259</v>
      </c>
      <c r="I386" t="s">
        <v>299</v>
      </c>
      <c r="J386" t="s">
        <v>294</v>
      </c>
      <c r="K386" t="s">
        <v>718</v>
      </c>
      <c r="L386" t="s">
        <v>245</v>
      </c>
      <c r="M386" t="s">
        <v>323</v>
      </c>
      <c r="N386" t="s">
        <v>247</v>
      </c>
      <c r="O386">
        <v>41887</v>
      </c>
      <c r="P386">
        <v>2.5</v>
      </c>
      <c r="Q386">
        <v>5.68</v>
      </c>
      <c r="R386">
        <f t="shared" si="31"/>
        <v>3.1799999999999997</v>
      </c>
      <c r="S386">
        <v>23</v>
      </c>
      <c r="T386">
        <f t="shared" si="32"/>
        <v>130.63999999999999</v>
      </c>
      <c r="U386">
        <v>0.01</v>
      </c>
      <c r="V386">
        <f t="shared" si="33"/>
        <v>1.3063999999999998</v>
      </c>
      <c r="W386">
        <f t="shared" si="34"/>
        <v>129.33359999999999</v>
      </c>
      <c r="X386">
        <v>3.6</v>
      </c>
      <c r="Y386">
        <f t="shared" si="35"/>
        <v>132.93359999999998</v>
      </c>
    </row>
    <row r="387" spans="1:25" x14ac:dyDescent="0.25">
      <c r="A387" t="s">
        <v>1209</v>
      </c>
      <c r="B387">
        <v>41889</v>
      </c>
      <c r="C387" t="str">
        <f t="shared" si="30"/>
        <v>2014</v>
      </c>
      <c r="D387" t="s">
        <v>470</v>
      </c>
      <c r="E387" t="s">
        <v>471</v>
      </c>
      <c r="F387" t="s">
        <v>448</v>
      </c>
      <c r="G387" t="s">
        <v>449</v>
      </c>
      <c r="H387" t="s">
        <v>241</v>
      </c>
      <c r="I387" t="s">
        <v>381</v>
      </c>
      <c r="J387" t="s">
        <v>294</v>
      </c>
      <c r="K387" t="s">
        <v>453</v>
      </c>
      <c r="L387" t="s">
        <v>245</v>
      </c>
      <c r="M387" t="s">
        <v>246</v>
      </c>
      <c r="N387" t="s">
        <v>247</v>
      </c>
      <c r="O387">
        <v>41889</v>
      </c>
      <c r="P387">
        <v>1.18</v>
      </c>
      <c r="Q387">
        <v>1.88</v>
      </c>
      <c r="R387">
        <f t="shared" si="31"/>
        <v>0.7</v>
      </c>
      <c r="S387">
        <v>47</v>
      </c>
      <c r="T387">
        <f t="shared" si="32"/>
        <v>88.36</v>
      </c>
      <c r="U387">
        <v>0.06</v>
      </c>
      <c r="V387">
        <f t="shared" si="33"/>
        <v>5.3015999999999996</v>
      </c>
      <c r="W387">
        <f t="shared" si="34"/>
        <v>83.058400000000006</v>
      </c>
      <c r="X387">
        <v>1.49</v>
      </c>
      <c r="Y387">
        <f t="shared" si="35"/>
        <v>84.548400000000001</v>
      </c>
    </row>
    <row r="388" spans="1:25" x14ac:dyDescent="0.25">
      <c r="A388" t="s">
        <v>1210</v>
      </c>
      <c r="B388">
        <v>41889</v>
      </c>
      <c r="C388" t="str">
        <f t="shared" si="30"/>
        <v>2014</v>
      </c>
      <c r="D388" t="s">
        <v>470</v>
      </c>
      <c r="E388" t="s">
        <v>471</v>
      </c>
      <c r="F388" t="s">
        <v>448</v>
      </c>
      <c r="G388" t="s">
        <v>449</v>
      </c>
      <c r="H388" t="s">
        <v>241</v>
      </c>
      <c r="I388" t="s">
        <v>381</v>
      </c>
      <c r="J388" t="s">
        <v>294</v>
      </c>
      <c r="K388" t="s">
        <v>578</v>
      </c>
      <c r="L388" t="s">
        <v>245</v>
      </c>
      <c r="M388" t="s">
        <v>253</v>
      </c>
      <c r="N388" t="s">
        <v>247</v>
      </c>
      <c r="O388">
        <v>41891</v>
      </c>
      <c r="P388">
        <v>1.31</v>
      </c>
      <c r="Q388">
        <v>2.84</v>
      </c>
      <c r="R388">
        <f t="shared" si="31"/>
        <v>1.5299999999999998</v>
      </c>
      <c r="S388">
        <v>39</v>
      </c>
      <c r="T388">
        <f t="shared" si="32"/>
        <v>110.75999999999999</v>
      </c>
      <c r="U388">
        <v>0.08</v>
      </c>
      <c r="V388">
        <f t="shared" si="33"/>
        <v>8.8607999999999993</v>
      </c>
      <c r="W388">
        <f t="shared" si="34"/>
        <v>101.89919999999999</v>
      </c>
      <c r="X388">
        <v>0.93</v>
      </c>
      <c r="Y388">
        <f t="shared" si="35"/>
        <v>102.8292</v>
      </c>
    </row>
    <row r="389" spans="1:25" x14ac:dyDescent="0.25">
      <c r="A389" t="s">
        <v>1211</v>
      </c>
      <c r="B389">
        <v>41892</v>
      </c>
      <c r="C389" t="str">
        <f t="shared" si="30"/>
        <v>2014</v>
      </c>
      <c r="D389" t="s">
        <v>797</v>
      </c>
      <c r="E389" t="s">
        <v>798</v>
      </c>
      <c r="F389" t="s">
        <v>448</v>
      </c>
      <c r="G389" t="s">
        <v>449</v>
      </c>
      <c r="H389" t="s">
        <v>259</v>
      </c>
      <c r="I389" t="s">
        <v>299</v>
      </c>
      <c r="J389" t="s">
        <v>294</v>
      </c>
      <c r="K389" t="s">
        <v>836</v>
      </c>
      <c r="L389" t="s">
        <v>440</v>
      </c>
      <c r="M389" t="s">
        <v>323</v>
      </c>
      <c r="N389" t="s">
        <v>247</v>
      </c>
      <c r="O389">
        <v>41894</v>
      </c>
      <c r="P389">
        <v>11.38</v>
      </c>
      <c r="Q389">
        <v>18.649999999999999</v>
      </c>
      <c r="R389">
        <f t="shared" si="31"/>
        <v>7.2699999999999978</v>
      </c>
      <c r="S389">
        <v>7</v>
      </c>
      <c r="T389">
        <f t="shared" si="32"/>
        <v>130.54999999999998</v>
      </c>
      <c r="U389">
        <v>0.01</v>
      </c>
      <c r="V389">
        <f t="shared" si="33"/>
        <v>1.3054999999999999</v>
      </c>
      <c r="W389">
        <f t="shared" si="34"/>
        <v>129.24449999999999</v>
      </c>
      <c r="X389">
        <v>3.77</v>
      </c>
      <c r="Y389">
        <f t="shared" si="35"/>
        <v>133.0145</v>
      </c>
    </row>
    <row r="390" spans="1:25" x14ac:dyDescent="0.25">
      <c r="A390" t="s">
        <v>1212</v>
      </c>
      <c r="B390">
        <v>41893</v>
      </c>
      <c r="C390" t="str">
        <f t="shared" ref="C390:C453" si="36">TEXT(B390,"yyyy")</f>
        <v>2014</v>
      </c>
      <c r="D390" t="s">
        <v>1159</v>
      </c>
      <c r="E390" t="s">
        <v>376</v>
      </c>
      <c r="F390" t="s">
        <v>239</v>
      </c>
      <c r="G390" t="s">
        <v>240</v>
      </c>
      <c r="H390" t="s">
        <v>241</v>
      </c>
      <c r="I390" t="s">
        <v>242</v>
      </c>
      <c r="J390" t="s">
        <v>261</v>
      </c>
      <c r="K390" t="s">
        <v>656</v>
      </c>
      <c r="L390" t="s">
        <v>245</v>
      </c>
      <c r="M390" t="s">
        <v>253</v>
      </c>
      <c r="N390" t="s">
        <v>247</v>
      </c>
      <c r="O390">
        <v>41895</v>
      </c>
      <c r="P390">
        <v>0.93</v>
      </c>
      <c r="Q390">
        <v>1.48</v>
      </c>
      <c r="R390">
        <f t="shared" ref="R390:R453" si="37">Q390-P390</f>
        <v>0.54999999999999993</v>
      </c>
      <c r="S390">
        <v>15</v>
      </c>
      <c r="T390">
        <f t="shared" ref="T390:T453" si="38">Q390*S390</f>
        <v>22.2</v>
      </c>
      <c r="U390">
        <v>0.03</v>
      </c>
      <c r="V390">
        <f t="shared" ref="V390:V453" si="39">T390*U390</f>
        <v>0.66599999999999993</v>
      </c>
      <c r="W390">
        <f t="shared" ref="W390:W453" si="40">T390-V390</f>
        <v>21.533999999999999</v>
      </c>
      <c r="X390">
        <v>0.7</v>
      </c>
      <c r="Y390">
        <f t="shared" ref="Y390:Y453" si="41">W390+X390</f>
        <v>22.233999999999998</v>
      </c>
    </row>
    <row r="391" spans="1:25" x14ac:dyDescent="0.25">
      <c r="A391" t="s">
        <v>1213</v>
      </c>
      <c r="B391">
        <v>41894</v>
      </c>
      <c r="C391" t="str">
        <f t="shared" si="36"/>
        <v>2014</v>
      </c>
      <c r="D391" t="s">
        <v>1214</v>
      </c>
      <c r="E391" t="s">
        <v>928</v>
      </c>
      <c r="F391" t="s">
        <v>257</v>
      </c>
      <c r="G391" t="s">
        <v>258</v>
      </c>
      <c r="H391" t="s">
        <v>259</v>
      </c>
      <c r="I391" t="s">
        <v>284</v>
      </c>
      <c r="J391" t="s">
        <v>261</v>
      </c>
      <c r="K391" t="s">
        <v>1082</v>
      </c>
      <c r="L391" t="s">
        <v>245</v>
      </c>
      <c r="M391" t="s">
        <v>253</v>
      </c>
      <c r="N391" t="s">
        <v>247</v>
      </c>
      <c r="O391">
        <v>41895</v>
      </c>
      <c r="P391">
        <v>1.0900000000000001</v>
      </c>
      <c r="Q391">
        <v>1.82</v>
      </c>
      <c r="R391">
        <f t="shared" si="37"/>
        <v>0.73</v>
      </c>
      <c r="S391">
        <v>36</v>
      </c>
      <c r="T391">
        <f t="shared" si="38"/>
        <v>65.52</v>
      </c>
      <c r="U391">
        <v>0.09</v>
      </c>
      <c r="V391">
        <f t="shared" si="39"/>
        <v>5.8967999999999998</v>
      </c>
      <c r="W391">
        <f t="shared" si="40"/>
        <v>59.623199999999997</v>
      </c>
      <c r="X391">
        <v>1</v>
      </c>
      <c r="Y391">
        <f t="shared" si="41"/>
        <v>60.623199999999997</v>
      </c>
    </row>
    <row r="392" spans="1:25" x14ac:dyDescent="0.25">
      <c r="A392" t="s">
        <v>1215</v>
      </c>
      <c r="B392">
        <v>41894</v>
      </c>
      <c r="C392" t="str">
        <f t="shared" si="36"/>
        <v>2014</v>
      </c>
      <c r="D392" t="s">
        <v>1216</v>
      </c>
      <c r="E392" t="s">
        <v>292</v>
      </c>
      <c r="F392" t="s">
        <v>257</v>
      </c>
      <c r="G392" t="s">
        <v>258</v>
      </c>
      <c r="H392" t="s">
        <v>274</v>
      </c>
      <c r="I392" t="s">
        <v>260</v>
      </c>
      <c r="J392" t="s">
        <v>279</v>
      </c>
      <c r="K392" t="s">
        <v>734</v>
      </c>
      <c r="L392" t="s">
        <v>245</v>
      </c>
      <c r="M392" t="s">
        <v>246</v>
      </c>
      <c r="N392" t="s">
        <v>247</v>
      </c>
      <c r="O392">
        <v>41901</v>
      </c>
      <c r="P392">
        <v>14.95</v>
      </c>
      <c r="Q392">
        <v>34.76</v>
      </c>
      <c r="R392">
        <f t="shared" si="37"/>
        <v>19.809999999999999</v>
      </c>
      <c r="S392">
        <v>34</v>
      </c>
      <c r="T392">
        <f t="shared" si="38"/>
        <v>1181.8399999999999</v>
      </c>
      <c r="U392">
        <v>0.03</v>
      </c>
      <c r="V392">
        <f t="shared" si="39"/>
        <v>35.455199999999998</v>
      </c>
      <c r="W392">
        <f t="shared" si="40"/>
        <v>1146.3847999999998</v>
      </c>
      <c r="X392">
        <v>8.2200000000000006</v>
      </c>
      <c r="Y392">
        <f t="shared" si="41"/>
        <v>1154.6047999999998</v>
      </c>
    </row>
    <row r="393" spans="1:25" x14ac:dyDescent="0.25">
      <c r="A393" t="s">
        <v>1217</v>
      </c>
      <c r="B393">
        <v>41895</v>
      </c>
      <c r="C393" t="str">
        <f t="shared" si="36"/>
        <v>2014</v>
      </c>
      <c r="D393" t="s">
        <v>331</v>
      </c>
      <c r="E393" t="s">
        <v>332</v>
      </c>
      <c r="F393" t="s">
        <v>257</v>
      </c>
      <c r="G393" t="s">
        <v>258</v>
      </c>
      <c r="H393" t="s">
        <v>293</v>
      </c>
      <c r="I393" t="s">
        <v>333</v>
      </c>
      <c r="J393" t="s">
        <v>279</v>
      </c>
      <c r="K393" t="s">
        <v>776</v>
      </c>
      <c r="L393" t="s">
        <v>245</v>
      </c>
      <c r="M393" t="s">
        <v>246</v>
      </c>
      <c r="N393" t="s">
        <v>247</v>
      </c>
      <c r="O393">
        <v>41899</v>
      </c>
      <c r="P393">
        <v>4.53</v>
      </c>
      <c r="Q393">
        <v>7.3</v>
      </c>
      <c r="R393">
        <f t="shared" si="37"/>
        <v>2.7699999999999996</v>
      </c>
      <c r="S393">
        <v>26</v>
      </c>
      <c r="T393">
        <f t="shared" si="38"/>
        <v>189.79999999999998</v>
      </c>
      <c r="U393">
        <v>0.03</v>
      </c>
      <c r="V393">
        <f t="shared" si="39"/>
        <v>5.6939999999999991</v>
      </c>
      <c r="W393">
        <f t="shared" si="40"/>
        <v>184.10599999999999</v>
      </c>
      <c r="X393">
        <v>7.72</v>
      </c>
      <c r="Y393">
        <f t="shared" si="41"/>
        <v>191.82599999999999</v>
      </c>
    </row>
    <row r="394" spans="1:25" x14ac:dyDescent="0.25">
      <c r="A394" t="s">
        <v>1218</v>
      </c>
      <c r="B394">
        <v>41899</v>
      </c>
      <c r="C394" t="str">
        <f t="shared" si="36"/>
        <v>2014</v>
      </c>
      <c r="D394" t="s">
        <v>1219</v>
      </c>
      <c r="E394" t="s">
        <v>1220</v>
      </c>
      <c r="F394" t="s">
        <v>257</v>
      </c>
      <c r="G394" t="s">
        <v>258</v>
      </c>
      <c r="H394" t="s">
        <v>259</v>
      </c>
      <c r="I394" t="s">
        <v>275</v>
      </c>
      <c r="J394" t="s">
        <v>261</v>
      </c>
      <c r="K394" t="s">
        <v>634</v>
      </c>
      <c r="L394" t="s">
        <v>245</v>
      </c>
      <c r="M394" t="s">
        <v>246</v>
      </c>
      <c r="N394" t="s">
        <v>247</v>
      </c>
      <c r="O394">
        <v>41900</v>
      </c>
      <c r="P394">
        <v>2.2599999999999998</v>
      </c>
      <c r="Q394">
        <v>3.58</v>
      </c>
      <c r="R394">
        <f t="shared" si="37"/>
        <v>1.3200000000000003</v>
      </c>
      <c r="S394">
        <v>19</v>
      </c>
      <c r="T394">
        <f t="shared" si="38"/>
        <v>68.02</v>
      </c>
      <c r="U394">
        <v>0</v>
      </c>
      <c r="V394">
        <f t="shared" si="39"/>
        <v>0</v>
      </c>
      <c r="W394">
        <f t="shared" si="40"/>
        <v>68.02</v>
      </c>
      <c r="X394">
        <v>5.47</v>
      </c>
      <c r="Y394">
        <f t="shared" si="41"/>
        <v>73.489999999999995</v>
      </c>
    </row>
    <row r="395" spans="1:25" x14ac:dyDescent="0.25">
      <c r="A395" t="s">
        <v>1221</v>
      </c>
      <c r="B395">
        <v>41903</v>
      </c>
      <c r="C395" t="str">
        <f t="shared" si="36"/>
        <v>2014</v>
      </c>
      <c r="D395" t="s">
        <v>1222</v>
      </c>
      <c r="E395" t="s">
        <v>1001</v>
      </c>
      <c r="F395" t="s">
        <v>239</v>
      </c>
      <c r="G395" t="s">
        <v>240</v>
      </c>
      <c r="H395" t="s">
        <v>274</v>
      </c>
      <c r="I395" t="s">
        <v>251</v>
      </c>
      <c r="J395" t="s">
        <v>304</v>
      </c>
      <c r="K395" t="s">
        <v>429</v>
      </c>
      <c r="L395" t="s">
        <v>268</v>
      </c>
      <c r="M395" t="s">
        <v>246</v>
      </c>
      <c r="N395" t="s">
        <v>247</v>
      </c>
      <c r="O395">
        <v>41905</v>
      </c>
      <c r="P395">
        <v>19.78</v>
      </c>
      <c r="Q395">
        <v>45.99</v>
      </c>
      <c r="R395">
        <f t="shared" si="37"/>
        <v>26.21</v>
      </c>
      <c r="S395">
        <v>23</v>
      </c>
      <c r="T395">
        <f t="shared" si="38"/>
        <v>1057.77</v>
      </c>
      <c r="U395">
        <v>0.1</v>
      </c>
      <c r="V395">
        <f t="shared" si="39"/>
        <v>105.777</v>
      </c>
      <c r="W395">
        <f t="shared" si="40"/>
        <v>951.99299999999994</v>
      </c>
      <c r="X395">
        <v>4.99</v>
      </c>
      <c r="Y395">
        <f t="shared" si="41"/>
        <v>956.98299999999995</v>
      </c>
    </row>
    <row r="396" spans="1:25" x14ac:dyDescent="0.25">
      <c r="A396" t="s">
        <v>1223</v>
      </c>
      <c r="B396">
        <v>41903</v>
      </c>
      <c r="C396" t="str">
        <f t="shared" si="36"/>
        <v>2014</v>
      </c>
      <c r="D396" t="s">
        <v>1222</v>
      </c>
      <c r="E396" t="s">
        <v>1001</v>
      </c>
      <c r="F396" t="s">
        <v>239</v>
      </c>
      <c r="G396" t="s">
        <v>240</v>
      </c>
      <c r="H396" t="s">
        <v>274</v>
      </c>
      <c r="I396" t="s">
        <v>251</v>
      </c>
      <c r="J396" t="s">
        <v>304</v>
      </c>
      <c r="K396" t="s">
        <v>656</v>
      </c>
      <c r="L396" t="s">
        <v>245</v>
      </c>
      <c r="M396" t="s">
        <v>253</v>
      </c>
      <c r="N396" t="s">
        <v>247</v>
      </c>
      <c r="O396">
        <v>41904</v>
      </c>
      <c r="P396">
        <v>0.93</v>
      </c>
      <c r="Q396">
        <v>1.48</v>
      </c>
      <c r="R396">
        <f t="shared" si="37"/>
        <v>0.54999999999999993</v>
      </c>
      <c r="S396">
        <v>33</v>
      </c>
      <c r="T396">
        <f t="shared" si="38"/>
        <v>48.839999999999996</v>
      </c>
      <c r="U396">
        <v>0.06</v>
      </c>
      <c r="V396">
        <f t="shared" si="39"/>
        <v>2.9303999999999997</v>
      </c>
      <c r="W396">
        <f t="shared" si="40"/>
        <v>45.909599999999998</v>
      </c>
      <c r="X396">
        <v>0.7</v>
      </c>
      <c r="Y396">
        <f t="shared" si="41"/>
        <v>46.6096</v>
      </c>
    </row>
    <row r="397" spans="1:25" x14ac:dyDescent="0.25">
      <c r="A397" t="s">
        <v>1224</v>
      </c>
      <c r="B397">
        <v>41905</v>
      </c>
      <c r="C397" t="str">
        <f t="shared" si="36"/>
        <v>2014</v>
      </c>
      <c r="D397" t="s">
        <v>1225</v>
      </c>
      <c r="E397" t="s">
        <v>420</v>
      </c>
      <c r="F397" t="s">
        <v>239</v>
      </c>
      <c r="G397" t="s">
        <v>240</v>
      </c>
      <c r="H397" t="s">
        <v>259</v>
      </c>
      <c r="I397" t="s">
        <v>251</v>
      </c>
      <c r="J397" t="s">
        <v>243</v>
      </c>
      <c r="K397" t="s">
        <v>572</v>
      </c>
      <c r="L397" t="s">
        <v>245</v>
      </c>
      <c r="M397" t="s">
        <v>253</v>
      </c>
      <c r="N397" t="s">
        <v>263</v>
      </c>
      <c r="O397">
        <v>41907</v>
      </c>
      <c r="P397">
        <v>4.37</v>
      </c>
      <c r="Q397">
        <v>9.11</v>
      </c>
      <c r="R397">
        <f t="shared" si="37"/>
        <v>4.7399999999999993</v>
      </c>
      <c r="S397">
        <v>48</v>
      </c>
      <c r="T397">
        <f t="shared" si="38"/>
        <v>437.28</v>
      </c>
      <c r="U397">
        <v>0.06</v>
      </c>
      <c r="V397">
        <f t="shared" si="39"/>
        <v>26.236799999999999</v>
      </c>
      <c r="W397">
        <f t="shared" si="40"/>
        <v>411.04319999999996</v>
      </c>
      <c r="X397">
        <v>2.25</v>
      </c>
      <c r="Y397">
        <f t="shared" si="41"/>
        <v>413.29319999999996</v>
      </c>
    </row>
    <row r="398" spans="1:25" x14ac:dyDescent="0.25">
      <c r="A398" t="s">
        <v>1226</v>
      </c>
      <c r="B398">
        <v>41909</v>
      </c>
      <c r="C398" t="str">
        <f t="shared" si="36"/>
        <v>2014</v>
      </c>
      <c r="D398" t="s">
        <v>1227</v>
      </c>
      <c r="E398" t="s">
        <v>760</v>
      </c>
      <c r="F398" t="s">
        <v>448</v>
      </c>
      <c r="G398" t="s">
        <v>449</v>
      </c>
      <c r="H398" t="s">
        <v>259</v>
      </c>
      <c r="I398" t="s">
        <v>333</v>
      </c>
      <c r="J398" t="s">
        <v>279</v>
      </c>
      <c r="K398" t="s">
        <v>353</v>
      </c>
      <c r="L398" t="s">
        <v>245</v>
      </c>
      <c r="M398" t="s">
        <v>323</v>
      </c>
      <c r="N398" t="s">
        <v>247</v>
      </c>
      <c r="O398">
        <v>41914</v>
      </c>
      <c r="P398">
        <v>0.94</v>
      </c>
      <c r="Q398">
        <v>2.08</v>
      </c>
      <c r="R398">
        <f t="shared" si="37"/>
        <v>1.1400000000000001</v>
      </c>
      <c r="S398">
        <v>36</v>
      </c>
      <c r="T398">
        <f t="shared" si="38"/>
        <v>74.88</v>
      </c>
      <c r="U398">
        <v>0.01</v>
      </c>
      <c r="V398">
        <f t="shared" si="39"/>
        <v>0.74880000000000002</v>
      </c>
      <c r="W398">
        <f t="shared" si="40"/>
        <v>74.131199999999993</v>
      </c>
      <c r="X398">
        <v>2.56</v>
      </c>
      <c r="Y398">
        <f t="shared" si="41"/>
        <v>76.691199999999995</v>
      </c>
    </row>
    <row r="399" spans="1:25" x14ac:dyDescent="0.25">
      <c r="A399" t="s">
        <v>1228</v>
      </c>
      <c r="B399">
        <v>41910</v>
      </c>
      <c r="C399" t="str">
        <f t="shared" si="36"/>
        <v>2014</v>
      </c>
      <c r="D399" t="s">
        <v>1229</v>
      </c>
      <c r="E399" t="s">
        <v>581</v>
      </c>
      <c r="F399" t="s">
        <v>257</v>
      </c>
      <c r="G399" t="s">
        <v>258</v>
      </c>
      <c r="H399" t="s">
        <v>259</v>
      </c>
      <c r="I399" t="s">
        <v>309</v>
      </c>
      <c r="J399" t="s">
        <v>243</v>
      </c>
      <c r="K399" t="s">
        <v>1126</v>
      </c>
      <c r="L399" t="s">
        <v>245</v>
      </c>
      <c r="M399" t="s">
        <v>253</v>
      </c>
      <c r="N399" t="s">
        <v>247</v>
      </c>
      <c r="O399">
        <v>41911</v>
      </c>
      <c r="P399">
        <v>1.53</v>
      </c>
      <c r="Q399">
        <v>2.4700000000000002</v>
      </c>
      <c r="R399">
        <f t="shared" si="37"/>
        <v>0.94000000000000017</v>
      </c>
      <c r="S399">
        <v>49</v>
      </c>
      <c r="T399">
        <f t="shared" si="38"/>
        <v>121.03000000000002</v>
      </c>
      <c r="U399">
        <v>0.03</v>
      </c>
      <c r="V399">
        <f t="shared" si="39"/>
        <v>3.6309000000000005</v>
      </c>
      <c r="W399">
        <f t="shared" si="40"/>
        <v>117.39910000000002</v>
      </c>
      <c r="X399">
        <v>1.02</v>
      </c>
      <c r="Y399">
        <f t="shared" si="41"/>
        <v>118.41910000000001</v>
      </c>
    </row>
    <row r="400" spans="1:25" x14ac:dyDescent="0.25">
      <c r="A400" t="s">
        <v>1230</v>
      </c>
      <c r="B400">
        <v>41910</v>
      </c>
      <c r="C400" t="str">
        <f t="shared" si="36"/>
        <v>2014</v>
      </c>
      <c r="D400" t="s">
        <v>1231</v>
      </c>
      <c r="E400" t="s">
        <v>558</v>
      </c>
      <c r="F400" t="s">
        <v>257</v>
      </c>
      <c r="G400" t="s">
        <v>258</v>
      </c>
      <c r="H400" t="s">
        <v>241</v>
      </c>
      <c r="I400" t="s">
        <v>333</v>
      </c>
      <c r="J400" t="s">
        <v>243</v>
      </c>
      <c r="K400" t="s">
        <v>399</v>
      </c>
      <c r="L400" t="s">
        <v>245</v>
      </c>
      <c r="M400" t="s">
        <v>253</v>
      </c>
      <c r="N400" t="s">
        <v>247</v>
      </c>
      <c r="O400">
        <v>41911</v>
      </c>
      <c r="P400">
        <v>3.47</v>
      </c>
      <c r="Q400">
        <v>6.68</v>
      </c>
      <c r="R400">
        <f t="shared" si="37"/>
        <v>3.2099999999999995</v>
      </c>
      <c r="S400">
        <v>16</v>
      </c>
      <c r="T400">
        <f t="shared" si="38"/>
        <v>106.88</v>
      </c>
      <c r="U400">
        <v>0.1</v>
      </c>
      <c r="V400">
        <f t="shared" si="39"/>
        <v>10.688000000000001</v>
      </c>
      <c r="W400">
        <f t="shared" si="40"/>
        <v>96.191999999999993</v>
      </c>
      <c r="X400">
        <v>1.5</v>
      </c>
      <c r="Y400">
        <f t="shared" si="41"/>
        <v>97.691999999999993</v>
      </c>
    </row>
    <row r="401" spans="1:25" x14ac:dyDescent="0.25">
      <c r="A401" t="s">
        <v>1232</v>
      </c>
      <c r="B401">
        <v>41911</v>
      </c>
      <c r="C401" t="str">
        <f t="shared" si="36"/>
        <v>2014</v>
      </c>
      <c r="D401" t="s">
        <v>1084</v>
      </c>
      <c r="E401" t="s">
        <v>1233</v>
      </c>
      <c r="F401" t="s">
        <v>448</v>
      </c>
      <c r="G401" t="s">
        <v>449</v>
      </c>
      <c r="H401" t="s">
        <v>293</v>
      </c>
      <c r="I401" t="s">
        <v>333</v>
      </c>
      <c r="J401" t="s">
        <v>279</v>
      </c>
      <c r="K401" t="s">
        <v>317</v>
      </c>
      <c r="L401" t="s">
        <v>245</v>
      </c>
      <c r="M401" t="s">
        <v>253</v>
      </c>
      <c r="N401" t="s">
        <v>247</v>
      </c>
      <c r="O401">
        <v>41911</v>
      </c>
      <c r="P401">
        <v>0.71</v>
      </c>
      <c r="Q401">
        <v>1.1399999999999999</v>
      </c>
      <c r="R401">
        <f t="shared" si="37"/>
        <v>0.42999999999999994</v>
      </c>
      <c r="S401">
        <v>8</v>
      </c>
      <c r="T401">
        <f t="shared" si="38"/>
        <v>9.1199999999999992</v>
      </c>
      <c r="U401">
        <v>0</v>
      </c>
      <c r="V401">
        <f t="shared" si="39"/>
        <v>0</v>
      </c>
      <c r="W401">
        <f t="shared" si="40"/>
        <v>9.1199999999999992</v>
      </c>
      <c r="X401">
        <v>0.7</v>
      </c>
      <c r="Y401">
        <f t="shared" si="41"/>
        <v>9.8199999999999985</v>
      </c>
    </row>
    <row r="402" spans="1:25" x14ac:dyDescent="0.25">
      <c r="A402" t="s">
        <v>1234</v>
      </c>
      <c r="B402">
        <v>41913</v>
      </c>
      <c r="C402" t="str">
        <f t="shared" si="36"/>
        <v>2014</v>
      </c>
      <c r="D402" t="s">
        <v>237</v>
      </c>
      <c r="E402" t="s">
        <v>238</v>
      </c>
      <c r="F402" t="s">
        <v>239</v>
      </c>
      <c r="G402" t="s">
        <v>240</v>
      </c>
      <c r="H402" t="s">
        <v>241</v>
      </c>
      <c r="I402" t="s">
        <v>242</v>
      </c>
      <c r="J402" t="s">
        <v>243</v>
      </c>
      <c r="K402" t="s">
        <v>377</v>
      </c>
      <c r="L402" t="s">
        <v>268</v>
      </c>
      <c r="M402" t="s">
        <v>246</v>
      </c>
      <c r="N402" t="s">
        <v>247</v>
      </c>
      <c r="O402">
        <v>41915</v>
      </c>
      <c r="P402">
        <v>39.64</v>
      </c>
      <c r="Q402">
        <v>152.47999999999999</v>
      </c>
      <c r="R402">
        <f t="shared" si="37"/>
        <v>112.83999999999999</v>
      </c>
      <c r="S402">
        <v>48</v>
      </c>
      <c r="T402">
        <f t="shared" si="38"/>
        <v>7319.0399999999991</v>
      </c>
      <c r="U402">
        <v>0.04</v>
      </c>
      <c r="V402">
        <f t="shared" si="39"/>
        <v>292.76159999999999</v>
      </c>
      <c r="W402">
        <f t="shared" si="40"/>
        <v>7026.2783999999992</v>
      </c>
      <c r="X402">
        <v>6.5</v>
      </c>
      <c r="Y402">
        <f t="shared" si="41"/>
        <v>7032.7783999999992</v>
      </c>
    </row>
    <row r="403" spans="1:25" x14ac:dyDescent="0.25">
      <c r="A403" t="s">
        <v>1235</v>
      </c>
      <c r="B403">
        <v>41913</v>
      </c>
      <c r="C403" t="str">
        <f t="shared" si="36"/>
        <v>2014</v>
      </c>
      <c r="D403" t="s">
        <v>1236</v>
      </c>
      <c r="E403" t="s">
        <v>288</v>
      </c>
      <c r="F403" t="s">
        <v>257</v>
      </c>
      <c r="G403" t="s">
        <v>258</v>
      </c>
      <c r="H403" t="s">
        <v>259</v>
      </c>
      <c r="I403" t="s">
        <v>284</v>
      </c>
      <c r="J403" t="s">
        <v>294</v>
      </c>
      <c r="K403" t="s">
        <v>537</v>
      </c>
      <c r="L403" t="s">
        <v>245</v>
      </c>
      <c r="M403" t="s">
        <v>253</v>
      </c>
      <c r="N403" t="s">
        <v>263</v>
      </c>
      <c r="O403">
        <v>41914</v>
      </c>
      <c r="P403">
        <v>11.11</v>
      </c>
      <c r="Q403">
        <v>19.84</v>
      </c>
      <c r="R403">
        <f t="shared" si="37"/>
        <v>8.73</v>
      </c>
      <c r="S403">
        <v>15</v>
      </c>
      <c r="T403">
        <f t="shared" si="38"/>
        <v>297.60000000000002</v>
      </c>
      <c r="U403">
        <v>0</v>
      </c>
      <c r="V403">
        <f t="shared" si="39"/>
        <v>0</v>
      </c>
      <c r="W403">
        <f t="shared" si="40"/>
        <v>297.60000000000002</v>
      </c>
      <c r="X403">
        <v>4.0999999999999996</v>
      </c>
      <c r="Y403">
        <f t="shared" si="41"/>
        <v>301.70000000000005</v>
      </c>
    </row>
    <row r="404" spans="1:25" x14ac:dyDescent="0.25">
      <c r="A404" t="s">
        <v>1237</v>
      </c>
      <c r="B404">
        <v>41914</v>
      </c>
      <c r="C404" t="str">
        <f t="shared" si="36"/>
        <v>2014</v>
      </c>
      <c r="D404" t="s">
        <v>1238</v>
      </c>
      <c r="E404" t="s">
        <v>1239</v>
      </c>
      <c r="F404" t="s">
        <v>257</v>
      </c>
      <c r="G404" t="s">
        <v>258</v>
      </c>
      <c r="H404" t="s">
        <v>241</v>
      </c>
      <c r="I404" t="s">
        <v>309</v>
      </c>
      <c r="J404" t="s">
        <v>243</v>
      </c>
      <c r="K404" t="s">
        <v>799</v>
      </c>
      <c r="L404" t="s">
        <v>245</v>
      </c>
      <c r="M404" t="s">
        <v>246</v>
      </c>
      <c r="N404" t="s">
        <v>247</v>
      </c>
      <c r="O404">
        <v>41916</v>
      </c>
      <c r="P404">
        <v>2.29</v>
      </c>
      <c r="Q404">
        <v>3.69</v>
      </c>
      <c r="R404">
        <f t="shared" si="37"/>
        <v>1.4</v>
      </c>
      <c r="S404">
        <v>30</v>
      </c>
      <c r="T404">
        <f t="shared" si="38"/>
        <v>110.7</v>
      </c>
      <c r="U404">
        <v>0.09</v>
      </c>
      <c r="V404">
        <f t="shared" si="39"/>
        <v>9.9629999999999992</v>
      </c>
      <c r="W404">
        <f t="shared" si="40"/>
        <v>100.73700000000001</v>
      </c>
      <c r="X404">
        <v>0.5</v>
      </c>
      <c r="Y404">
        <f t="shared" si="41"/>
        <v>101.23700000000001</v>
      </c>
    </row>
    <row r="405" spans="1:25" x14ac:dyDescent="0.25">
      <c r="A405" t="s">
        <v>1240</v>
      </c>
      <c r="B405">
        <v>41914</v>
      </c>
      <c r="C405" t="str">
        <f t="shared" si="36"/>
        <v>2014</v>
      </c>
      <c r="D405" t="s">
        <v>1053</v>
      </c>
      <c r="E405" t="s">
        <v>1054</v>
      </c>
      <c r="F405" t="s">
        <v>448</v>
      </c>
      <c r="G405" t="s">
        <v>449</v>
      </c>
      <c r="H405" t="s">
        <v>259</v>
      </c>
      <c r="I405" t="s">
        <v>299</v>
      </c>
      <c r="J405" t="s">
        <v>243</v>
      </c>
      <c r="K405" t="s">
        <v>998</v>
      </c>
      <c r="L405" t="s">
        <v>245</v>
      </c>
      <c r="M405" t="s">
        <v>246</v>
      </c>
      <c r="N405" t="s">
        <v>247</v>
      </c>
      <c r="O405">
        <v>41916</v>
      </c>
      <c r="P405">
        <v>21.97</v>
      </c>
      <c r="Q405">
        <v>35.44</v>
      </c>
      <c r="R405">
        <f t="shared" si="37"/>
        <v>13.469999999999999</v>
      </c>
      <c r="S405">
        <v>29</v>
      </c>
      <c r="T405">
        <f t="shared" si="38"/>
        <v>1027.76</v>
      </c>
      <c r="U405">
        <v>0.03</v>
      </c>
      <c r="V405">
        <f t="shared" si="39"/>
        <v>30.832799999999999</v>
      </c>
      <c r="W405">
        <f t="shared" si="40"/>
        <v>996.92719999999997</v>
      </c>
      <c r="X405">
        <v>4.92</v>
      </c>
      <c r="Y405">
        <f t="shared" si="41"/>
        <v>1001.8471999999999</v>
      </c>
    </row>
    <row r="406" spans="1:25" x14ac:dyDescent="0.25">
      <c r="A406" t="s">
        <v>1241</v>
      </c>
      <c r="B406">
        <v>41915</v>
      </c>
      <c r="C406" t="str">
        <f t="shared" si="36"/>
        <v>2014</v>
      </c>
      <c r="D406" t="s">
        <v>1225</v>
      </c>
      <c r="E406" t="s">
        <v>420</v>
      </c>
      <c r="F406" t="s">
        <v>239</v>
      </c>
      <c r="G406" t="s">
        <v>240</v>
      </c>
      <c r="H406" t="s">
        <v>259</v>
      </c>
      <c r="I406" t="s">
        <v>251</v>
      </c>
      <c r="J406" t="s">
        <v>294</v>
      </c>
      <c r="K406" t="s">
        <v>317</v>
      </c>
      <c r="L406" t="s">
        <v>245</v>
      </c>
      <c r="M406" t="s">
        <v>253</v>
      </c>
      <c r="N406" t="s">
        <v>247</v>
      </c>
      <c r="O406">
        <v>41917</v>
      </c>
      <c r="P406">
        <v>0.71</v>
      </c>
      <c r="Q406">
        <v>1.1399999999999999</v>
      </c>
      <c r="R406">
        <f t="shared" si="37"/>
        <v>0.42999999999999994</v>
      </c>
      <c r="S406">
        <v>4</v>
      </c>
      <c r="T406">
        <f t="shared" si="38"/>
        <v>4.5599999999999996</v>
      </c>
      <c r="U406">
        <v>0</v>
      </c>
      <c r="V406">
        <f t="shared" si="39"/>
        <v>0</v>
      </c>
      <c r="W406">
        <f t="shared" si="40"/>
        <v>4.5599999999999996</v>
      </c>
      <c r="X406">
        <v>0.7</v>
      </c>
      <c r="Y406">
        <f t="shared" si="41"/>
        <v>5.26</v>
      </c>
    </row>
    <row r="407" spans="1:25" x14ac:dyDescent="0.25">
      <c r="A407" t="s">
        <v>1242</v>
      </c>
      <c r="B407">
        <v>41916</v>
      </c>
      <c r="C407" t="str">
        <f t="shared" si="36"/>
        <v>2014</v>
      </c>
      <c r="D407" t="s">
        <v>703</v>
      </c>
      <c r="E407" t="s">
        <v>288</v>
      </c>
      <c r="F407" t="s">
        <v>257</v>
      </c>
      <c r="G407" t="s">
        <v>258</v>
      </c>
      <c r="H407" t="s">
        <v>274</v>
      </c>
      <c r="I407" t="s">
        <v>284</v>
      </c>
      <c r="J407" t="s">
        <v>279</v>
      </c>
      <c r="K407" t="s">
        <v>570</v>
      </c>
      <c r="L407" t="s">
        <v>245</v>
      </c>
      <c r="M407" t="s">
        <v>246</v>
      </c>
      <c r="N407" t="s">
        <v>263</v>
      </c>
      <c r="O407">
        <v>41923</v>
      </c>
      <c r="P407">
        <v>2.74</v>
      </c>
      <c r="Q407">
        <v>4.49</v>
      </c>
      <c r="R407">
        <f t="shared" si="37"/>
        <v>1.75</v>
      </c>
      <c r="S407">
        <v>44</v>
      </c>
      <c r="T407">
        <f t="shared" si="38"/>
        <v>197.56</v>
      </c>
      <c r="U407">
        <v>0.03</v>
      </c>
      <c r="V407">
        <f t="shared" si="39"/>
        <v>5.9268000000000001</v>
      </c>
      <c r="W407">
        <f t="shared" si="40"/>
        <v>191.63319999999999</v>
      </c>
      <c r="X407">
        <v>1.49</v>
      </c>
      <c r="Y407">
        <f t="shared" si="41"/>
        <v>193.1232</v>
      </c>
    </row>
    <row r="408" spans="1:25" x14ac:dyDescent="0.25">
      <c r="A408" t="s">
        <v>1243</v>
      </c>
      <c r="B408">
        <v>41916</v>
      </c>
      <c r="C408" t="str">
        <f t="shared" si="36"/>
        <v>2014</v>
      </c>
      <c r="D408" t="s">
        <v>908</v>
      </c>
      <c r="E408" t="s">
        <v>909</v>
      </c>
      <c r="F408" t="s">
        <v>448</v>
      </c>
      <c r="G408" t="s">
        <v>449</v>
      </c>
      <c r="H408" t="s">
        <v>241</v>
      </c>
      <c r="I408" t="s">
        <v>333</v>
      </c>
      <c r="J408" t="s">
        <v>279</v>
      </c>
      <c r="K408" t="s">
        <v>488</v>
      </c>
      <c r="L408" t="s">
        <v>268</v>
      </c>
      <c r="M408" t="s">
        <v>323</v>
      </c>
      <c r="N408" t="s">
        <v>247</v>
      </c>
      <c r="O408">
        <v>41918</v>
      </c>
      <c r="P408">
        <v>20.18</v>
      </c>
      <c r="Q408">
        <v>35.409999999999997</v>
      </c>
      <c r="R408">
        <f t="shared" si="37"/>
        <v>15.229999999999997</v>
      </c>
      <c r="S408">
        <v>5</v>
      </c>
      <c r="T408">
        <f t="shared" si="38"/>
        <v>177.04999999999998</v>
      </c>
      <c r="U408">
        <v>0</v>
      </c>
      <c r="V408">
        <f t="shared" si="39"/>
        <v>0</v>
      </c>
      <c r="W408">
        <f t="shared" si="40"/>
        <v>177.04999999999998</v>
      </c>
      <c r="X408">
        <v>1.99</v>
      </c>
      <c r="Y408">
        <f t="shared" si="41"/>
        <v>179.04</v>
      </c>
    </row>
    <row r="409" spans="1:25" x14ac:dyDescent="0.25">
      <c r="A409" t="s">
        <v>1244</v>
      </c>
      <c r="B409">
        <v>41918</v>
      </c>
      <c r="C409" t="str">
        <f t="shared" si="36"/>
        <v>2014</v>
      </c>
      <c r="D409" t="s">
        <v>965</v>
      </c>
      <c r="E409" t="s">
        <v>633</v>
      </c>
      <c r="F409" t="s">
        <v>239</v>
      </c>
      <c r="G409" t="s">
        <v>240</v>
      </c>
      <c r="H409" t="s">
        <v>274</v>
      </c>
      <c r="I409" t="s">
        <v>242</v>
      </c>
      <c r="J409" t="s">
        <v>261</v>
      </c>
      <c r="K409" t="s">
        <v>617</v>
      </c>
      <c r="L409" t="s">
        <v>245</v>
      </c>
      <c r="M409" t="s">
        <v>246</v>
      </c>
      <c r="N409" t="s">
        <v>247</v>
      </c>
      <c r="O409">
        <v>41919</v>
      </c>
      <c r="P409">
        <v>1.94</v>
      </c>
      <c r="Q409">
        <v>3.08</v>
      </c>
      <c r="R409">
        <f t="shared" si="37"/>
        <v>1.1400000000000001</v>
      </c>
      <c r="S409">
        <v>46</v>
      </c>
      <c r="T409">
        <f t="shared" si="38"/>
        <v>141.68</v>
      </c>
      <c r="U409">
        <v>0.04</v>
      </c>
      <c r="V409">
        <f t="shared" si="39"/>
        <v>5.6672000000000002</v>
      </c>
      <c r="W409">
        <f t="shared" si="40"/>
        <v>136.0128</v>
      </c>
      <c r="X409">
        <v>0.99</v>
      </c>
      <c r="Y409">
        <f t="shared" si="41"/>
        <v>137.00280000000001</v>
      </c>
    </row>
    <row r="410" spans="1:25" x14ac:dyDescent="0.25">
      <c r="A410" t="s">
        <v>1245</v>
      </c>
      <c r="B410">
        <v>41920</v>
      </c>
      <c r="C410" t="str">
        <f t="shared" si="36"/>
        <v>2014</v>
      </c>
      <c r="D410" t="s">
        <v>401</v>
      </c>
      <c r="E410" t="s">
        <v>402</v>
      </c>
      <c r="F410" t="s">
        <v>257</v>
      </c>
      <c r="G410" t="s">
        <v>258</v>
      </c>
      <c r="H410" t="s">
        <v>259</v>
      </c>
      <c r="I410" t="s">
        <v>333</v>
      </c>
      <c r="J410" t="s">
        <v>243</v>
      </c>
      <c r="K410" t="s">
        <v>439</v>
      </c>
      <c r="L410" t="s">
        <v>440</v>
      </c>
      <c r="M410" t="s">
        <v>323</v>
      </c>
      <c r="N410" t="s">
        <v>247</v>
      </c>
      <c r="O410">
        <v>41922</v>
      </c>
      <c r="P410">
        <v>5.5</v>
      </c>
      <c r="Q410">
        <v>12.22</v>
      </c>
      <c r="R410">
        <f t="shared" si="37"/>
        <v>6.7200000000000006</v>
      </c>
      <c r="S410">
        <v>1</v>
      </c>
      <c r="T410">
        <f t="shared" si="38"/>
        <v>12.22</v>
      </c>
      <c r="U410">
        <v>0.1</v>
      </c>
      <c r="V410">
        <f t="shared" si="39"/>
        <v>1.2220000000000002</v>
      </c>
      <c r="W410">
        <f t="shared" si="40"/>
        <v>10.998000000000001</v>
      </c>
      <c r="X410">
        <v>2.85</v>
      </c>
      <c r="Y410">
        <f t="shared" si="41"/>
        <v>13.848000000000001</v>
      </c>
    </row>
    <row r="411" spans="1:25" x14ac:dyDescent="0.25">
      <c r="A411" t="s">
        <v>1246</v>
      </c>
      <c r="B411">
        <v>41921</v>
      </c>
      <c r="C411" t="str">
        <f t="shared" si="36"/>
        <v>2014</v>
      </c>
      <c r="D411" t="s">
        <v>1247</v>
      </c>
      <c r="E411" t="s">
        <v>352</v>
      </c>
      <c r="F411" t="s">
        <v>257</v>
      </c>
      <c r="G411" t="s">
        <v>258</v>
      </c>
      <c r="H411" t="s">
        <v>274</v>
      </c>
      <c r="I411" t="s">
        <v>275</v>
      </c>
      <c r="J411" t="s">
        <v>243</v>
      </c>
      <c r="K411" t="s">
        <v>963</v>
      </c>
      <c r="L411" t="s">
        <v>245</v>
      </c>
      <c r="M411" t="s">
        <v>323</v>
      </c>
      <c r="N411" t="s">
        <v>247</v>
      </c>
      <c r="O411">
        <v>41921</v>
      </c>
      <c r="P411">
        <v>4.1900000000000004</v>
      </c>
      <c r="Q411">
        <v>10.23</v>
      </c>
      <c r="R411">
        <f t="shared" si="37"/>
        <v>6.04</v>
      </c>
      <c r="S411">
        <v>37</v>
      </c>
      <c r="T411">
        <f t="shared" si="38"/>
        <v>378.51</v>
      </c>
      <c r="U411">
        <v>0.08</v>
      </c>
      <c r="V411">
        <f t="shared" si="39"/>
        <v>30.280799999999999</v>
      </c>
      <c r="W411">
        <f t="shared" si="40"/>
        <v>348.22919999999999</v>
      </c>
      <c r="X411">
        <v>4.68</v>
      </c>
      <c r="Y411">
        <f t="shared" si="41"/>
        <v>352.9092</v>
      </c>
    </row>
    <row r="412" spans="1:25" x14ac:dyDescent="0.25">
      <c r="A412" t="s">
        <v>1248</v>
      </c>
      <c r="B412">
        <v>41922</v>
      </c>
      <c r="C412" t="str">
        <f t="shared" si="36"/>
        <v>2014</v>
      </c>
      <c r="D412" t="s">
        <v>1027</v>
      </c>
      <c r="E412" t="s">
        <v>727</v>
      </c>
      <c r="F412" t="s">
        <v>257</v>
      </c>
      <c r="G412" t="s">
        <v>258</v>
      </c>
      <c r="H412" t="s">
        <v>259</v>
      </c>
      <c r="I412" t="s">
        <v>333</v>
      </c>
      <c r="J412" t="s">
        <v>279</v>
      </c>
      <c r="K412" t="s">
        <v>1249</v>
      </c>
      <c r="L412" t="s">
        <v>245</v>
      </c>
      <c r="M412" t="s">
        <v>246</v>
      </c>
      <c r="N412" t="s">
        <v>247</v>
      </c>
      <c r="O412">
        <v>41929</v>
      </c>
      <c r="P412">
        <v>1.19</v>
      </c>
      <c r="Q412">
        <v>1.98</v>
      </c>
      <c r="R412">
        <f t="shared" si="37"/>
        <v>0.79</v>
      </c>
      <c r="S412">
        <v>38</v>
      </c>
      <c r="T412">
        <f t="shared" si="38"/>
        <v>75.239999999999995</v>
      </c>
      <c r="U412">
        <v>0.05</v>
      </c>
      <c r="V412">
        <f t="shared" si="39"/>
        <v>3.762</v>
      </c>
      <c r="W412">
        <f t="shared" si="40"/>
        <v>71.477999999999994</v>
      </c>
      <c r="X412">
        <v>4.7699999999999996</v>
      </c>
      <c r="Y412">
        <f t="shared" si="41"/>
        <v>76.24799999999999</v>
      </c>
    </row>
    <row r="413" spans="1:25" x14ac:dyDescent="0.25">
      <c r="A413" t="s">
        <v>1250</v>
      </c>
      <c r="B413">
        <v>41923</v>
      </c>
      <c r="C413" t="str">
        <f t="shared" si="36"/>
        <v>2014</v>
      </c>
      <c r="D413" t="s">
        <v>1251</v>
      </c>
      <c r="E413" t="s">
        <v>898</v>
      </c>
      <c r="F413" t="s">
        <v>257</v>
      </c>
      <c r="G413" t="s">
        <v>258</v>
      </c>
      <c r="H413" t="s">
        <v>241</v>
      </c>
      <c r="I413" t="s">
        <v>284</v>
      </c>
      <c r="J413" t="s">
        <v>304</v>
      </c>
      <c r="K413" t="s">
        <v>537</v>
      </c>
      <c r="L413" t="s">
        <v>245</v>
      </c>
      <c r="M413" t="s">
        <v>253</v>
      </c>
      <c r="N413" t="s">
        <v>247</v>
      </c>
      <c r="O413">
        <v>41923</v>
      </c>
      <c r="P413">
        <v>11.11</v>
      </c>
      <c r="Q413">
        <v>19.84</v>
      </c>
      <c r="R413">
        <f t="shared" si="37"/>
        <v>8.73</v>
      </c>
      <c r="S413">
        <v>43</v>
      </c>
      <c r="T413">
        <f t="shared" si="38"/>
        <v>853.12</v>
      </c>
      <c r="U413">
        <v>0.03</v>
      </c>
      <c r="V413">
        <f t="shared" si="39"/>
        <v>25.593599999999999</v>
      </c>
      <c r="W413">
        <f t="shared" si="40"/>
        <v>827.52639999999997</v>
      </c>
      <c r="X413">
        <v>4.0999999999999996</v>
      </c>
      <c r="Y413">
        <f t="shared" si="41"/>
        <v>831.62639999999999</v>
      </c>
    </row>
    <row r="414" spans="1:25" x14ac:dyDescent="0.25">
      <c r="A414" t="s">
        <v>1252</v>
      </c>
      <c r="B414">
        <v>41927</v>
      </c>
      <c r="C414" t="str">
        <f t="shared" si="36"/>
        <v>2014</v>
      </c>
      <c r="D414" t="s">
        <v>1253</v>
      </c>
      <c r="E414" t="s">
        <v>346</v>
      </c>
      <c r="F414" t="s">
        <v>257</v>
      </c>
      <c r="G414" t="s">
        <v>258</v>
      </c>
      <c r="H414" t="s">
        <v>241</v>
      </c>
      <c r="I414" t="s">
        <v>309</v>
      </c>
      <c r="J414" t="s">
        <v>279</v>
      </c>
      <c r="K414" t="s">
        <v>949</v>
      </c>
      <c r="L414" t="s">
        <v>245</v>
      </c>
      <c r="M414" t="s">
        <v>246</v>
      </c>
      <c r="N414" t="s">
        <v>263</v>
      </c>
      <c r="O414">
        <v>41931</v>
      </c>
      <c r="P414">
        <v>52.07</v>
      </c>
      <c r="Q414">
        <v>83.98</v>
      </c>
      <c r="R414">
        <f t="shared" si="37"/>
        <v>31.910000000000004</v>
      </c>
      <c r="S414">
        <v>34</v>
      </c>
      <c r="T414">
        <f t="shared" si="38"/>
        <v>2855.32</v>
      </c>
      <c r="U414">
        <v>0.06</v>
      </c>
      <c r="V414">
        <f t="shared" si="39"/>
        <v>171.3192</v>
      </c>
      <c r="W414">
        <f t="shared" si="40"/>
        <v>2684.0008000000003</v>
      </c>
      <c r="X414">
        <v>5.01</v>
      </c>
      <c r="Y414">
        <f t="shared" si="41"/>
        <v>2689.0108000000005</v>
      </c>
    </row>
    <row r="415" spans="1:25" x14ac:dyDescent="0.25">
      <c r="A415" t="s">
        <v>1254</v>
      </c>
      <c r="B415">
        <v>41928</v>
      </c>
      <c r="C415" t="str">
        <f t="shared" si="36"/>
        <v>2014</v>
      </c>
      <c r="D415" t="s">
        <v>237</v>
      </c>
      <c r="E415" t="s">
        <v>238</v>
      </c>
      <c r="F415" t="s">
        <v>239</v>
      </c>
      <c r="G415" t="s">
        <v>240</v>
      </c>
      <c r="H415" t="s">
        <v>241</v>
      </c>
      <c r="I415" t="s">
        <v>242</v>
      </c>
      <c r="J415" t="s">
        <v>261</v>
      </c>
      <c r="K415" t="s">
        <v>360</v>
      </c>
      <c r="L415" t="s">
        <v>245</v>
      </c>
      <c r="M415" t="s">
        <v>253</v>
      </c>
      <c r="N415" t="s">
        <v>247</v>
      </c>
      <c r="O415">
        <v>41929</v>
      </c>
      <c r="P415">
        <v>2.52</v>
      </c>
      <c r="Q415">
        <v>4</v>
      </c>
      <c r="R415">
        <f t="shared" si="37"/>
        <v>1.48</v>
      </c>
      <c r="S415">
        <v>36</v>
      </c>
      <c r="T415">
        <f t="shared" si="38"/>
        <v>144</v>
      </c>
      <c r="U415">
        <v>0.01</v>
      </c>
      <c r="V415">
        <f t="shared" si="39"/>
        <v>1.44</v>
      </c>
      <c r="W415">
        <f t="shared" si="40"/>
        <v>142.56</v>
      </c>
      <c r="X415">
        <v>1.3</v>
      </c>
      <c r="Y415">
        <f t="shared" si="41"/>
        <v>143.86000000000001</v>
      </c>
    </row>
    <row r="416" spans="1:25" x14ac:dyDescent="0.25">
      <c r="A416" t="s">
        <v>1255</v>
      </c>
      <c r="B416">
        <v>41929</v>
      </c>
      <c r="C416" t="str">
        <f t="shared" si="36"/>
        <v>2014</v>
      </c>
      <c r="D416" t="s">
        <v>1256</v>
      </c>
      <c r="E416" t="s">
        <v>367</v>
      </c>
      <c r="F416" t="s">
        <v>239</v>
      </c>
      <c r="G416" t="s">
        <v>240</v>
      </c>
      <c r="H416" t="s">
        <v>241</v>
      </c>
      <c r="I416" t="s">
        <v>251</v>
      </c>
      <c r="J416" t="s">
        <v>304</v>
      </c>
      <c r="K416" t="s">
        <v>676</v>
      </c>
      <c r="L416" t="s">
        <v>245</v>
      </c>
      <c r="M416" t="s">
        <v>323</v>
      </c>
      <c r="N416" t="s">
        <v>247</v>
      </c>
      <c r="O416">
        <v>41929</v>
      </c>
      <c r="P416">
        <v>5.19</v>
      </c>
      <c r="Q416">
        <v>12.98</v>
      </c>
      <c r="R416">
        <f t="shared" si="37"/>
        <v>7.79</v>
      </c>
      <c r="S416">
        <v>11</v>
      </c>
      <c r="T416">
        <f t="shared" si="38"/>
        <v>142.78</v>
      </c>
      <c r="U416">
        <v>0.08</v>
      </c>
      <c r="V416">
        <f t="shared" si="39"/>
        <v>11.4224</v>
      </c>
      <c r="W416">
        <f t="shared" si="40"/>
        <v>131.35759999999999</v>
      </c>
      <c r="X416">
        <v>3.14</v>
      </c>
      <c r="Y416">
        <f t="shared" si="41"/>
        <v>134.49759999999998</v>
      </c>
    </row>
    <row r="417" spans="1:25" x14ac:dyDescent="0.25">
      <c r="A417" t="s">
        <v>1257</v>
      </c>
      <c r="B417">
        <v>41929</v>
      </c>
      <c r="C417" t="str">
        <f t="shared" si="36"/>
        <v>2014</v>
      </c>
      <c r="D417" t="s">
        <v>1256</v>
      </c>
      <c r="E417" t="s">
        <v>367</v>
      </c>
      <c r="F417" t="s">
        <v>239</v>
      </c>
      <c r="G417" t="s">
        <v>240</v>
      </c>
      <c r="H417" t="s">
        <v>241</v>
      </c>
      <c r="I417" t="s">
        <v>251</v>
      </c>
      <c r="J417" t="s">
        <v>304</v>
      </c>
      <c r="K417" t="s">
        <v>360</v>
      </c>
      <c r="L417" t="s">
        <v>245</v>
      </c>
      <c r="M417" t="s">
        <v>253</v>
      </c>
      <c r="N417" t="s">
        <v>247</v>
      </c>
      <c r="O417">
        <v>41931</v>
      </c>
      <c r="P417">
        <v>2.52</v>
      </c>
      <c r="Q417">
        <v>4</v>
      </c>
      <c r="R417">
        <f t="shared" si="37"/>
        <v>1.48</v>
      </c>
      <c r="S417">
        <v>19</v>
      </c>
      <c r="T417">
        <f t="shared" si="38"/>
        <v>76</v>
      </c>
      <c r="U417">
        <v>0.01</v>
      </c>
      <c r="V417">
        <f t="shared" si="39"/>
        <v>0.76</v>
      </c>
      <c r="W417">
        <f t="shared" si="40"/>
        <v>75.239999999999995</v>
      </c>
      <c r="X417">
        <v>1.3</v>
      </c>
      <c r="Y417">
        <f t="shared" si="41"/>
        <v>76.539999999999992</v>
      </c>
    </row>
    <row r="418" spans="1:25" x14ac:dyDescent="0.25">
      <c r="A418" t="s">
        <v>1258</v>
      </c>
      <c r="B418">
        <v>41930</v>
      </c>
      <c r="C418" t="str">
        <f t="shared" si="36"/>
        <v>2014</v>
      </c>
      <c r="D418" t="s">
        <v>237</v>
      </c>
      <c r="E418" t="s">
        <v>238</v>
      </c>
      <c r="F418" t="s">
        <v>239</v>
      </c>
      <c r="G418" t="s">
        <v>240</v>
      </c>
      <c r="H418" t="s">
        <v>241</v>
      </c>
      <c r="I418" t="s">
        <v>242</v>
      </c>
      <c r="J418" t="s">
        <v>294</v>
      </c>
      <c r="K418" t="s">
        <v>460</v>
      </c>
      <c r="L418" t="s">
        <v>245</v>
      </c>
      <c r="M418" t="s">
        <v>246</v>
      </c>
      <c r="N418" t="s">
        <v>247</v>
      </c>
      <c r="O418">
        <v>41932</v>
      </c>
      <c r="P418">
        <v>3.84</v>
      </c>
      <c r="Q418">
        <v>6.3</v>
      </c>
      <c r="R418">
        <f t="shared" si="37"/>
        <v>2.46</v>
      </c>
      <c r="S418">
        <v>8</v>
      </c>
      <c r="T418">
        <f t="shared" si="38"/>
        <v>50.4</v>
      </c>
      <c r="U418">
        <v>0.01</v>
      </c>
      <c r="V418">
        <f t="shared" si="39"/>
        <v>0.504</v>
      </c>
      <c r="W418">
        <f t="shared" si="40"/>
        <v>49.896000000000001</v>
      </c>
      <c r="X418">
        <v>0.5</v>
      </c>
      <c r="Y418">
        <f t="shared" si="41"/>
        <v>50.396000000000001</v>
      </c>
    </row>
    <row r="419" spans="1:25" x14ac:dyDescent="0.25">
      <c r="A419" t="s">
        <v>1259</v>
      </c>
      <c r="B419">
        <v>41931</v>
      </c>
      <c r="C419" t="str">
        <f t="shared" si="36"/>
        <v>2014</v>
      </c>
      <c r="D419" t="s">
        <v>1260</v>
      </c>
      <c r="E419" t="s">
        <v>1261</v>
      </c>
      <c r="F419" t="s">
        <v>239</v>
      </c>
      <c r="G419" t="s">
        <v>240</v>
      </c>
      <c r="H419" t="s">
        <v>259</v>
      </c>
      <c r="I419" t="s">
        <v>242</v>
      </c>
      <c r="J419" t="s">
        <v>243</v>
      </c>
      <c r="K419" t="s">
        <v>607</v>
      </c>
      <c r="L419" t="s">
        <v>245</v>
      </c>
      <c r="M419" t="s">
        <v>246</v>
      </c>
      <c r="N419" t="s">
        <v>263</v>
      </c>
      <c r="O419">
        <v>41932</v>
      </c>
      <c r="P419">
        <v>4.46</v>
      </c>
      <c r="Q419">
        <v>10.89</v>
      </c>
      <c r="R419">
        <f t="shared" si="37"/>
        <v>6.4300000000000006</v>
      </c>
      <c r="S419">
        <v>4</v>
      </c>
      <c r="T419">
        <f t="shared" si="38"/>
        <v>43.56</v>
      </c>
      <c r="U419">
        <v>0.05</v>
      </c>
      <c r="V419">
        <f t="shared" si="39"/>
        <v>2.1780000000000004</v>
      </c>
      <c r="W419">
        <f t="shared" si="40"/>
        <v>41.382000000000005</v>
      </c>
      <c r="X419">
        <v>4.5</v>
      </c>
      <c r="Y419">
        <f t="shared" si="41"/>
        <v>45.882000000000005</v>
      </c>
    </row>
    <row r="420" spans="1:25" x14ac:dyDescent="0.25">
      <c r="A420" t="s">
        <v>1262</v>
      </c>
      <c r="B420">
        <v>41932</v>
      </c>
      <c r="C420" t="str">
        <f t="shared" si="36"/>
        <v>2014</v>
      </c>
      <c r="D420" t="s">
        <v>1222</v>
      </c>
      <c r="E420" t="s">
        <v>1001</v>
      </c>
      <c r="F420" t="s">
        <v>239</v>
      </c>
      <c r="G420" t="s">
        <v>240</v>
      </c>
      <c r="H420" t="s">
        <v>293</v>
      </c>
      <c r="I420" t="s">
        <v>251</v>
      </c>
      <c r="J420" t="s">
        <v>294</v>
      </c>
      <c r="K420" t="s">
        <v>384</v>
      </c>
      <c r="L420" t="s">
        <v>268</v>
      </c>
      <c r="M420" t="s">
        <v>246</v>
      </c>
      <c r="N420" t="s">
        <v>247</v>
      </c>
      <c r="O420">
        <v>41934</v>
      </c>
      <c r="P420">
        <v>8.31</v>
      </c>
      <c r="Q420">
        <v>15.98</v>
      </c>
      <c r="R420">
        <f t="shared" si="37"/>
        <v>7.67</v>
      </c>
      <c r="S420">
        <v>38</v>
      </c>
      <c r="T420">
        <f t="shared" si="38"/>
        <v>607.24</v>
      </c>
      <c r="U420">
        <v>0.1</v>
      </c>
      <c r="V420">
        <f t="shared" si="39"/>
        <v>60.724000000000004</v>
      </c>
      <c r="W420">
        <f t="shared" si="40"/>
        <v>546.51599999999996</v>
      </c>
      <c r="X420">
        <v>6.5</v>
      </c>
      <c r="Y420">
        <f t="shared" si="41"/>
        <v>553.01599999999996</v>
      </c>
    </row>
    <row r="421" spans="1:25" x14ac:dyDescent="0.25">
      <c r="A421" t="s">
        <v>1263</v>
      </c>
      <c r="B421">
        <v>41933</v>
      </c>
      <c r="C421" t="str">
        <f t="shared" si="36"/>
        <v>2014</v>
      </c>
      <c r="D421" t="s">
        <v>1264</v>
      </c>
      <c r="E421" t="s">
        <v>1265</v>
      </c>
      <c r="F421" t="s">
        <v>257</v>
      </c>
      <c r="G421" t="s">
        <v>258</v>
      </c>
      <c r="H421" t="s">
        <v>274</v>
      </c>
      <c r="I421" t="s">
        <v>309</v>
      </c>
      <c r="J421" t="s">
        <v>294</v>
      </c>
      <c r="K421" t="s">
        <v>1266</v>
      </c>
      <c r="L421" t="s">
        <v>245</v>
      </c>
      <c r="M421" t="s">
        <v>253</v>
      </c>
      <c r="N421" t="s">
        <v>247</v>
      </c>
      <c r="O421">
        <v>41934</v>
      </c>
      <c r="P421">
        <v>4.4800000000000004</v>
      </c>
      <c r="Q421">
        <v>8.14</v>
      </c>
      <c r="R421">
        <f t="shared" si="37"/>
        <v>3.66</v>
      </c>
      <c r="S421">
        <v>46</v>
      </c>
      <c r="T421">
        <f t="shared" si="38"/>
        <v>374.44000000000005</v>
      </c>
      <c r="U421">
        <v>0</v>
      </c>
      <c r="V421">
        <f t="shared" si="39"/>
        <v>0</v>
      </c>
      <c r="W421">
        <f t="shared" si="40"/>
        <v>374.44000000000005</v>
      </c>
      <c r="X421">
        <v>3.12</v>
      </c>
      <c r="Y421">
        <f t="shared" si="41"/>
        <v>377.56000000000006</v>
      </c>
    </row>
    <row r="422" spans="1:25" x14ac:dyDescent="0.25">
      <c r="A422" t="s">
        <v>1267</v>
      </c>
      <c r="B422">
        <v>41933</v>
      </c>
      <c r="C422" t="str">
        <f t="shared" si="36"/>
        <v>2014</v>
      </c>
      <c r="D422" t="s">
        <v>1159</v>
      </c>
      <c r="E422" t="s">
        <v>376</v>
      </c>
      <c r="F422" t="s">
        <v>239</v>
      </c>
      <c r="G422" t="s">
        <v>240</v>
      </c>
      <c r="H422" t="s">
        <v>259</v>
      </c>
      <c r="I422" t="s">
        <v>242</v>
      </c>
      <c r="J422" t="s">
        <v>304</v>
      </c>
      <c r="K422" t="s">
        <v>387</v>
      </c>
      <c r="L422" t="s">
        <v>245</v>
      </c>
      <c r="M422" t="s">
        <v>323</v>
      </c>
      <c r="N422" t="s">
        <v>247</v>
      </c>
      <c r="O422">
        <v>41933</v>
      </c>
      <c r="P422">
        <v>4.79</v>
      </c>
      <c r="Q422">
        <v>11.97</v>
      </c>
      <c r="R422">
        <f t="shared" si="37"/>
        <v>7.1800000000000006</v>
      </c>
      <c r="S422">
        <v>8</v>
      </c>
      <c r="T422">
        <f t="shared" si="38"/>
        <v>95.76</v>
      </c>
      <c r="U422">
        <v>0.03</v>
      </c>
      <c r="V422">
        <f t="shared" si="39"/>
        <v>2.8728000000000002</v>
      </c>
      <c r="W422">
        <f t="shared" si="40"/>
        <v>92.887200000000007</v>
      </c>
      <c r="X422">
        <v>5.81</v>
      </c>
      <c r="Y422">
        <f t="shared" si="41"/>
        <v>98.697200000000009</v>
      </c>
    </row>
    <row r="423" spans="1:25" x14ac:dyDescent="0.25">
      <c r="A423" t="s">
        <v>1268</v>
      </c>
      <c r="B423">
        <v>41934</v>
      </c>
      <c r="C423" t="str">
        <f t="shared" si="36"/>
        <v>2014</v>
      </c>
      <c r="D423" t="s">
        <v>1033</v>
      </c>
      <c r="E423" t="s">
        <v>376</v>
      </c>
      <c r="F423" t="s">
        <v>239</v>
      </c>
      <c r="G423" t="s">
        <v>240</v>
      </c>
      <c r="H423" t="s">
        <v>274</v>
      </c>
      <c r="I423" t="s">
        <v>242</v>
      </c>
      <c r="J423" t="s">
        <v>243</v>
      </c>
      <c r="K423" t="s">
        <v>533</v>
      </c>
      <c r="L423" t="s">
        <v>245</v>
      </c>
      <c r="M423" t="s">
        <v>246</v>
      </c>
      <c r="N423" t="s">
        <v>247</v>
      </c>
      <c r="O423">
        <v>41935</v>
      </c>
      <c r="P423">
        <v>3.4</v>
      </c>
      <c r="Q423">
        <v>5.4</v>
      </c>
      <c r="R423">
        <f t="shared" si="37"/>
        <v>2.0000000000000004</v>
      </c>
      <c r="S423">
        <v>22</v>
      </c>
      <c r="T423">
        <f t="shared" si="38"/>
        <v>118.80000000000001</v>
      </c>
      <c r="U423">
        <v>0.1</v>
      </c>
      <c r="V423">
        <f t="shared" si="39"/>
        <v>11.880000000000003</v>
      </c>
      <c r="W423">
        <f t="shared" si="40"/>
        <v>106.92000000000002</v>
      </c>
      <c r="X423">
        <v>7.78</v>
      </c>
      <c r="Y423">
        <f t="shared" si="41"/>
        <v>114.70000000000002</v>
      </c>
    </row>
    <row r="424" spans="1:25" x14ac:dyDescent="0.25">
      <c r="A424" t="s">
        <v>1269</v>
      </c>
      <c r="B424">
        <v>41935</v>
      </c>
      <c r="C424" t="str">
        <f t="shared" si="36"/>
        <v>2014</v>
      </c>
      <c r="D424" t="s">
        <v>1270</v>
      </c>
      <c r="E424" t="s">
        <v>283</v>
      </c>
      <c r="F424" t="s">
        <v>257</v>
      </c>
      <c r="G424" t="s">
        <v>258</v>
      </c>
      <c r="H424" t="s">
        <v>259</v>
      </c>
      <c r="I424" t="s">
        <v>284</v>
      </c>
      <c r="J424" t="s">
        <v>294</v>
      </c>
      <c r="K424" t="s">
        <v>479</v>
      </c>
      <c r="L424" t="s">
        <v>245</v>
      </c>
      <c r="M424" t="s">
        <v>246</v>
      </c>
      <c r="N424" t="s">
        <v>247</v>
      </c>
      <c r="O424">
        <v>41937</v>
      </c>
      <c r="P424">
        <v>8.92</v>
      </c>
      <c r="Q424">
        <v>29.74</v>
      </c>
      <c r="R424">
        <f t="shared" si="37"/>
        <v>20.82</v>
      </c>
      <c r="S424">
        <v>19</v>
      </c>
      <c r="T424">
        <f t="shared" si="38"/>
        <v>565.05999999999995</v>
      </c>
      <c r="U424">
        <v>0.1</v>
      </c>
      <c r="V424">
        <f t="shared" si="39"/>
        <v>56.506</v>
      </c>
      <c r="W424">
        <f t="shared" si="40"/>
        <v>508.55399999999997</v>
      </c>
      <c r="X424">
        <v>6.64</v>
      </c>
      <c r="Y424">
        <f t="shared" si="41"/>
        <v>515.19399999999996</v>
      </c>
    </row>
    <row r="425" spans="1:25" x14ac:dyDescent="0.25">
      <c r="A425" t="s">
        <v>1271</v>
      </c>
      <c r="B425">
        <v>41938</v>
      </c>
      <c r="C425" t="str">
        <f t="shared" si="36"/>
        <v>2014</v>
      </c>
      <c r="D425" t="s">
        <v>1272</v>
      </c>
      <c r="E425" t="s">
        <v>332</v>
      </c>
      <c r="F425" t="s">
        <v>257</v>
      </c>
      <c r="G425" t="s">
        <v>258</v>
      </c>
      <c r="H425" t="s">
        <v>241</v>
      </c>
      <c r="I425" t="s">
        <v>333</v>
      </c>
      <c r="J425" t="s">
        <v>304</v>
      </c>
      <c r="K425" t="s">
        <v>603</v>
      </c>
      <c r="L425" t="s">
        <v>245</v>
      </c>
      <c r="M425" t="s">
        <v>246</v>
      </c>
      <c r="N425" t="s">
        <v>247</v>
      </c>
      <c r="O425">
        <v>41939</v>
      </c>
      <c r="P425">
        <v>3.65</v>
      </c>
      <c r="Q425">
        <v>5.98</v>
      </c>
      <c r="R425">
        <f t="shared" si="37"/>
        <v>2.3300000000000005</v>
      </c>
      <c r="S425">
        <v>19</v>
      </c>
      <c r="T425">
        <f t="shared" si="38"/>
        <v>113.62</v>
      </c>
      <c r="U425">
        <v>0.01</v>
      </c>
      <c r="V425">
        <f t="shared" si="39"/>
        <v>1.1362000000000001</v>
      </c>
      <c r="W425">
        <f t="shared" si="40"/>
        <v>112.4838</v>
      </c>
      <c r="X425">
        <v>1.49</v>
      </c>
      <c r="Y425">
        <f t="shared" si="41"/>
        <v>113.9738</v>
      </c>
    </row>
    <row r="426" spans="1:25" x14ac:dyDescent="0.25">
      <c r="A426" t="s">
        <v>1273</v>
      </c>
      <c r="B426">
        <v>41939</v>
      </c>
      <c r="C426" t="str">
        <f t="shared" si="36"/>
        <v>2014</v>
      </c>
      <c r="D426" t="s">
        <v>1135</v>
      </c>
      <c r="E426" t="s">
        <v>528</v>
      </c>
      <c r="F426" t="s">
        <v>239</v>
      </c>
      <c r="G426" t="s">
        <v>240</v>
      </c>
      <c r="H426" t="s">
        <v>274</v>
      </c>
      <c r="I426" t="s">
        <v>251</v>
      </c>
      <c r="J426" t="s">
        <v>279</v>
      </c>
      <c r="K426" t="s">
        <v>953</v>
      </c>
      <c r="L426" t="s">
        <v>245</v>
      </c>
      <c r="M426" t="s">
        <v>253</v>
      </c>
      <c r="N426" t="s">
        <v>247</v>
      </c>
      <c r="O426">
        <v>41943</v>
      </c>
      <c r="P426">
        <v>2.16</v>
      </c>
      <c r="Q426">
        <v>3.85</v>
      </c>
      <c r="R426">
        <f t="shared" si="37"/>
        <v>1.69</v>
      </c>
      <c r="S426">
        <v>10</v>
      </c>
      <c r="T426">
        <f t="shared" si="38"/>
        <v>38.5</v>
      </c>
      <c r="U426">
        <v>0.06</v>
      </c>
      <c r="V426">
        <f t="shared" si="39"/>
        <v>2.31</v>
      </c>
      <c r="W426">
        <f t="shared" si="40"/>
        <v>36.19</v>
      </c>
      <c r="X426">
        <v>0.7</v>
      </c>
      <c r="Y426">
        <f t="shared" si="41"/>
        <v>36.89</v>
      </c>
    </row>
    <row r="427" spans="1:25" x14ac:dyDescent="0.25">
      <c r="A427" t="s">
        <v>1274</v>
      </c>
      <c r="B427">
        <v>41940</v>
      </c>
      <c r="C427" t="str">
        <f t="shared" si="36"/>
        <v>2014</v>
      </c>
      <c r="D427" t="s">
        <v>470</v>
      </c>
      <c r="E427" t="s">
        <v>471</v>
      </c>
      <c r="F427" t="s">
        <v>448</v>
      </c>
      <c r="G427" t="s">
        <v>449</v>
      </c>
      <c r="H427" t="s">
        <v>241</v>
      </c>
      <c r="I427" t="s">
        <v>381</v>
      </c>
      <c r="J427" t="s">
        <v>304</v>
      </c>
      <c r="K427" t="s">
        <v>1275</v>
      </c>
      <c r="L427" t="s">
        <v>268</v>
      </c>
      <c r="M427" t="s">
        <v>246</v>
      </c>
      <c r="N427" t="s">
        <v>247</v>
      </c>
      <c r="O427">
        <v>41941</v>
      </c>
      <c r="P427">
        <v>17.84</v>
      </c>
      <c r="Q427">
        <v>34.99</v>
      </c>
      <c r="R427">
        <f t="shared" si="37"/>
        <v>17.150000000000002</v>
      </c>
      <c r="S427">
        <v>29</v>
      </c>
      <c r="T427">
        <f t="shared" si="38"/>
        <v>1014.71</v>
      </c>
      <c r="U427">
        <v>0.09</v>
      </c>
      <c r="V427">
        <f t="shared" si="39"/>
        <v>91.323899999999995</v>
      </c>
      <c r="W427">
        <f t="shared" si="40"/>
        <v>923.38610000000006</v>
      </c>
      <c r="X427">
        <v>5.5</v>
      </c>
      <c r="Y427">
        <f t="shared" si="41"/>
        <v>928.88610000000006</v>
      </c>
    </row>
    <row r="428" spans="1:25" x14ac:dyDescent="0.25">
      <c r="A428" t="s">
        <v>1276</v>
      </c>
      <c r="B428">
        <v>41941</v>
      </c>
      <c r="C428" t="str">
        <f t="shared" si="36"/>
        <v>2014</v>
      </c>
      <c r="D428" t="s">
        <v>1277</v>
      </c>
      <c r="E428" t="s">
        <v>438</v>
      </c>
      <c r="F428" t="s">
        <v>257</v>
      </c>
      <c r="G428" t="s">
        <v>258</v>
      </c>
      <c r="H428" t="s">
        <v>259</v>
      </c>
      <c r="I428" t="s">
        <v>309</v>
      </c>
      <c r="J428" t="s">
        <v>243</v>
      </c>
      <c r="K428" t="s">
        <v>387</v>
      </c>
      <c r="L428" t="s">
        <v>245</v>
      </c>
      <c r="M428" t="s">
        <v>323</v>
      </c>
      <c r="N428" t="s">
        <v>247</v>
      </c>
      <c r="O428">
        <v>41943</v>
      </c>
      <c r="P428">
        <v>4.79</v>
      </c>
      <c r="Q428">
        <v>11.97</v>
      </c>
      <c r="R428">
        <f t="shared" si="37"/>
        <v>7.1800000000000006</v>
      </c>
      <c r="S428">
        <v>23</v>
      </c>
      <c r="T428">
        <f t="shared" si="38"/>
        <v>275.31</v>
      </c>
      <c r="U428">
        <v>0.01</v>
      </c>
      <c r="V428">
        <f t="shared" si="39"/>
        <v>2.7530999999999999</v>
      </c>
      <c r="W428">
        <f t="shared" si="40"/>
        <v>272.55689999999998</v>
      </c>
      <c r="X428">
        <v>5.81</v>
      </c>
      <c r="Y428">
        <f t="shared" si="41"/>
        <v>278.36689999999999</v>
      </c>
    </row>
    <row r="429" spans="1:25" x14ac:dyDescent="0.25">
      <c r="A429" t="s">
        <v>1278</v>
      </c>
      <c r="B429">
        <v>41944</v>
      </c>
      <c r="C429" t="str">
        <f t="shared" si="36"/>
        <v>2014</v>
      </c>
      <c r="D429" t="s">
        <v>1279</v>
      </c>
      <c r="E429" t="s">
        <v>288</v>
      </c>
      <c r="F429" t="s">
        <v>257</v>
      </c>
      <c r="G429" t="s">
        <v>258</v>
      </c>
      <c r="H429" t="s">
        <v>293</v>
      </c>
      <c r="I429" t="s">
        <v>284</v>
      </c>
      <c r="J429" t="s">
        <v>294</v>
      </c>
      <c r="K429" t="s">
        <v>949</v>
      </c>
      <c r="L429" t="s">
        <v>245</v>
      </c>
      <c r="M429" t="s">
        <v>246</v>
      </c>
      <c r="N429" t="s">
        <v>247</v>
      </c>
      <c r="O429">
        <v>41946</v>
      </c>
      <c r="P429">
        <v>52.07</v>
      </c>
      <c r="Q429">
        <v>83.98</v>
      </c>
      <c r="R429">
        <f t="shared" si="37"/>
        <v>31.910000000000004</v>
      </c>
      <c r="S429">
        <v>24</v>
      </c>
      <c r="T429">
        <f t="shared" si="38"/>
        <v>2015.52</v>
      </c>
      <c r="U429">
        <v>0.05</v>
      </c>
      <c r="V429">
        <f t="shared" si="39"/>
        <v>100.77600000000001</v>
      </c>
      <c r="W429">
        <f t="shared" si="40"/>
        <v>1914.7439999999999</v>
      </c>
      <c r="X429">
        <v>5.01</v>
      </c>
      <c r="Y429">
        <f t="shared" si="41"/>
        <v>1919.7539999999999</v>
      </c>
    </row>
    <row r="430" spans="1:25" x14ac:dyDescent="0.25">
      <c r="A430" t="s">
        <v>1280</v>
      </c>
      <c r="B430">
        <v>41945</v>
      </c>
      <c r="C430" t="str">
        <f t="shared" si="36"/>
        <v>2014</v>
      </c>
      <c r="D430" t="s">
        <v>1281</v>
      </c>
      <c r="E430" t="s">
        <v>1282</v>
      </c>
      <c r="F430" t="s">
        <v>257</v>
      </c>
      <c r="G430" t="s">
        <v>258</v>
      </c>
      <c r="H430" t="s">
        <v>241</v>
      </c>
      <c r="I430" t="s">
        <v>275</v>
      </c>
      <c r="J430" t="s">
        <v>243</v>
      </c>
      <c r="K430" t="s">
        <v>305</v>
      </c>
      <c r="L430" t="s">
        <v>245</v>
      </c>
      <c r="M430" t="s">
        <v>246</v>
      </c>
      <c r="N430" t="s">
        <v>247</v>
      </c>
      <c r="O430">
        <v>41947</v>
      </c>
      <c r="P430">
        <v>4.8899999999999997</v>
      </c>
      <c r="Q430">
        <v>7.64</v>
      </c>
      <c r="R430">
        <f t="shared" si="37"/>
        <v>2.75</v>
      </c>
      <c r="S430">
        <v>12</v>
      </c>
      <c r="T430">
        <f t="shared" si="38"/>
        <v>91.679999999999993</v>
      </c>
      <c r="U430">
        <v>0.02</v>
      </c>
      <c r="V430">
        <f t="shared" si="39"/>
        <v>1.8335999999999999</v>
      </c>
      <c r="W430">
        <f t="shared" si="40"/>
        <v>89.846399999999988</v>
      </c>
      <c r="X430">
        <v>1.39</v>
      </c>
      <c r="Y430">
        <f t="shared" si="41"/>
        <v>91.236399999999989</v>
      </c>
    </row>
    <row r="431" spans="1:25" x14ac:dyDescent="0.25">
      <c r="A431" t="s">
        <v>1283</v>
      </c>
      <c r="B431">
        <v>41946</v>
      </c>
      <c r="C431" t="str">
        <f t="shared" si="36"/>
        <v>2014</v>
      </c>
      <c r="D431" t="s">
        <v>1284</v>
      </c>
      <c r="E431" t="s">
        <v>1001</v>
      </c>
      <c r="F431" t="s">
        <v>239</v>
      </c>
      <c r="G431" t="s">
        <v>240</v>
      </c>
      <c r="H431" t="s">
        <v>274</v>
      </c>
      <c r="I431" t="s">
        <v>251</v>
      </c>
      <c r="J431" t="s">
        <v>279</v>
      </c>
      <c r="K431" t="s">
        <v>360</v>
      </c>
      <c r="L431" t="s">
        <v>245</v>
      </c>
      <c r="M431" t="s">
        <v>253</v>
      </c>
      <c r="N431" t="s">
        <v>247</v>
      </c>
      <c r="O431">
        <v>41950</v>
      </c>
      <c r="P431">
        <v>2.52</v>
      </c>
      <c r="Q431">
        <v>4</v>
      </c>
      <c r="R431">
        <f t="shared" si="37"/>
        <v>1.48</v>
      </c>
      <c r="S431">
        <v>32</v>
      </c>
      <c r="T431">
        <f t="shared" si="38"/>
        <v>128</v>
      </c>
      <c r="U431">
        <v>0.09</v>
      </c>
      <c r="V431">
        <f t="shared" si="39"/>
        <v>11.52</v>
      </c>
      <c r="W431">
        <f t="shared" si="40"/>
        <v>116.48</v>
      </c>
      <c r="X431">
        <v>1.3</v>
      </c>
      <c r="Y431">
        <f t="shared" si="41"/>
        <v>117.78</v>
      </c>
    </row>
    <row r="432" spans="1:25" x14ac:dyDescent="0.25">
      <c r="A432" t="s">
        <v>1285</v>
      </c>
      <c r="B432">
        <v>41946</v>
      </c>
      <c r="C432" t="str">
        <f t="shared" si="36"/>
        <v>2014</v>
      </c>
      <c r="D432" t="s">
        <v>1286</v>
      </c>
      <c r="E432" t="s">
        <v>1220</v>
      </c>
      <c r="F432" t="s">
        <v>257</v>
      </c>
      <c r="G432" t="s">
        <v>258</v>
      </c>
      <c r="H432" t="s">
        <v>274</v>
      </c>
      <c r="I432" t="s">
        <v>492</v>
      </c>
      <c r="J432" t="s">
        <v>304</v>
      </c>
      <c r="K432" t="s">
        <v>598</v>
      </c>
      <c r="L432" t="s">
        <v>268</v>
      </c>
      <c r="M432" t="s">
        <v>246</v>
      </c>
      <c r="N432" t="s">
        <v>247</v>
      </c>
      <c r="O432">
        <v>41947</v>
      </c>
      <c r="P432">
        <v>6.51</v>
      </c>
      <c r="Q432">
        <v>30.98</v>
      </c>
      <c r="R432">
        <f t="shared" si="37"/>
        <v>24.47</v>
      </c>
      <c r="S432">
        <v>12</v>
      </c>
      <c r="T432">
        <f t="shared" si="38"/>
        <v>371.76</v>
      </c>
      <c r="U432">
        <v>0</v>
      </c>
      <c r="V432">
        <f t="shared" si="39"/>
        <v>0</v>
      </c>
      <c r="W432">
        <f t="shared" si="40"/>
        <v>371.76</v>
      </c>
      <c r="X432">
        <v>6.5</v>
      </c>
      <c r="Y432">
        <f t="shared" si="41"/>
        <v>378.26</v>
      </c>
    </row>
    <row r="433" spans="1:25" x14ac:dyDescent="0.25">
      <c r="A433" t="s">
        <v>1287</v>
      </c>
      <c r="B433">
        <v>41950</v>
      </c>
      <c r="C433" t="str">
        <f t="shared" si="36"/>
        <v>2014</v>
      </c>
      <c r="D433" t="s">
        <v>1053</v>
      </c>
      <c r="E433" t="s">
        <v>1054</v>
      </c>
      <c r="F433" t="s">
        <v>448</v>
      </c>
      <c r="G433" t="s">
        <v>449</v>
      </c>
      <c r="H433" t="s">
        <v>259</v>
      </c>
      <c r="I433" t="s">
        <v>299</v>
      </c>
      <c r="J433" t="s">
        <v>304</v>
      </c>
      <c r="K433" t="s">
        <v>939</v>
      </c>
      <c r="L433" t="s">
        <v>268</v>
      </c>
      <c r="M433" t="s">
        <v>647</v>
      </c>
      <c r="N433" t="s">
        <v>263</v>
      </c>
      <c r="O433">
        <v>41952</v>
      </c>
      <c r="P433">
        <v>377.99</v>
      </c>
      <c r="Q433">
        <v>599.99</v>
      </c>
      <c r="R433">
        <f t="shared" si="37"/>
        <v>222</v>
      </c>
      <c r="S433">
        <v>41</v>
      </c>
      <c r="T433">
        <f t="shared" si="38"/>
        <v>24599.59</v>
      </c>
      <c r="U433">
        <v>7.0000000000000007E-2</v>
      </c>
      <c r="V433">
        <f t="shared" si="39"/>
        <v>1721.9713000000002</v>
      </c>
      <c r="W433">
        <f t="shared" si="40"/>
        <v>22877.618699999999</v>
      </c>
      <c r="X433">
        <v>24.49</v>
      </c>
      <c r="Y433">
        <f t="shared" si="41"/>
        <v>22902.108700000001</v>
      </c>
    </row>
    <row r="434" spans="1:25" x14ac:dyDescent="0.25">
      <c r="A434" t="s">
        <v>1288</v>
      </c>
      <c r="B434">
        <v>41953</v>
      </c>
      <c r="C434" t="str">
        <f t="shared" si="36"/>
        <v>2014</v>
      </c>
      <c r="D434" t="s">
        <v>1289</v>
      </c>
      <c r="E434" t="s">
        <v>1290</v>
      </c>
      <c r="F434" t="s">
        <v>257</v>
      </c>
      <c r="G434" t="s">
        <v>258</v>
      </c>
      <c r="H434" t="s">
        <v>241</v>
      </c>
      <c r="I434" t="s">
        <v>260</v>
      </c>
      <c r="J434" t="s">
        <v>243</v>
      </c>
      <c r="K434" t="s">
        <v>939</v>
      </c>
      <c r="L434" t="s">
        <v>268</v>
      </c>
      <c r="M434" t="s">
        <v>647</v>
      </c>
      <c r="N434" t="s">
        <v>247</v>
      </c>
      <c r="O434">
        <v>41955</v>
      </c>
      <c r="P434">
        <v>377.99</v>
      </c>
      <c r="Q434">
        <v>599.99</v>
      </c>
      <c r="R434">
        <f t="shared" si="37"/>
        <v>222</v>
      </c>
      <c r="S434">
        <v>20</v>
      </c>
      <c r="T434">
        <f t="shared" si="38"/>
        <v>11999.8</v>
      </c>
      <c r="U434">
        <v>7.0000000000000007E-2</v>
      </c>
      <c r="V434">
        <f t="shared" si="39"/>
        <v>839.98599999999999</v>
      </c>
      <c r="W434">
        <f t="shared" si="40"/>
        <v>11159.813999999998</v>
      </c>
      <c r="X434">
        <v>24.49</v>
      </c>
      <c r="Y434">
        <f t="shared" si="41"/>
        <v>11184.303999999998</v>
      </c>
    </row>
    <row r="435" spans="1:25" x14ac:dyDescent="0.25">
      <c r="A435" t="s">
        <v>1291</v>
      </c>
      <c r="B435">
        <v>41954</v>
      </c>
      <c r="C435" t="str">
        <f t="shared" si="36"/>
        <v>2014</v>
      </c>
      <c r="D435" t="s">
        <v>1292</v>
      </c>
      <c r="E435" t="s">
        <v>238</v>
      </c>
      <c r="F435" t="s">
        <v>239</v>
      </c>
      <c r="G435" t="s">
        <v>240</v>
      </c>
      <c r="H435" t="s">
        <v>241</v>
      </c>
      <c r="I435" t="s">
        <v>242</v>
      </c>
      <c r="J435" t="s">
        <v>261</v>
      </c>
      <c r="K435" t="s">
        <v>1293</v>
      </c>
      <c r="L435" t="s">
        <v>245</v>
      </c>
      <c r="M435" t="s">
        <v>253</v>
      </c>
      <c r="N435" t="s">
        <v>247</v>
      </c>
      <c r="O435">
        <v>41955</v>
      </c>
      <c r="P435">
        <v>0.94</v>
      </c>
      <c r="Q435">
        <v>1.88</v>
      </c>
      <c r="R435">
        <f t="shared" si="37"/>
        <v>0.94</v>
      </c>
      <c r="S435">
        <v>36</v>
      </c>
      <c r="T435">
        <f t="shared" si="38"/>
        <v>67.679999999999993</v>
      </c>
      <c r="U435">
        <v>0.1</v>
      </c>
      <c r="V435">
        <f t="shared" si="39"/>
        <v>6.7679999999999998</v>
      </c>
      <c r="W435">
        <f t="shared" si="40"/>
        <v>60.911999999999992</v>
      </c>
      <c r="X435">
        <v>0.79</v>
      </c>
      <c r="Y435">
        <f t="shared" si="41"/>
        <v>61.701999999999991</v>
      </c>
    </row>
    <row r="436" spans="1:25" x14ac:dyDescent="0.25">
      <c r="A436" t="s">
        <v>1294</v>
      </c>
      <c r="B436">
        <v>41959</v>
      </c>
      <c r="C436" t="str">
        <f t="shared" si="36"/>
        <v>2014</v>
      </c>
      <c r="D436" t="s">
        <v>1149</v>
      </c>
      <c r="E436" t="s">
        <v>1150</v>
      </c>
      <c r="F436" t="s">
        <v>448</v>
      </c>
      <c r="G436" t="s">
        <v>449</v>
      </c>
      <c r="H436" t="s">
        <v>274</v>
      </c>
      <c r="I436" t="s">
        <v>284</v>
      </c>
      <c r="J436" t="s">
        <v>294</v>
      </c>
      <c r="K436" t="s">
        <v>761</v>
      </c>
      <c r="L436" t="s">
        <v>268</v>
      </c>
      <c r="M436" t="s">
        <v>246</v>
      </c>
      <c r="N436" t="s">
        <v>247</v>
      </c>
      <c r="O436">
        <v>41961</v>
      </c>
      <c r="P436">
        <v>62.4</v>
      </c>
      <c r="Q436">
        <v>155.99</v>
      </c>
      <c r="R436">
        <f t="shared" si="37"/>
        <v>93.59</v>
      </c>
      <c r="S436">
        <v>6</v>
      </c>
      <c r="T436">
        <f t="shared" si="38"/>
        <v>935.94</v>
      </c>
      <c r="U436">
        <v>0.02</v>
      </c>
      <c r="V436">
        <f t="shared" si="39"/>
        <v>18.718800000000002</v>
      </c>
      <c r="W436">
        <f t="shared" si="40"/>
        <v>917.22120000000007</v>
      </c>
      <c r="X436">
        <v>8.08</v>
      </c>
      <c r="Y436">
        <f t="shared" si="41"/>
        <v>925.30120000000011</v>
      </c>
    </row>
    <row r="437" spans="1:25" x14ac:dyDescent="0.25">
      <c r="A437" t="s">
        <v>1295</v>
      </c>
      <c r="B437">
        <v>41959</v>
      </c>
      <c r="C437" t="str">
        <f t="shared" si="36"/>
        <v>2014</v>
      </c>
      <c r="D437" t="s">
        <v>1296</v>
      </c>
      <c r="E437" t="s">
        <v>1178</v>
      </c>
      <c r="F437" t="s">
        <v>257</v>
      </c>
      <c r="G437" t="s">
        <v>258</v>
      </c>
      <c r="H437" t="s">
        <v>274</v>
      </c>
      <c r="I437" t="s">
        <v>504</v>
      </c>
      <c r="J437" t="s">
        <v>279</v>
      </c>
      <c r="K437" t="s">
        <v>607</v>
      </c>
      <c r="L437" t="s">
        <v>245</v>
      </c>
      <c r="M437" t="s">
        <v>246</v>
      </c>
      <c r="N437" t="s">
        <v>247</v>
      </c>
      <c r="O437">
        <v>41964</v>
      </c>
      <c r="P437">
        <v>4.46</v>
      </c>
      <c r="Q437">
        <v>10.89</v>
      </c>
      <c r="R437">
        <f t="shared" si="37"/>
        <v>6.4300000000000006</v>
      </c>
      <c r="S437">
        <v>8</v>
      </c>
      <c r="T437">
        <f t="shared" si="38"/>
        <v>87.12</v>
      </c>
      <c r="U437">
        <v>0.09</v>
      </c>
      <c r="V437">
        <f t="shared" si="39"/>
        <v>7.8407999999999998</v>
      </c>
      <c r="W437">
        <f t="shared" si="40"/>
        <v>79.279200000000003</v>
      </c>
      <c r="X437">
        <v>4.5</v>
      </c>
      <c r="Y437">
        <f t="shared" si="41"/>
        <v>83.779200000000003</v>
      </c>
    </row>
    <row r="438" spans="1:25" x14ac:dyDescent="0.25">
      <c r="A438" t="s">
        <v>1297</v>
      </c>
      <c r="B438">
        <v>41960</v>
      </c>
      <c r="C438" t="str">
        <f t="shared" si="36"/>
        <v>2014</v>
      </c>
      <c r="D438" t="s">
        <v>297</v>
      </c>
      <c r="E438" t="s">
        <v>298</v>
      </c>
      <c r="F438" t="s">
        <v>257</v>
      </c>
      <c r="G438" t="s">
        <v>258</v>
      </c>
      <c r="H438" t="s">
        <v>259</v>
      </c>
      <c r="I438" t="s">
        <v>299</v>
      </c>
      <c r="J438" t="s">
        <v>243</v>
      </c>
      <c r="K438" t="s">
        <v>656</v>
      </c>
      <c r="L438" t="s">
        <v>245</v>
      </c>
      <c r="M438" t="s">
        <v>253</v>
      </c>
      <c r="N438" t="s">
        <v>247</v>
      </c>
      <c r="O438">
        <v>41962</v>
      </c>
      <c r="P438">
        <v>0.93</v>
      </c>
      <c r="Q438">
        <v>1.48</v>
      </c>
      <c r="R438">
        <f t="shared" si="37"/>
        <v>0.54999999999999993</v>
      </c>
      <c r="S438">
        <v>28</v>
      </c>
      <c r="T438">
        <f t="shared" si="38"/>
        <v>41.44</v>
      </c>
      <c r="U438">
        <v>0.04</v>
      </c>
      <c r="V438">
        <f t="shared" si="39"/>
        <v>1.6576</v>
      </c>
      <c r="W438">
        <f t="shared" si="40"/>
        <v>39.782399999999996</v>
      </c>
      <c r="X438">
        <v>0.7</v>
      </c>
      <c r="Y438">
        <f t="shared" si="41"/>
        <v>40.482399999999998</v>
      </c>
    </row>
    <row r="439" spans="1:25" x14ac:dyDescent="0.25">
      <c r="A439" t="s">
        <v>1298</v>
      </c>
      <c r="B439">
        <v>41961</v>
      </c>
      <c r="C439" t="str">
        <f t="shared" si="36"/>
        <v>2014</v>
      </c>
      <c r="D439" t="s">
        <v>1236</v>
      </c>
      <c r="E439" t="s">
        <v>288</v>
      </c>
      <c r="F439" t="s">
        <v>257</v>
      </c>
      <c r="G439" t="s">
        <v>258</v>
      </c>
      <c r="H439" t="s">
        <v>259</v>
      </c>
      <c r="I439" t="s">
        <v>284</v>
      </c>
      <c r="J439" t="s">
        <v>261</v>
      </c>
      <c r="K439" t="s">
        <v>578</v>
      </c>
      <c r="L439" t="s">
        <v>245</v>
      </c>
      <c r="M439" t="s">
        <v>253</v>
      </c>
      <c r="N439" t="s">
        <v>247</v>
      </c>
      <c r="O439">
        <v>41963</v>
      </c>
      <c r="P439">
        <v>1.31</v>
      </c>
      <c r="Q439">
        <v>2.84</v>
      </c>
      <c r="R439">
        <f t="shared" si="37"/>
        <v>1.5299999999999998</v>
      </c>
      <c r="S439">
        <v>12</v>
      </c>
      <c r="T439">
        <f t="shared" si="38"/>
        <v>34.08</v>
      </c>
      <c r="U439">
        <v>0.1</v>
      </c>
      <c r="V439">
        <f t="shared" si="39"/>
        <v>3.4079999999999999</v>
      </c>
      <c r="W439">
        <f t="shared" si="40"/>
        <v>30.671999999999997</v>
      </c>
      <c r="X439">
        <v>0.93</v>
      </c>
      <c r="Y439">
        <f t="shared" si="41"/>
        <v>31.601999999999997</v>
      </c>
    </row>
    <row r="440" spans="1:25" x14ac:dyDescent="0.25">
      <c r="A440" t="s">
        <v>1299</v>
      </c>
      <c r="B440">
        <v>41962</v>
      </c>
      <c r="C440" t="str">
        <f t="shared" si="36"/>
        <v>2014</v>
      </c>
      <c r="D440" t="s">
        <v>1277</v>
      </c>
      <c r="E440" t="s">
        <v>438</v>
      </c>
      <c r="F440" t="s">
        <v>257</v>
      </c>
      <c r="G440" t="s">
        <v>258</v>
      </c>
      <c r="H440" t="s">
        <v>259</v>
      </c>
      <c r="I440" t="s">
        <v>309</v>
      </c>
      <c r="J440" t="s">
        <v>304</v>
      </c>
      <c r="K440" t="s">
        <v>659</v>
      </c>
      <c r="L440" t="s">
        <v>245</v>
      </c>
      <c r="M440" t="s">
        <v>246</v>
      </c>
      <c r="N440" t="s">
        <v>263</v>
      </c>
      <c r="O440">
        <v>41964</v>
      </c>
      <c r="P440">
        <v>67.73</v>
      </c>
      <c r="Q440">
        <v>165.2</v>
      </c>
      <c r="R440">
        <f t="shared" si="37"/>
        <v>97.469999999999985</v>
      </c>
      <c r="S440">
        <v>46</v>
      </c>
      <c r="T440">
        <f t="shared" si="38"/>
        <v>7599.2</v>
      </c>
      <c r="U440">
        <v>0.02</v>
      </c>
      <c r="V440">
        <f t="shared" si="39"/>
        <v>151.98400000000001</v>
      </c>
      <c r="W440">
        <f t="shared" si="40"/>
        <v>7447.2159999999994</v>
      </c>
      <c r="X440">
        <v>19.989999999999998</v>
      </c>
      <c r="Y440">
        <f t="shared" si="41"/>
        <v>7467.2059999999992</v>
      </c>
    </row>
    <row r="441" spans="1:25" x14ac:dyDescent="0.25">
      <c r="A441" t="s">
        <v>1300</v>
      </c>
      <c r="B441">
        <v>41964</v>
      </c>
      <c r="C441" t="str">
        <f t="shared" si="36"/>
        <v>2014</v>
      </c>
      <c r="D441" t="s">
        <v>640</v>
      </c>
      <c r="E441" t="s">
        <v>402</v>
      </c>
      <c r="F441" t="s">
        <v>257</v>
      </c>
      <c r="G441" t="s">
        <v>258</v>
      </c>
      <c r="H441" t="s">
        <v>241</v>
      </c>
      <c r="I441" t="s">
        <v>333</v>
      </c>
      <c r="J441" t="s">
        <v>304</v>
      </c>
      <c r="K441" t="s">
        <v>377</v>
      </c>
      <c r="L441" t="s">
        <v>268</v>
      </c>
      <c r="M441" t="s">
        <v>246</v>
      </c>
      <c r="N441" t="s">
        <v>247</v>
      </c>
      <c r="O441">
        <v>41966</v>
      </c>
      <c r="P441">
        <v>32.020000000000003</v>
      </c>
      <c r="Q441">
        <v>152.47999999999999</v>
      </c>
      <c r="R441">
        <f t="shared" si="37"/>
        <v>120.45999999999998</v>
      </c>
      <c r="S441">
        <v>29</v>
      </c>
      <c r="T441">
        <f t="shared" si="38"/>
        <v>4421.92</v>
      </c>
      <c r="U441">
        <v>0.09</v>
      </c>
      <c r="V441">
        <f t="shared" si="39"/>
        <v>397.97280000000001</v>
      </c>
      <c r="W441">
        <f t="shared" si="40"/>
        <v>4023.9472000000001</v>
      </c>
      <c r="X441">
        <v>4</v>
      </c>
      <c r="Y441">
        <f t="shared" si="41"/>
        <v>4027.9472000000001</v>
      </c>
    </row>
    <row r="442" spans="1:25" x14ac:dyDescent="0.25">
      <c r="A442" t="s">
        <v>1301</v>
      </c>
      <c r="B442">
        <v>41965</v>
      </c>
      <c r="C442" t="str">
        <f t="shared" si="36"/>
        <v>2014</v>
      </c>
      <c r="D442" t="s">
        <v>1302</v>
      </c>
      <c r="E442" t="s">
        <v>1303</v>
      </c>
      <c r="F442" t="s">
        <v>257</v>
      </c>
      <c r="G442" t="s">
        <v>258</v>
      </c>
      <c r="H442" t="s">
        <v>241</v>
      </c>
      <c r="I442" t="s">
        <v>260</v>
      </c>
      <c r="J442" t="s">
        <v>243</v>
      </c>
      <c r="K442" t="s">
        <v>421</v>
      </c>
      <c r="L442" t="s">
        <v>245</v>
      </c>
      <c r="M442" t="s">
        <v>246</v>
      </c>
      <c r="N442" t="s">
        <v>247</v>
      </c>
      <c r="O442">
        <v>41965</v>
      </c>
      <c r="P442">
        <v>13.88</v>
      </c>
      <c r="Q442">
        <v>22.38</v>
      </c>
      <c r="R442">
        <f t="shared" si="37"/>
        <v>8.4999999999999982</v>
      </c>
      <c r="S442">
        <v>10</v>
      </c>
      <c r="T442">
        <f t="shared" si="38"/>
        <v>223.79999999999998</v>
      </c>
      <c r="U442">
        <v>0.01</v>
      </c>
      <c r="V442">
        <f t="shared" si="39"/>
        <v>2.238</v>
      </c>
      <c r="W442">
        <f t="shared" si="40"/>
        <v>221.56199999999998</v>
      </c>
      <c r="X442">
        <v>15.1</v>
      </c>
      <c r="Y442">
        <f t="shared" si="41"/>
        <v>236.66199999999998</v>
      </c>
    </row>
    <row r="443" spans="1:25" x14ac:dyDescent="0.25">
      <c r="A443" t="s">
        <v>1304</v>
      </c>
      <c r="B443">
        <v>41965</v>
      </c>
      <c r="C443" t="str">
        <f t="shared" si="36"/>
        <v>2014</v>
      </c>
      <c r="D443" t="s">
        <v>858</v>
      </c>
      <c r="E443" t="s">
        <v>650</v>
      </c>
      <c r="F443" t="s">
        <v>257</v>
      </c>
      <c r="G443" t="s">
        <v>258</v>
      </c>
      <c r="H443" t="s">
        <v>274</v>
      </c>
      <c r="I443" t="s">
        <v>299</v>
      </c>
      <c r="J443" t="s">
        <v>261</v>
      </c>
      <c r="K443" t="s">
        <v>578</v>
      </c>
      <c r="L443" t="s">
        <v>245</v>
      </c>
      <c r="M443" t="s">
        <v>253</v>
      </c>
      <c r="N443" t="s">
        <v>247</v>
      </c>
      <c r="O443">
        <v>41967</v>
      </c>
      <c r="P443">
        <v>1.31</v>
      </c>
      <c r="Q443">
        <v>2.84</v>
      </c>
      <c r="R443">
        <f t="shared" si="37"/>
        <v>1.5299999999999998</v>
      </c>
      <c r="S443">
        <v>39</v>
      </c>
      <c r="T443">
        <f t="shared" si="38"/>
        <v>110.75999999999999</v>
      </c>
      <c r="U443">
        <v>0.05</v>
      </c>
      <c r="V443">
        <f t="shared" si="39"/>
        <v>5.5380000000000003</v>
      </c>
      <c r="W443">
        <f t="shared" si="40"/>
        <v>105.22199999999999</v>
      </c>
      <c r="X443">
        <v>0.93</v>
      </c>
      <c r="Y443">
        <f t="shared" si="41"/>
        <v>106.152</v>
      </c>
    </row>
    <row r="444" spans="1:25" x14ac:dyDescent="0.25">
      <c r="A444" t="s">
        <v>1305</v>
      </c>
      <c r="B444">
        <v>41966</v>
      </c>
      <c r="C444" t="str">
        <f t="shared" si="36"/>
        <v>2014</v>
      </c>
      <c r="D444" t="s">
        <v>1306</v>
      </c>
      <c r="E444" t="s">
        <v>1307</v>
      </c>
      <c r="F444" t="s">
        <v>257</v>
      </c>
      <c r="G444" t="s">
        <v>258</v>
      </c>
      <c r="H444" t="s">
        <v>293</v>
      </c>
      <c r="I444" t="s">
        <v>372</v>
      </c>
      <c r="J444" t="s">
        <v>261</v>
      </c>
      <c r="K444" t="s">
        <v>479</v>
      </c>
      <c r="L444" t="s">
        <v>245</v>
      </c>
      <c r="M444" t="s">
        <v>246</v>
      </c>
      <c r="N444" t="s">
        <v>263</v>
      </c>
      <c r="O444">
        <v>41969</v>
      </c>
      <c r="P444">
        <v>8.92</v>
      </c>
      <c r="Q444">
        <v>29.74</v>
      </c>
      <c r="R444">
        <f t="shared" si="37"/>
        <v>20.82</v>
      </c>
      <c r="S444">
        <v>34</v>
      </c>
      <c r="T444">
        <f t="shared" si="38"/>
        <v>1011.16</v>
      </c>
      <c r="U444">
        <v>0.09</v>
      </c>
      <c r="V444">
        <f t="shared" si="39"/>
        <v>91.00439999999999</v>
      </c>
      <c r="W444">
        <f t="shared" si="40"/>
        <v>920.15559999999994</v>
      </c>
      <c r="X444">
        <v>6.64</v>
      </c>
      <c r="Y444">
        <f t="shared" si="41"/>
        <v>926.79559999999992</v>
      </c>
    </row>
    <row r="445" spans="1:25" x14ac:dyDescent="0.25">
      <c r="A445" t="s">
        <v>1308</v>
      </c>
      <c r="B445">
        <v>41966</v>
      </c>
      <c r="C445" t="str">
        <f t="shared" si="36"/>
        <v>2014</v>
      </c>
      <c r="D445" t="s">
        <v>527</v>
      </c>
      <c r="E445" t="s">
        <v>528</v>
      </c>
      <c r="F445" t="s">
        <v>239</v>
      </c>
      <c r="G445" t="s">
        <v>240</v>
      </c>
      <c r="H445" t="s">
        <v>274</v>
      </c>
      <c r="I445" t="s">
        <v>251</v>
      </c>
      <c r="J445" t="s">
        <v>279</v>
      </c>
      <c r="K445" t="s">
        <v>594</v>
      </c>
      <c r="L445" t="s">
        <v>268</v>
      </c>
      <c r="M445" t="s">
        <v>269</v>
      </c>
      <c r="N445" t="s">
        <v>270</v>
      </c>
      <c r="O445">
        <v>41970</v>
      </c>
      <c r="P445">
        <v>278.99</v>
      </c>
      <c r="Q445">
        <v>449.99</v>
      </c>
      <c r="R445">
        <f t="shared" si="37"/>
        <v>171</v>
      </c>
      <c r="S445">
        <v>34</v>
      </c>
      <c r="T445">
        <f t="shared" si="38"/>
        <v>15299.66</v>
      </c>
      <c r="U445">
        <v>0.02</v>
      </c>
      <c r="V445">
        <f t="shared" si="39"/>
        <v>305.9932</v>
      </c>
      <c r="W445">
        <f t="shared" si="40"/>
        <v>14993.666799999999</v>
      </c>
      <c r="X445">
        <v>49</v>
      </c>
      <c r="Y445">
        <f t="shared" si="41"/>
        <v>15042.666799999999</v>
      </c>
    </row>
    <row r="446" spans="1:25" x14ac:dyDescent="0.25">
      <c r="A446" t="s">
        <v>1309</v>
      </c>
      <c r="B446">
        <v>41969</v>
      </c>
      <c r="C446" t="str">
        <f t="shared" si="36"/>
        <v>2014</v>
      </c>
      <c r="D446" t="s">
        <v>1310</v>
      </c>
      <c r="E446" t="s">
        <v>332</v>
      </c>
      <c r="F446" t="s">
        <v>257</v>
      </c>
      <c r="G446" t="s">
        <v>258</v>
      </c>
      <c r="H446" t="s">
        <v>259</v>
      </c>
      <c r="I446" t="s">
        <v>333</v>
      </c>
      <c r="J446" t="s">
        <v>243</v>
      </c>
      <c r="K446" t="s">
        <v>384</v>
      </c>
      <c r="L446" t="s">
        <v>268</v>
      </c>
      <c r="M446" t="s">
        <v>246</v>
      </c>
      <c r="N446" t="s">
        <v>247</v>
      </c>
      <c r="O446">
        <v>41971</v>
      </c>
      <c r="P446">
        <v>8.31</v>
      </c>
      <c r="Q446">
        <v>15.98</v>
      </c>
      <c r="R446">
        <f t="shared" si="37"/>
        <v>7.67</v>
      </c>
      <c r="S446">
        <v>5</v>
      </c>
      <c r="T446">
        <f t="shared" si="38"/>
        <v>79.900000000000006</v>
      </c>
      <c r="U446">
        <v>0.08</v>
      </c>
      <c r="V446">
        <f t="shared" si="39"/>
        <v>6.3920000000000003</v>
      </c>
      <c r="W446">
        <f t="shared" si="40"/>
        <v>73.50800000000001</v>
      </c>
      <c r="X446">
        <v>6.5</v>
      </c>
      <c r="Y446">
        <f t="shared" si="41"/>
        <v>80.00800000000001</v>
      </c>
    </row>
    <row r="447" spans="1:25" x14ac:dyDescent="0.25">
      <c r="A447" t="s">
        <v>1311</v>
      </c>
      <c r="B447">
        <v>41973</v>
      </c>
      <c r="C447" t="str">
        <f t="shared" si="36"/>
        <v>2014</v>
      </c>
      <c r="D447" t="s">
        <v>1312</v>
      </c>
      <c r="E447" t="s">
        <v>789</v>
      </c>
      <c r="F447" t="s">
        <v>257</v>
      </c>
      <c r="G447" t="s">
        <v>258</v>
      </c>
      <c r="H447" t="s">
        <v>241</v>
      </c>
      <c r="I447" t="s">
        <v>309</v>
      </c>
      <c r="J447" t="s">
        <v>243</v>
      </c>
      <c r="K447" t="s">
        <v>698</v>
      </c>
      <c r="L447" t="s">
        <v>245</v>
      </c>
      <c r="M447" t="s">
        <v>253</v>
      </c>
      <c r="N447" t="s">
        <v>263</v>
      </c>
      <c r="O447">
        <v>41975</v>
      </c>
      <c r="P447">
        <v>3.32</v>
      </c>
      <c r="Q447">
        <v>5.18</v>
      </c>
      <c r="R447">
        <f t="shared" si="37"/>
        <v>1.8599999999999999</v>
      </c>
      <c r="S447">
        <v>9</v>
      </c>
      <c r="T447">
        <f t="shared" si="38"/>
        <v>46.62</v>
      </c>
      <c r="U447">
        <v>0.09</v>
      </c>
      <c r="V447">
        <f t="shared" si="39"/>
        <v>4.1957999999999993</v>
      </c>
      <c r="W447">
        <f t="shared" si="40"/>
        <v>42.424199999999999</v>
      </c>
      <c r="X447">
        <v>2.04</v>
      </c>
      <c r="Y447">
        <f t="shared" si="41"/>
        <v>44.464199999999998</v>
      </c>
    </row>
    <row r="448" spans="1:25" x14ac:dyDescent="0.25">
      <c r="A448" t="s">
        <v>1313</v>
      </c>
      <c r="B448">
        <v>41974</v>
      </c>
      <c r="C448" t="str">
        <f t="shared" si="36"/>
        <v>2014</v>
      </c>
      <c r="D448" t="s">
        <v>1053</v>
      </c>
      <c r="E448" t="s">
        <v>1054</v>
      </c>
      <c r="F448" t="s">
        <v>448</v>
      </c>
      <c r="G448" t="s">
        <v>449</v>
      </c>
      <c r="H448" t="s">
        <v>259</v>
      </c>
      <c r="I448" t="s">
        <v>299</v>
      </c>
      <c r="J448" t="s">
        <v>279</v>
      </c>
      <c r="K448" t="s">
        <v>614</v>
      </c>
      <c r="L448" t="s">
        <v>245</v>
      </c>
      <c r="M448" t="s">
        <v>253</v>
      </c>
      <c r="N448" t="s">
        <v>263</v>
      </c>
      <c r="O448">
        <v>41978</v>
      </c>
      <c r="P448">
        <v>1.95</v>
      </c>
      <c r="Q448">
        <v>3.98</v>
      </c>
      <c r="R448">
        <f t="shared" si="37"/>
        <v>2.0300000000000002</v>
      </c>
      <c r="S448">
        <v>4</v>
      </c>
      <c r="T448">
        <f t="shared" si="38"/>
        <v>15.92</v>
      </c>
      <c r="U448">
        <v>0.02</v>
      </c>
      <c r="V448">
        <f t="shared" si="39"/>
        <v>0.31840000000000002</v>
      </c>
      <c r="W448">
        <f t="shared" si="40"/>
        <v>15.601599999999999</v>
      </c>
      <c r="X448">
        <v>0.83</v>
      </c>
      <c r="Y448">
        <f t="shared" si="41"/>
        <v>16.4316</v>
      </c>
    </row>
    <row r="449" spans="1:25" x14ac:dyDescent="0.25">
      <c r="A449" t="s">
        <v>1314</v>
      </c>
      <c r="B449">
        <v>41974</v>
      </c>
      <c r="C449" t="str">
        <f t="shared" si="36"/>
        <v>2014</v>
      </c>
      <c r="D449" t="s">
        <v>611</v>
      </c>
      <c r="E449" t="s">
        <v>612</v>
      </c>
      <c r="F449" t="s">
        <v>239</v>
      </c>
      <c r="G449" t="s">
        <v>240</v>
      </c>
      <c r="H449" t="s">
        <v>293</v>
      </c>
      <c r="I449" t="s">
        <v>242</v>
      </c>
      <c r="J449" t="s">
        <v>279</v>
      </c>
      <c r="K449" t="s">
        <v>786</v>
      </c>
      <c r="L449" t="s">
        <v>245</v>
      </c>
      <c r="M449" t="s">
        <v>323</v>
      </c>
      <c r="N449" t="s">
        <v>247</v>
      </c>
      <c r="O449">
        <v>41981</v>
      </c>
      <c r="P449">
        <v>16.8</v>
      </c>
      <c r="Q449">
        <v>40.97</v>
      </c>
      <c r="R449">
        <f t="shared" si="37"/>
        <v>24.169999999999998</v>
      </c>
      <c r="S449">
        <v>47</v>
      </c>
      <c r="T449">
        <f t="shared" si="38"/>
        <v>1925.59</v>
      </c>
      <c r="U449">
        <v>0.04</v>
      </c>
      <c r="V449">
        <f t="shared" si="39"/>
        <v>77.023600000000002</v>
      </c>
      <c r="W449">
        <f t="shared" si="40"/>
        <v>1848.5663999999999</v>
      </c>
      <c r="X449">
        <v>8.99</v>
      </c>
      <c r="Y449">
        <f t="shared" si="41"/>
        <v>1857.5563999999999</v>
      </c>
    </row>
    <row r="450" spans="1:25" x14ac:dyDescent="0.25">
      <c r="A450" t="s">
        <v>1315</v>
      </c>
      <c r="B450">
        <v>41977</v>
      </c>
      <c r="C450" t="str">
        <f t="shared" si="36"/>
        <v>2014</v>
      </c>
      <c r="D450" t="s">
        <v>1316</v>
      </c>
      <c r="E450" t="s">
        <v>376</v>
      </c>
      <c r="F450" t="s">
        <v>239</v>
      </c>
      <c r="G450" t="s">
        <v>240</v>
      </c>
      <c r="H450" t="s">
        <v>241</v>
      </c>
      <c r="I450" t="s">
        <v>242</v>
      </c>
      <c r="J450" t="s">
        <v>304</v>
      </c>
      <c r="K450" t="s">
        <v>734</v>
      </c>
      <c r="L450" t="s">
        <v>245</v>
      </c>
      <c r="M450" t="s">
        <v>246</v>
      </c>
      <c r="N450" t="s">
        <v>247</v>
      </c>
      <c r="O450">
        <v>41978</v>
      </c>
      <c r="P450">
        <v>14.95</v>
      </c>
      <c r="Q450">
        <v>34.76</v>
      </c>
      <c r="R450">
        <f t="shared" si="37"/>
        <v>19.809999999999999</v>
      </c>
      <c r="S450">
        <v>8</v>
      </c>
      <c r="T450">
        <f t="shared" si="38"/>
        <v>278.08</v>
      </c>
      <c r="U450">
        <v>7.0000000000000007E-2</v>
      </c>
      <c r="V450">
        <f t="shared" si="39"/>
        <v>19.465600000000002</v>
      </c>
      <c r="W450">
        <f t="shared" si="40"/>
        <v>258.61439999999999</v>
      </c>
      <c r="X450">
        <v>8.2200000000000006</v>
      </c>
      <c r="Y450">
        <f t="shared" si="41"/>
        <v>266.83440000000002</v>
      </c>
    </row>
    <row r="451" spans="1:25" x14ac:dyDescent="0.25">
      <c r="A451" t="s">
        <v>1317</v>
      </c>
      <c r="B451">
        <v>41978</v>
      </c>
      <c r="C451" t="str">
        <f t="shared" si="36"/>
        <v>2014</v>
      </c>
      <c r="D451" t="s">
        <v>502</v>
      </c>
      <c r="E451" t="s">
        <v>503</v>
      </c>
      <c r="F451" t="s">
        <v>257</v>
      </c>
      <c r="G451" t="s">
        <v>258</v>
      </c>
      <c r="H451" t="s">
        <v>259</v>
      </c>
      <c r="I451" t="s">
        <v>504</v>
      </c>
      <c r="J451" t="s">
        <v>304</v>
      </c>
      <c r="K451" t="s">
        <v>472</v>
      </c>
      <c r="L451" t="s">
        <v>245</v>
      </c>
      <c r="M451" t="s">
        <v>246</v>
      </c>
      <c r="N451" t="s">
        <v>263</v>
      </c>
      <c r="O451">
        <v>41979</v>
      </c>
      <c r="P451">
        <v>2.25</v>
      </c>
      <c r="Q451">
        <v>3.69</v>
      </c>
      <c r="R451">
        <f t="shared" si="37"/>
        <v>1.44</v>
      </c>
      <c r="S451">
        <v>41</v>
      </c>
      <c r="T451">
        <f t="shared" si="38"/>
        <v>151.29</v>
      </c>
      <c r="U451">
        <v>0.08</v>
      </c>
      <c r="V451">
        <f t="shared" si="39"/>
        <v>12.103199999999999</v>
      </c>
      <c r="W451">
        <f t="shared" si="40"/>
        <v>139.18680000000001</v>
      </c>
      <c r="X451">
        <v>2.5</v>
      </c>
      <c r="Y451">
        <f t="shared" si="41"/>
        <v>141.68680000000001</v>
      </c>
    </row>
    <row r="452" spans="1:25" x14ac:dyDescent="0.25">
      <c r="A452" t="s">
        <v>1318</v>
      </c>
      <c r="B452">
        <v>41979</v>
      </c>
      <c r="C452" t="str">
        <f t="shared" si="36"/>
        <v>2014</v>
      </c>
      <c r="D452" t="s">
        <v>1319</v>
      </c>
      <c r="E452" t="s">
        <v>944</v>
      </c>
      <c r="F452" t="s">
        <v>257</v>
      </c>
      <c r="G452" t="s">
        <v>258</v>
      </c>
      <c r="H452" t="s">
        <v>274</v>
      </c>
      <c r="I452" t="s">
        <v>333</v>
      </c>
      <c r="J452" t="s">
        <v>294</v>
      </c>
      <c r="K452" t="s">
        <v>1142</v>
      </c>
      <c r="L452" t="s">
        <v>245</v>
      </c>
      <c r="M452" t="s">
        <v>246</v>
      </c>
      <c r="N452" t="s">
        <v>263</v>
      </c>
      <c r="O452">
        <v>41981</v>
      </c>
      <c r="P452">
        <v>1.82</v>
      </c>
      <c r="Q452">
        <v>2.84</v>
      </c>
      <c r="R452">
        <f t="shared" si="37"/>
        <v>1.0199999999999998</v>
      </c>
      <c r="S452">
        <v>21</v>
      </c>
      <c r="T452">
        <f t="shared" si="38"/>
        <v>59.64</v>
      </c>
      <c r="U452">
        <v>0.01</v>
      </c>
      <c r="V452">
        <f t="shared" si="39"/>
        <v>0.59640000000000004</v>
      </c>
      <c r="W452">
        <f t="shared" si="40"/>
        <v>59.043599999999998</v>
      </c>
      <c r="X452">
        <v>5.44</v>
      </c>
      <c r="Y452">
        <f t="shared" si="41"/>
        <v>64.483599999999996</v>
      </c>
    </row>
    <row r="453" spans="1:25" x14ac:dyDescent="0.25">
      <c r="A453" t="s">
        <v>1320</v>
      </c>
      <c r="B453">
        <v>41981</v>
      </c>
      <c r="C453" t="str">
        <f t="shared" si="36"/>
        <v>2014</v>
      </c>
      <c r="D453" t="s">
        <v>1321</v>
      </c>
      <c r="E453" t="s">
        <v>795</v>
      </c>
      <c r="F453" t="s">
        <v>257</v>
      </c>
      <c r="G453" t="s">
        <v>258</v>
      </c>
      <c r="H453" t="s">
        <v>293</v>
      </c>
      <c r="I453" t="s">
        <v>372</v>
      </c>
      <c r="J453" t="s">
        <v>243</v>
      </c>
      <c r="K453" t="s">
        <v>508</v>
      </c>
      <c r="L453" t="s">
        <v>245</v>
      </c>
      <c r="M453" t="s">
        <v>246</v>
      </c>
      <c r="N453" t="s">
        <v>247</v>
      </c>
      <c r="O453">
        <v>41983</v>
      </c>
      <c r="P453">
        <v>178.83</v>
      </c>
      <c r="Q453">
        <v>415.88</v>
      </c>
      <c r="R453">
        <f t="shared" si="37"/>
        <v>237.04999999999998</v>
      </c>
      <c r="S453">
        <v>4</v>
      </c>
      <c r="T453">
        <f t="shared" si="38"/>
        <v>1663.52</v>
      </c>
      <c r="U453">
        <v>0.03</v>
      </c>
      <c r="V453">
        <f t="shared" si="39"/>
        <v>49.9056</v>
      </c>
      <c r="W453">
        <f t="shared" si="40"/>
        <v>1613.6143999999999</v>
      </c>
      <c r="X453">
        <v>11.37</v>
      </c>
      <c r="Y453">
        <f t="shared" si="41"/>
        <v>1624.9843999999998</v>
      </c>
    </row>
    <row r="454" spans="1:25" x14ac:dyDescent="0.25">
      <c r="A454" t="s">
        <v>1322</v>
      </c>
      <c r="B454">
        <v>41982</v>
      </c>
      <c r="C454" t="str">
        <f t="shared" ref="C454:C517" si="42">TEXT(B454,"yyyy")</f>
        <v>2014</v>
      </c>
      <c r="D454" t="s">
        <v>1323</v>
      </c>
      <c r="E454" t="s">
        <v>552</v>
      </c>
      <c r="F454" t="s">
        <v>257</v>
      </c>
      <c r="G454" t="s">
        <v>258</v>
      </c>
      <c r="H454" t="s">
        <v>274</v>
      </c>
      <c r="I454" t="s">
        <v>284</v>
      </c>
      <c r="J454" t="s">
        <v>304</v>
      </c>
      <c r="K454" t="s">
        <v>475</v>
      </c>
      <c r="L454" t="s">
        <v>245</v>
      </c>
      <c r="M454" t="s">
        <v>246</v>
      </c>
      <c r="N454" t="s">
        <v>247</v>
      </c>
      <c r="O454">
        <v>41984</v>
      </c>
      <c r="P454">
        <v>12.39</v>
      </c>
      <c r="Q454">
        <v>19.98</v>
      </c>
      <c r="R454">
        <f t="shared" ref="R454:R517" si="43">Q454-P454</f>
        <v>7.59</v>
      </c>
      <c r="S454">
        <v>48</v>
      </c>
      <c r="T454">
        <f t="shared" ref="T454:T517" si="44">Q454*S454</f>
        <v>959.04</v>
      </c>
      <c r="U454">
        <v>0.01</v>
      </c>
      <c r="V454">
        <f t="shared" ref="V454:V517" si="45">T454*U454</f>
        <v>9.5904000000000007</v>
      </c>
      <c r="W454">
        <f t="shared" ref="W454:W517" si="46">T454-V454</f>
        <v>949.44959999999992</v>
      </c>
      <c r="X454">
        <v>5.77</v>
      </c>
      <c r="Y454">
        <f t="shared" ref="Y454:Y517" si="47">W454+X454</f>
        <v>955.2195999999999</v>
      </c>
    </row>
    <row r="455" spans="1:25" x14ac:dyDescent="0.25">
      <c r="A455" t="s">
        <v>1324</v>
      </c>
      <c r="B455">
        <v>41983</v>
      </c>
      <c r="C455" t="str">
        <f t="shared" si="42"/>
        <v>2014</v>
      </c>
      <c r="D455" t="s">
        <v>1219</v>
      </c>
      <c r="E455" t="s">
        <v>1220</v>
      </c>
      <c r="F455" t="s">
        <v>257</v>
      </c>
      <c r="G455" t="s">
        <v>258</v>
      </c>
      <c r="H455" t="s">
        <v>259</v>
      </c>
      <c r="I455" t="s">
        <v>275</v>
      </c>
      <c r="J455" t="s">
        <v>294</v>
      </c>
      <c r="K455" t="s">
        <v>963</v>
      </c>
      <c r="L455" t="s">
        <v>245</v>
      </c>
      <c r="M455" t="s">
        <v>323</v>
      </c>
      <c r="N455" t="s">
        <v>247</v>
      </c>
      <c r="O455">
        <v>41984</v>
      </c>
      <c r="P455">
        <v>4.1900000000000004</v>
      </c>
      <c r="Q455">
        <v>10.23</v>
      </c>
      <c r="R455">
        <f t="shared" si="43"/>
        <v>6.04</v>
      </c>
      <c r="S455">
        <v>46</v>
      </c>
      <c r="T455">
        <f t="shared" si="44"/>
        <v>470.58000000000004</v>
      </c>
      <c r="U455">
        <v>0.01</v>
      </c>
      <c r="V455">
        <f t="shared" si="45"/>
        <v>4.7058000000000009</v>
      </c>
      <c r="W455">
        <f t="shared" si="46"/>
        <v>465.87420000000003</v>
      </c>
      <c r="X455">
        <v>4.68</v>
      </c>
      <c r="Y455">
        <f t="shared" si="47"/>
        <v>470.55420000000004</v>
      </c>
    </row>
    <row r="456" spans="1:25" x14ac:dyDescent="0.25">
      <c r="A456" t="s">
        <v>1325</v>
      </c>
      <c r="B456">
        <v>41983</v>
      </c>
      <c r="C456" t="str">
        <f t="shared" si="42"/>
        <v>2014</v>
      </c>
      <c r="D456" t="s">
        <v>1326</v>
      </c>
      <c r="E456" t="s">
        <v>650</v>
      </c>
      <c r="F456" t="s">
        <v>257</v>
      </c>
      <c r="G456" t="s">
        <v>258</v>
      </c>
      <c r="H456" t="s">
        <v>259</v>
      </c>
      <c r="I456" t="s">
        <v>299</v>
      </c>
      <c r="J456" t="s">
        <v>279</v>
      </c>
      <c r="K456" t="s">
        <v>403</v>
      </c>
      <c r="L456" t="s">
        <v>268</v>
      </c>
      <c r="M456" t="s">
        <v>323</v>
      </c>
      <c r="N456" t="s">
        <v>247</v>
      </c>
      <c r="O456">
        <v>41985</v>
      </c>
      <c r="P456">
        <v>1.87</v>
      </c>
      <c r="Q456">
        <v>8.1199999999999992</v>
      </c>
      <c r="R456">
        <f t="shared" si="43"/>
        <v>6.2499999999999991</v>
      </c>
      <c r="S456">
        <v>11</v>
      </c>
      <c r="T456">
        <f t="shared" si="44"/>
        <v>89.32</v>
      </c>
      <c r="U456">
        <v>0.06</v>
      </c>
      <c r="V456">
        <f t="shared" si="45"/>
        <v>5.3591999999999995</v>
      </c>
      <c r="W456">
        <f t="shared" si="46"/>
        <v>83.960799999999992</v>
      </c>
      <c r="X456">
        <v>2.83</v>
      </c>
      <c r="Y456">
        <f t="shared" si="47"/>
        <v>86.79079999999999</v>
      </c>
    </row>
    <row r="457" spans="1:25" x14ac:dyDescent="0.25">
      <c r="A457" t="s">
        <v>1327</v>
      </c>
      <c r="B457">
        <v>41986</v>
      </c>
      <c r="C457" t="str">
        <f t="shared" si="42"/>
        <v>2014</v>
      </c>
      <c r="D457" t="s">
        <v>1023</v>
      </c>
      <c r="E457" t="s">
        <v>356</v>
      </c>
      <c r="F457" t="s">
        <v>239</v>
      </c>
      <c r="G457" t="s">
        <v>240</v>
      </c>
      <c r="H457" t="s">
        <v>259</v>
      </c>
      <c r="I457" t="s">
        <v>251</v>
      </c>
      <c r="J457" t="s">
        <v>243</v>
      </c>
      <c r="K457" t="s">
        <v>329</v>
      </c>
      <c r="L457" t="s">
        <v>245</v>
      </c>
      <c r="M457" t="s">
        <v>246</v>
      </c>
      <c r="N457" t="s">
        <v>247</v>
      </c>
      <c r="O457">
        <v>41988</v>
      </c>
      <c r="P457">
        <v>4.59</v>
      </c>
      <c r="Q457">
        <v>7.28</v>
      </c>
      <c r="R457">
        <f t="shared" si="43"/>
        <v>2.6900000000000004</v>
      </c>
      <c r="S457">
        <v>36</v>
      </c>
      <c r="T457">
        <f t="shared" si="44"/>
        <v>262.08</v>
      </c>
      <c r="U457">
        <v>0.05</v>
      </c>
      <c r="V457">
        <f t="shared" si="45"/>
        <v>13.103999999999999</v>
      </c>
      <c r="W457">
        <f t="shared" si="46"/>
        <v>248.976</v>
      </c>
      <c r="X457">
        <v>11.15</v>
      </c>
      <c r="Y457">
        <f t="shared" si="47"/>
        <v>260.12599999999998</v>
      </c>
    </row>
    <row r="458" spans="1:25" x14ac:dyDescent="0.25">
      <c r="A458" t="s">
        <v>1328</v>
      </c>
      <c r="B458">
        <v>41989</v>
      </c>
      <c r="C458" t="str">
        <f t="shared" si="42"/>
        <v>2014</v>
      </c>
      <c r="D458" t="s">
        <v>1329</v>
      </c>
      <c r="E458" t="s">
        <v>428</v>
      </c>
      <c r="F458" t="s">
        <v>257</v>
      </c>
      <c r="G458" t="s">
        <v>258</v>
      </c>
      <c r="H458" t="s">
        <v>259</v>
      </c>
      <c r="I458" t="s">
        <v>333</v>
      </c>
      <c r="J458" t="s">
        <v>304</v>
      </c>
      <c r="K458" t="s">
        <v>661</v>
      </c>
      <c r="L458" t="s">
        <v>245</v>
      </c>
      <c r="M458" t="s">
        <v>246</v>
      </c>
      <c r="N458" t="s">
        <v>247</v>
      </c>
      <c r="O458">
        <v>41991</v>
      </c>
      <c r="P458">
        <v>2.1800000000000002</v>
      </c>
      <c r="Q458">
        <v>3.52</v>
      </c>
      <c r="R458">
        <f t="shared" si="43"/>
        <v>1.3399999999999999</v>
      </c>
      <c r="S458">
        <v>23</v>
      </c>
      <c r="T458">
        <f t="shared" si="44"/>
        <v>80.959999999999994</v>
      </c>
      <c r="U458">
        <v>7.0000000000000007E-2</v>
      </c>
      <c r="V458">
        <f t="shared" si="45"/>
        <v>5.6672000000000002</v>
      </c>
      <c r="W458">
        <f t="shared" si="46"/>
        <v>75.2928</v>
      </c>
      <c r="X458">
        <v>6.83</v>
      </c>
      <c r="Y458">
        <f t="shared" si="47"/>
        <v>82.122799999999998</v>
      </c>
    </row>
    <row r="459" spans="1:25" x14ac:dyDescent="0.25">
      <c r="A459" t="s">
        <v>1330</v>
      </c>
      <c r="B459">
        <v>41995</v>
      </c>
      <c r="C459" t="str">
        <f t="shared" si="42"/>
        <v>2014</v>
      </c>
      <c r="D459" t="s">
        <v>1331</v>
      </c>
      <c r="E459" t="s">
        <v>332</v>
      </c>
      <c r="F459" t="s">
        <v>257</v>
      </c>
      <c r="G459" t="s">
        <v>258</v>
      </c>
      <c r="H459" t="s">
        <v>259</v>
      </c>
      <c r="I459" t="s">
        <v>333</v>
      </c>
      <c r="J459" t="s">
        <v>304</v>
      </c>
      <c r="K459" t="s">
        <v>1151</v>
      </c>
      <c r="L459" t="s">
        <v>245</v>
      </c>
      <c r="M459" t="s">
        <v>253</v>
      </c>
      <c r="N459" t="s">
        <v>247</v>
      </c>
      <c r="O459">
        <v>41996</v>
      </c>
      <c r="P459">
        <v>0.92</v>
      </c>
      <c r="Q459">
        <v>1.81</v>
      </c>
      <c r="R459">
        <f t="shared" si="43"/>
        <v>0.89</v>
      </c>
      <c r="S459">
        <v>48</v>
      </c>
      <c r="T459">
        <f t="shared" si="44"/>
        <v>86.88</v>
      </c>
      <c r="U459">
        <v>0.1</v>
      </c>
      <c r="V459">
        <f t="shared" si="45"/>
        <v>8.6880000000000006</v>
      </c>
      <c r="W459">
        <f t="shared" si="46"/>
        <v>78.191999999999993</v>
      </c>
      <c r="X459">
        <v>1.56</v>
      </c>
      <c r="Y459">
        <f t="shared" si="47"/>
        <v>79.751999999999995</v>
      </c>
    </row>
    <row r="460" spans="1:25" x14ac:dyDescent="0.25">
      <c r="A460" t="s">
        <v>1332</v>
      </c>
      <c r="B460">
        <v>41998</v>
      </c>
      <c r="C460" t="str">
        <f t="shared" si="42"/>
        <v>2014</v>
      </c>
      <c r="D460" t="s">
        <v>1040</v>
      </c>
      <c r="E460" t="s">
        <v>1041</v>
      </c>
      <c r="F460" t="s">
        <v>257</v>
      </c>
      <c r="G460" t="s">
        <v>258</v>
      </c>
      <c r="H460" t="s">
        <v>274</v>
      </c>
      <c r="I460" t="s">
        <v>372</v>
      </c>
      <c r="J460" t="s">
        <v>304</v>
      </c>
      <c r="K460" t="s">
        <v>594</v>
      </c>
      <c r="L460" t="s">
        <v>268</v>
      </c>
      <c r="M460" t="s">
        <v>647</v>
      </c>
      <c r="N460" t="s">
        <v>247</v>
      </c>
      <c r="O460">
        <v>42000</v>
      </c>
      <c r="P460">
        <v>216</v>
      </c>
      <c r="Q460">
        <v>449.99</v>
      </c>
      <c r="R460">
        <f t="shared" si="43"/>
        <v>233.99</v>
      </c>
      <c r="S460">
        <v>10</v>
      </c>
      <c r="T460">
        <f t="shared" si="44"/>
        <v>4499.8999999999996</v>
      </c>
      <c r="U460">
        <v>0.01</v>
      </c>
      <c r="V460">
        <f t="shared" si="45"/>
        <v>44.998999999999995</v>
      </c>
      <c r="W460">
        <f t="shared" si="46"/>
        <v>4454.9009999999998</v>
      </c>
      <c r="X460">
        <v>24.49</v>
      </c>
      <c r="Y460">
        <f t="shared" si="47"/>
        <v>4479.3909999999996</v>
      </c>
    </row>
    <row r="461" spans="1:25" x14ac:dyDescent="0.25">
      <c r="A461" t="s">
        <v>1333</v>
      </c>
      <c r="B461">
        <v>41999</v>
      </c>
      <c r="C461" t="str">
        <f t="shared" si="42"/>
        <v>2014</v>
      </c>
      <c r="D461" t="s">
        <v>1079</v>
      </c>
      <c r="E461" t="s">
        <v>1080</v>
      </c>
      <c r="F461" t="s">
        <v>239</v>
      </c>
      <c r="G461" t="s">
        <v>240</v>
      </c>
      <c r="H461" t="s">
        <v>274</v>
      </c>
      <c r="I461" t="s">
        <v>251</v>
      </c>
      <c r="J461" t="s">
        <v>243</v>
      </c>
      <c r="K461" t="s">
        <v>529</v>
      </c>
      <c r="L461" t="s">
        <v>245</v>
      </c>
      <c r="M461" t="s">
        <v>253</v>
      </c>
      <c r="N461" t="s">
        <v>247</v>
      </c>
      <c r="O461">
        <v>42002</v>
      </c>
      <c r="P461">
        <v>1.6</v>
      </c>
      <c r="Q461">
        <v>2.62</v>
      </c>
      <c r="R461">
        <f t="shared" si="43"/>
        <v>1.02</v>
      </c>
      <c r="S461">
        <v>37</v>
      </c>
      <c r="T461">
        <f t="shared" si="44"/>
        <v>96.94</v>
      </c>
      <c r="U461">
        <v>0.01</v>
      </c>
      <c r="V461">
        <f t="shared" si="45"/>
        <v>0.96940000000000004</v>
      </c>
      <c r="W461">
        <f t="shared" si="46"/>
        <v>95.970600000000005</v>
      </c>
      <c r="X461">
        <v>0.8</v>
      </c>
      <c r="Y461">
        <f t="shared" si="47"/>
        <v>96.770600000000002</v>
      </c>
    </row>
    <row r="462" spans="1:25" x14ac:dyDescent="0.25">
      <c r="A462" t="s">
        <v>1334</v>
      </c>
      <c r="B462">
        <v>41999</v>
      </c>
      <c r="C462" t="str">
        <f t="shared" si="42"/>
        <v>2014</v>
      </c>
      <c r="D462" t="s">
        <v>1335</v>
      </c>
      <c r="E462" t="s">
        <v>341</v>
      </c>
      <c r="F462" t="s">
        <v>257</v>
      </c>
      <c r="G462" t="s">
        <v>258</v>
      </c>
      <c r="H462" t="s">
        <v>293</v>
      </c>
      <c r="I462" t="s">
        <v>342</v>
      </c>
      <c r="J462" t="s">
        <v>243</v>
      </c>
      <c r="K462" t="s">
        <v>349</v>
      </c>
      <c r="L462" t="s">
        <v>245</v>
      </c>
      <c r="M462" t="s">
        <v>246</v>
      </c>
      <c r="N462" t="s">
        <v>247</v>
      </c>
      <c r="O462">
        <v>42002</v>
      </c>
      <c r="P462">
        <v>3.52</v>
      </c>
      <c r="Q462">
        <v>5.68</v>
      </c>
      <c r="R462">
        <f t="shared" si="43"/>
        <v>2.1599999999999997</v>
      </c>
      <c r="S462">
        <v>42</v>
      </c>
      <c r="T462">
        <f t="shared" si="44"/>
        <v>238.56</v>
      </c>
      <c r="U462">
        <v>0.05</v>
      </c>
      <c r="V462">
        <f t="shared" si="45"/>
        <v>11.928000000000001</v>
      </c>
      <c r="W462">
        <f t="shared" si="46"/>
        <v>226.63200000000001</v>
      </c>
      <c r="X462">
        <v>1.39</v>
      </c>
      <c r="Y462">
        <f t="shared" si="47"/>
        <v>228.02199999999999</v>
      </c>
    </row>
    <row r="463" spans="1:25" x14ac:dyDescent="0.25">
      <c r="A463" t="s">
        <v>1336</v>
      </c>
      <c r="B463">
        <v>42000</v>
      </c>
      <c r="C463" t="str">
        <f t="shared" si="42"/>
        <v>2014</v>
      </c>
      <c r="D463" t="s">
        <v>1337</v>
      </c>
      <c r="E463" t="s">
        <v>1338</v>
      </c>
      <c r="F463" t="s">
        <v>257</v>
      </c>
      <c r="G463" t="s">
        <v>258</v>
      </c>
      <c r="H463" t="s">
        <v>293</v>
      </c>
      <c r="I463" t="s">
        <v>372</v>
      </c>
      <c r="J463" t="s">
        <v>261</v>
      </c>
      <c r="K463" t="s">
        <v>368</v>
      </c>
      <c r="L463" t="s">
        <v>245</v>
      </c>
      <c r="M463" t="s">
        <v>246</v>
      </c>
      <c r="N463" t="s">
        <v>263</v>
      </c>
      <c r="O463">
        <v>42001</v>
      </c>
      <c r="P463">
        <v>1.59</v>
      </c>
      <c r="Q463">
        <v>2.61</v>
      </c>
      <c r="R463">
        <f t="shared" si="43"/>
        <v>1.0199999999999998</v>
      </c>
      <c r="S463">
        <v>37</v>
      </c>
      <c r="T463">
        <f t="shared" si="44"/>
        <v>96.57</v>
      </c>
      <c r="U463">
        <v>0.09</v>
      </c>
      <c r="V463">
        <f t="shared" si="45"/>
        <v>8.6912999999999982</v>
      </c>
      <c r="W463">
        <f t="shared" si="46"/>
        <v>87.878699999999995</v>
      </c>
      <c r="X463">
        <v>0.5</v>
      </c>
      <c r="Y463">
        <f t="shared" si="47"/>
        <v>88.378699999999995</v>
      </c>
    </row>
    <row r="464" spans="1:25" x14ac:dyDescent="0.25">
      <c r="A464" t="s">
        <v>1339</v>
      </c>
      <c r="B464">
        <v>42000</v>
      </c>
      <c r="C464" t="str">
        <f t="shared" si="42"/>
        <v>2014</v>
      </c>
      <c r="D464" t="s">
        <v>1340</v>
      </c>
      <c r="E464" t="s">
        <v>816</v>
      </c>
      <c r="F464" t="s">
        <v>257</v>
      </c>
      <c r="G464" t="s">
        <v>258</v>
      </c>
      <c r="H464" t="s">
        <v>293</v>
      </c>
      <c r="I464" t="s">
        <v>492</v>
      </c>
      <c r="J464" t="s">
        <v>243</v>
      </c>
      <c r="K464" t="s">
        <v>734</v>
      </c>
      <c r="L464" t="s">
        <v>245</v>
      </c>
      <c r="M464" t="s">
        <v>246</v>
      </c>
      <c r="N464" t="s">
        <v>247</v>
      </c>
      <c r="O464">
        <v>42000</v>
      </c>
      <c r="P464">
        <v>14.95</v>
      </c>
      <c r="Q464">
        <v>34.76</v>
      </c>
      <c r="R464">
        <f t="shared" si="43"/>
        <v>19.809999999999999</v>
      </c>
      <c r="S464">
        <v>10</v>
      </c>
      <c r="T464">
        <f t="shared" si="44"/>
        <v>347.59999999999997</v>
      </c>
      <c r="U464">
        <v>0.03</v>
      </c>
      <c r="V464">
        <f t="shared" si="45"/>
        <v>10.427999999999999</v>
      </c>
      <c r="W464">
        <f t="shared" si="46"/>
        <v>337.17199999999997</v>
      </c>
      <c r="X464">
        <v>8.2200000000000006</v>
      </c>
      <c r="Y464">
        <f t="shared" si="47"/>
        <v>345.392</v>
      </c>
    </row>
    <row r="465" spans="1:25" x14ac:dyDescent="0.25">
      <c r="A465" t="s">
        <v>1341</v>
      </c>
      <c r="B465">
        <v>42000</v>
      </c>
      <c r="C465" t="str">
        <f t="shared" si="42"/>
        <v>2014</v>
      </c>
      <c r="D465" t="s">
        <v>1340</v>
      </c>
      <c r="E465" t="s">
        <v>816</v>
      </c>
      <c r="F465" t="s">
        <v>257</v>
      </c>
      <c r="G465" t="s">
        <v>258</v>
      </c>
      <c r="H465" t="s">
        <v>293</v>
      </c>
      <c r="I465" t="s">
        <v>492</v>
      </c>
      <c r="J465" t="s">
        <v>243</v>
      </c>
      <c r="K465" t="s">
        <v>888</v>
      </c>
      <c r="L465" t="s">
        <v>245</v>
      </c>
      <c r="M465" t="s">
        <v>253</v>
      </c>
      <c r="N465" t="s">
        <v>247</v>
      </c>
      <c r="O465">
        <v>42002</v>
      </c>
      <c r="P465">
        <v>2.31</v>
      </c>
      <c r="Q465">
        <v>3.78</v>
      </c>
      <c r="R465">
        <f t="shared" si="43"/>
        <v>1.4699999999999998</v>
      </c>
      <c r="S465">
        <v>41</v>
      </c>
      <c r="T465">
        <f t="shared" si="44"/>
        <v>154.97999999999999</v>
      </c>
      <c r="U465">
        <v>0.02</v>
      </c>
      <c r="V465">
        <f t="shared" si="45"/>
        <v>3.0995999999999997</v>
      </c>
      <c r="W465">
        <f t="shared" si="46"/>
        <v>151.88039999999998</v>
      </c>
      <c r="X465">
        <v>0.71</v>
      </c>
      <c r="Y465">
        <f t="shared" si="47"/>
        <v>152.59039999999999</v>
      </c>
    </row>
    <row r="466" spans="1:25" x14ac:dyDescent="0.25">
      <c r="A466" t="s">
        <v>1342</v>
      </c>
      <c r="B466">
        <v>42001</v>
      </c>
      <c r="C466" t="str">
        <f t="shared" si="42"/>
        <v>2014</v>
      </c>
      <c r="D466" t="s">
        <v>1343</v>
      </c>
      <c r="E466" t="s">
        <v>288</v>
      </c>
      <c r="F466" t="s">
        <v>257</v>
      </c>
      <c r="G466" t="s">
        <v>258</v>
      </c>
      <c r="H466" t="s">
        <v>274</v>
      </c>
      <c r="I466" t="s">
        <v>284</v>
      </c>
      <c r="J466" t="s">
        <v>243</v>
      </c>
      <c r="K466" t="s">
        <v>1011</v>
      </c>
      <c r="L466" t="s">
        <v>245</v>
      </c>
      <c r="M466" t="s">
        <v>246</v>
      </c>
      <c r="N466" t="s">
        <v>247</v>
      </c>
      <c r="O466">
        <v>42003</v>
      </c>
      <c r="P466">
        <v>7.13</v>
      </c>
      <c r="Q466">
        <v>20.98</v>
      </c>
      <c r="R466">
        <f t="shared" si="43"/>
        <v>13.850000000000001</v>
      </c>
      <c r="S466">
        <v>47</v>
      </c>
      <c r="T466">
        <f t="shared" si="44"/>
        <v>986.06000000000006</v>
      </c>
      <c r="U466">
        <v>0.01</v>
      </c>
      <c r="V466">
        <f t="shared" si="45"/>
        <v>9.8606000000000016</v>
      </c>
      <c r="W466">
        <f t="shared" si="46"/>
        <v>976.19940000000008</v>
      </c>
      <c r="X466">
        <v>5.42</v>
      </c>
      <c r="Y466">
        <f t="shared" si="47"/>
        <v>981.61940000000004</v>
      </c>
    </row>
    <row r="467" spans="1:25" x14ac:dyDescent="0.25">
      <c r="A467" t="s">
        <v>1344</v>
      </c>
      <c r="B467">
        <v>42001</v>
      </c>
      <c r="C467" t="str">
        <f t="shared" si="42"/>
        <v>2014</v>
      </c>
      <c r="D467" t="s">
        <v>1345</v>
      </c>
      <c r="E467" t="s">
        <v>332</v>
      </c>
      <c r="F467" t="s">
        <v>257</v>
      </c>
      <c r="G467" t="s">
        <v>258</v>
      </c>
      <c r="H467" t="s">
        <v>259</v>
      </c>
      <c r="I467" t="s">
        <v>333</v>
      </c>
      <c r="J467" t="s">
        <v>294</v>
      </c>
      <c r="K467" t="s">
        <v>736</v>
      </c>
      <c r="L467" t="s">
        <v>245</v>
      </c>
      <c r="M467" t="s">
        <v>246</v>
      </c>
      <c r="N467" t="s">
        <v>247</v>
      </c>
      <c r="O467">
        <v>42001</v>
      </c>
      <c r="P467">
        <v>22.18</v>
      </c>
      <c r="Q467">
        <v>54.1</v>
      </c>
      <c r="R467">
        <f t="shared" si="43"/>
        <v>31.92</v>
      </c>
      <c r="S467">
        <v>5</v>
      </c>
      <c r="T467">
        <f t="shared" si="44"/>
        <v>270.5</v>
      </c>
      <c r="U467">
        <v>0.04</v>
      </c>
      <c r="V467">
        <f t="shared" si="45"/>
        <v>10.82</v>
      </c>
      <c r="W467">
        <f t="shared" si="46"/>
        <v>259.68</v>
      </c>
      <c r="X467">
        <v>19.989999999999998</v>
      </c>
      <c r="Y467">
        <f t="shared" si="47"/>
        <v>279.67</v>
      </c>
    </row>
    <row r="468" spans="1:25" x14ac:dyDescent="0.25">
      <c r="A468" t="s">
        <v>1346</v>
      </c>
      <c r="B468">
        <v>42003</v>
      </c>
      <c r="C468" t="str">
        <f t="shared" si="42"/>
        <v>2014</v>
      </c>
      <c r="D468" t="s">
        <v>1347</v>
      </c>
      <c r="E468" t="s">
        <v>1348</v>
      </c>
      <c r="F468" t="s">
        <v>257</v>
      </c>
      <c r="G468" t="s">
        <v>258</v>
      </c>
      <c r="H468" t="s">
        <v>293</v>
      </c>
      <c r="I468" t="s">
        <v>492</v>
      </c>
      <c r="J468" t="s">
        <v>294</v>
      </c>
      <c r="K468" t="s">
        <v>1142</v>
      </c>
      <c r="L468" t="s">
        <v>245</v>
      </c>
      <c r="M468" t="s">
        <v>246</v>
      </c>
      <c r="N468" t="s">
        <v>247</v>
      </c>
      <c r="O468">
        <v>42004</v>
      </c>
      <c r="P468">
        <v>1.82</v>
      </c>
      <c r="Q468">
        <v>2.84</v>
      </c>
      <c r="R468">
        <f t="shared" si="43"/>
        <v>1.0199999999999998</v>
      </c>
      <c r="S468">
        <v>27</v>
      </c>
      <c r="T468">
        <f t="shared" si="44"/>
        <v>76.679999999999993</v>
      </c>
      <c r="U468">
        <v>0.03</v>
      </c>
      <c r="V468">
        <f t="shared" si="45"/>
        <v>2.3003999999999998</v>
      </c>
      <c r="W468">
        <f t="shared" si="46"/>
        <v>74.379599999999996</v>
      </c>
      <c r="X468">
        <v>5.44</v>
      </c>
      <c r="Y468">
        <f t="shared" si="47"/>
        <v>79.819599999999994</v>
      </c>
    </row>
    <row r="469" spans="1:25" x14ac:dyDescent="0.25">
      <c r="A469" t="s">
        <v>1349</v>
      </c>
      <c r="B469">
        <v>42005</v>
      </c>
      <c r="C469" t="str">
        <f t="shared" si="42"/>
        <v>2015</v>
      </c>
      <c r="D469" t="s">
        <v>1350</v>
      </c>
      <c r="E469" t="s">
        <v>367</v>
      </c>
      <c r="F469" t="s">
        <v>239</v>
      </c>
      <c r="G469" t="s">
        <v>240</v>
      </c>
      <c r="H469" t="s">
        <v>293</v>
      </c>
      <c r="I469" t="s">
        <v>251</v>
      </c>
      <c r="J469" t="s">
        <v>294</v>
      </c>
      <c r="K469" t="s">
        <v>1351</v>
      </c>
      <c r="L469" t="s">
        <v>245</v>
      </c>
      <c r="M469" t="s">
        <v>323</v>
      </c>
      <c r="N469" t="s">
        <v>247</v>
      </c>
      <c r="O469">
        <v>42007</v>
      </c>
      <c r="P469">
        <v>2.87</v>
      </c>
      <c r="Q469">
        <v>6.84</v>
      </c>
      <c r="R469">
        <f t="shared" si="43"/>
        <v>3.9699999999999998</v>
      </c>
      <c r="S469">
        <v>35</v>
      </c>
      <c r="T469">
        <f t="shared" si="44"/>
        <v>239.4</v>
      </c>
      <c r="U469">
        <v>0.01</v>
      </c>
      <c r="V469">
        <f t="shared" si="45"/>
        <v>2.3940000000000001</v>
      </c>
      <c r="W469">
        <f t="shared" si="46"/>
        <v>237.006</v>
      </c>
      <c r="X469">
        <v>4.42</v>
      </c>
      <c r="Y469">
        <f t="shared" si="47"/>
        <v>241.42599999999999</v>
      </c>
    </row>
    <row r="470" spans="1:25" x14ac:dyDescent="0.25">
      <c r="A470" t="s">
        <v>1352</v>
      </c>
      <c r="B470">
        <v>42006</v>
      </c>
      <c r="C470" t="str">
        <f t="shared" si="42"/>
        <v>2015</v>
      </c>
      <c r="D470" t="s">
        <v>1353</v>
      </c>
      <c r="E470" t="s">
        <v>727</v>
      </c>
      <c r="F470" t="s">
        <v>257</v>
      </c>
      <c r="G470" t="s">
        <v>258</v>
      </c>
      <c r="H470" t="s">
        <v>259</v>
      </c>
      <c r="I470" t="s">
        <v>333</v>
      </c>
      <c r="J470" t="s">
        <v>279</v>
      </c>
      <c r="K470" t="s">
        <v>429</v>
      </c>
      <c r="L470" t="s">
        <v>268</v>
      </c>
      <c r="M470" t="s">
        <v>246</v>
      </c>
      <c r="N470" t="s">
        <v>247</v>
      </c>
      <c r="O470">
        <v>42008</v>
      </c>
      <c r="P470">
        <v>19.78</v>
      </c>
      <c r="Q470">
        <v>45.99</v>
      </c>
      <c r="R470">
        <f t="shared" si="43"/>
        <v>26.21</v>
      </c>
      <c r="S470">
        <v>50</v>
      </c>
      <c r="T470">
        <f t="shared" si="44"/>
        <v>2299.5</v>
      </c>
      <c r="U470">
        <v>0</v>
      </c>
      <c r="V470">
        <f t="shared" si="45"/>
        <v>0</v>
      </c>
      <c r="W470">
        <f t="shared" si="46"/>
        <v>2299.5</v>
      </c>
      <c r="X470">
        <v>4.99</v>
      </c>
      <c r="Y470">
        <f t="shared" si="47"/>
        <v>2304.4899999999998</v>
      </c>
    </row>
    <row r="471" spans="1:25" x14ac:dyDescent="0.25">
      <c r="A471" t="s">
        <v>1354</v>
      </c>
      <c r="B471">
        <v>42006</v>
      </c>
      <c r="C471" t="str">
        <f t="shared" si="42"/>
        <v>2015</v>
      </c>
      <c r="D471" t="s">
        <v>1355</v>
      </c>
      <c r="E471" t="s">
        <v>673</v>
      </c>
      <c r="F471" t="s">
        <v>257</v>
      </c>
      <c r="G471" t="s">
        <v>258</v>
      </c>
      <c r="H471" t="s">
        <v>241</v>
      </c>
      <c r="I471" t="s">
        <v>372</v>
      </c>
      <c r="J471" t="s">
        <v>304</v>
      </c>
      <c r="K471" t="s">
        <v>1356</v>
      </c>
      <c r="L471" t="s">
        <v>245</v>
      </c>
      <c r="M471" t="s">
        <v>253</v>
      </c>
      <c r="N471" t="s">
        <v>247</v>
      </c>
      <c r="O471">
        <v>42008</v>
      </c>
      <c r="P471">
        <v>2.68</v>
      </c>
      <c r="Q471">
        <v>6.08</v>
      </c>
      <c r="R471">
        <f t="shared" si="43"/>
        <v>3.4</v>
      </c>
      <c r="S471">
        <v>30</v>
      </c>
      <c r="T471">
        <f t="shared" si="44"/>
        <v>182.4</v>
      </c>
      <c r="U471">
        <v>0.04</v>
      </c>
      <c r="V471">
        <f t="shared" si="45"/>
        <v>7.2960000000000003</v>
      </c>
      <c r="W471">
        <f t="shared" si="46"/>
        <v>175.10400000000001</v>
      </c>
      <c r="X471">
        <v>1.17</v>
      </c>
      <c r="Y471">
        <f t="shared" si="47"/>
        <v>176.274</v>
      </c>
    </row>
    <row r="472" spans="1:25" x14ac:dyDescent="0.25">
      <c r="A472" t="s">
        <v>1357</v>
      </c>
      <c r="B472">
        <v>42011</v>
      </c>
      <c r="C472" t="str">
        <f t="shared" si="42"/>
        <v>2015</v>
      </c>
      <c r="D472" t="s">
        <v>1260</v>
      </c>
      <c r="E472" t="s">
        <v>1261</v>
      </c>
      <c r="F472" t="s">
        <v>239</v>
      </c>
      <c r="G472" t="s">
        <v>240</v>
      </c>
      <c r="H472" t="s">
        <v>259</v>
      </c>
      <c r="I472" t="s">
        <v>242</v>
      </c>
      <c r="J472" t="s">
        <v>304</v>
      </c>
      <c r="K472" t="s">
        <v>300</v>
      </c>
      <c r="L472" t="s">
        <v>245</v>
      </c>
      <c r="M472" t="s">
        <v>246</v>
      </c>
      <c r="N472" t="s">
        <v>247</v>
      </c>
      <c r="O472">
        <v>42013</v>
      </c>
      <c r="P472">
        <v>5.33</v>
      </c>
      <c r="Q472">
        <v>8.6</v>
      </c>
      <c r="R472">
        <f t="shared" si="43"/>
        <v>3.2699999999999996</v>
      </c>
      <c r="S472">
        <v>48</v>
      </c>
      <c r="T472">
        <f t="shared" si="44"/>
        <v>412.79999999999995</v>
      </c>
      <c r="U472">
        <v>0.02</v>
      </c>
      <c r="V472">
        <f t="shared" si="45"/>
        <v>8.2559999999999985</v>
      </c>
      <c r="W472">
        <f t="shared" si="46"/>
        <v>404.54399999999998</v>
      </c>
      <c r="X472">
        <v>6.19</v>
      </c>
      <c r="Y472">
        <f t="shared" si="47"/>
        <v>410.73399999999998</v>
      </c>
    </row>
    <row r="473" spans="1:25" x14ac:dyDescent="0.25">
      <c r="A473" t="s">
        <v>1358</v>
      </c>
      <c r="B473">
        <v>42011</v>
      </c>
      <c r="C473" t="str">
        <f t="shared" si="42"/>
        <v>2015</v>
      </c>
      <c r="D473" t="s">
        <v>711</v>
      </c>
      <c r="E473" t="s">
        <v>409</v>
      </c>
      <c r="F473" t="s">
        <v>257</v>
      </c>
      <c r="G473" t="s">
        <v>258</v>
      </c>
      <c r="H473" t="s">
        <v>274</v>
      </c>
      <c r="I473" t="s">
        <v>342</v>
      </c>
      <c r="J473" t="s">
        <v>294</v>
      </c>
      <c r="K473" t="s">
        <v>607</v>
      </c>
      <c r="L473" t="s">
        <v>245</v>
      </c>
      <c r="M473" t="s">
        <v>246</v>
      </c>
      <c r="N473" t="s">
        <v>263</v>
      </c>
      <c r="O473">
        <v>42013</v>
      </c>
      <c r="P473">
        <v>4.46</v>
      </c>
      <c r="Q473">
        <v>10.89</v>
      </c>
      <c r="R473">
        <f t="shared" si="43"/>
        <v>6.4300000000000006</v>
      </c>
      <c r="S473">
        <v>37</v>
      </c>
      <c r="T473">
        <f t="shared" si="44"/>
        <v>402.93</v>
      </c>
      <c r="U473">
        <v>0</v>
      </c>
      <c r="V473">
        <f t="shared" si="45"/>
        <v>0</v>
      </c>
      <c r="W473">
        <f t="shared" si="46"/>
        <v>402.93</v>
      </c>
      <c r="X473">
        <v>4.5</v>
      </c>
      <c r="Y473">
        <f t="shared" si="47"/>
        <v>407.43</v>
      </c>
    </row>
    <row r="474" spans="1:25" x14ac:dyDescent="0.25">
      <c r="A474" t="s">
        <v>1359</v>
      </c>
      <c r="B474">
        <v>42013</v>
      </c>
      <c r="C474" t="str">
        <f t="shared" si="42"/>
        <v>2015</v>
      </c>
      <c r="D474" t="s">
        <v>1360</v>
      </c>
      <c r="E474" t="s">
        <v>303</v>
      </c>
      <c r="F474" t="s">
        <v>239</v>
      </c>
      <c r="G474" t="s">
        <v>240</v>
      </c>
      <c r="H474" t="s">
        <v>274</v>
      </c>
      <c r="I474" t="s">
        <v>242</v>
      </c>
      <c r="J474" t="s">
        <v>243</v>
      </c>
      <c r="K474" t="s">
        <v>1051</v>
      </c>
      <c r="L474" t="s">
        <v>245</v>
      </c>
      <c r="M474" t="s">
        <v>253</v>
      </c>
      <c r="N474" t="s">
        <v>247</v>
      </c>
      <c r="O474">
        <v>42015</v>
      </c>
      <c r="P474">
        <v>0.87</v>
      </c>
      <c r="Q474">
        <v>1.81</v>
      </c>
      <c r="R474">
        <f t="shared" si="43"/>
        <v>0.94000000000000006</v>
      </c>
      <c r="S474">
        <v>9</v>
      </c>
      <c r="T474">
        <f t="shared" si="44"/>
        <v>16.29</v>
      </c>
      <c r="U474">
        <v>0.09</v>
      </c>
      <c r="V474">
        <f t="shared" si="45"/>
        <v>1.4661</v>
      </c>
      <c r="W474">
        <f t="shared" si="46"/>
        <v>14.823899999999998</v>
      </c>
      <c r="X474">
        <v>0.75</v>
      </c>
      <c r="Y474">
        <f t="shared" si="47"/>
        <v>15.573899999999998</v>
      </c>
    </row>
    <row r="475" spans="1:25" x14ac:dyDescent="0.25">
      <c r="A475" t="s">
        <v>1361</v>
      </c>
      <c r="B475">
        <v>42014</v>
      </c>
      <c r="C475" t="str">
        <f t="shared" si="42"/>
        <v>2015</v>
      </c>
      <c r="D475" t="s">
        <v>1362</v>
      </c>
      <c r="E475" t="s">
        <v>359</v>
      </c>
      <c r="F475" t="s">
        <v>239</v>
      </c>
      <c r="G475" t="s">
        <v>240</v>
      </c>
      <c r="H475" t="s">
        <v>241</v>
      </c>
      <c r="I475" t="s">
        <v>251</v>
      </c>
      <c r="J475" t="s">
        <v>304</v>
      </c>
      <c r="K475" t="s">
        <v>421</v>
      </c>
      <c r="L475" t="s">
        <v>245</v>
      </c>
      <c r="M475" t="s">
        <v>246</v>
      </c>
      <c r="N475" t="s">
        <v>247</v>
      </c>
      <c r="O475">
        <v>42016</v>
      </c>
      <c r="P475">
        <v>13.88</v>
      </c>
      <c r="Q475">
        <v>22.38</v>
      </c>
      <c r="R475">
        <f t="shared" si="43"/>
        <v>8.4999999999999982</v>
      </c>
      <c r="S475">
        <v>50</v>
      </c>
      <c r="T475">
        <f t="shared" si="44"/>
        <v>1119</v>
      </c>
      <c r="U475">
        <v>7.0000000000000007E-2</v>
      </c>
      <c r="V475">
        <f t="shared" si="45"/>
        <v>78.330000000000013</v>
      </c>
      <c r="W475">
        <f t="shared" si="46"/>
        <v>1040.67</v>
      </c>
      <c r="X475">
        <v>15.1</v>
      </c>
      <c r="Y475">
        <f t="shared" si="47"/>
        <v>1055.77</v>
      </c>
    </row>
    <row r="476" spans="1:25" x14ac:dyDescent="0.25">
      <c r="A476" t="s">
        <v>1363</v>
      </c>
      <c r="B476">
        <v>42014</v>
      </c>
      <c r="C476" t="str">
        <f t="shared" si="42"/>
        <v>2015</v>
      </c>
      <c r="D476" t="s">
        <v>484</v>
      </c>
      <c r="E476" t="s">
        <v>238</v>
      </c>
      <c r="F476" t="s">
        <v>239</v>
      </c>
      <c r="G476" t="s">
        <v>240</v>
      </c>
      <c r="H476" t="s">
        <v>274</v>
      </c>
      <c r="I476" t="s">
        <v>242</v>
      </c>
      <c r="J476" t="s">
        <v>279</v>
      </c>
      <c r="K476" t="s">
        <v>578</v>
      </c>
      <c r="L476" t="s">
        <v>245</v>
      </c>
      <c r="M476" t="s">
        <v>253</v>
      </c>
      <c r="N476" t="s">
        <v>247</v>
      </c>
      <c r="O476">
        <v>42014</v>
      </c>
      <c r="P476">
        <v>1.31</v>
      </c>
      <c r="Q476">
        <v>2.84</v>
      </c>
      <c r="R476">
        <f t="shared" si="43"/>
        <v>1.5299999999999998</v>
      </c>
      <c r="S476">
        <v>21</v>
      </c>
      <c r="T476">
        <f t="shared" si="44"/>
        <v>59.64</v>
      </c>
      <c r="U476">
        <v>0</v>
      </c>
      <c r="V476">
        <f t="shared" si="45"/>
        <v>0</v>
      </c>
      <c r="W476">
        <f t="shared" si="46"/>
        <v>59.64</v>
      </c>
      <c r="X476">
        <v>0.93</v>
      </c>
      <c r="Y476">
        <f t="shared" si="47"/>
        <v>60.57</v>
      </c>
    </row>
    <row r="477" spans="1:25" x14ac:dyDescent="0.25">
      <c r="A477" t="s">
        <v>1364</v>
      </c>
      <c r="B477">
        <v>42015</v>
      </c>
      <c r="C477" t="str">
        <f t="shared" si="42"/>
        <v>2015</v>
      </c>
      <c r="D477" t="s">
        <v>1365</v>
      </c>
      <c r="E477" t="s">
        <v>637</v>
      </c>
      <c r="F477" t="s">
        <v>239</v>
      </c>
      <c r="G477" t="s">
        <v>240</v>
      </c>
      <c r="H477" t="s">
        <v>259</v>
      </c>
      <c r="I477" t="s">
        <v>242</v>
      </c>
      <c r="J477" t="s">
        <v>294</v>
      </c>
      <c r="K477" t="s">
        <v>488</v>
      </c>
      <c r="L477" t="s">
        <v>268</v>
      </c>
      <c r="M477" t="s">
        <v>323</v>
      </c>
      <c r="N477" t="s">
        <v>247</v>
      </c>
      <c r="O477">
        <v>42016</v>
      </c>
      <c r="P477">
        <v>20.18</v>
      </c>
      <c r="Q477">
        <v>35.409999999999997</v>
      </c>
      <c r="R477">
        <f t="shared" si="43"/>
        <v>15.229999999999997</v>
      </c>
      <c r="S477">
        <v>1</v>
      </c>
      <c r="T477">
        <f t="shared" si="44"/>
        <v>35.409999999999997</v>
      </c>
      <c r="U477">
        <v>0</v>
      </c>
      <c r="V477">
        <f t="shared" si="45"/>
        <v>0</v>
      </c>
      <c r="W477">
        <f t="shared" si="46"/>
        <v>35.409999999999997</v>
      </c>
      <c r="X477">
        <v>1.99</v>
      </c>
      <c r="Y477">
        <f t="shared" si="47"/>
        <v>37.4</v>
      </c>
    </row>
    <row r="478" spans="1:25" x14ac:dyDescent="0.25">
      <c r="A478" t="s">
        <v>1366</v>
      </c>
      <c r="B478">
        <v>42015</v>
      </c>
      <c r="C478" t="str">
        <f t="shared" si="42"/>
        <v>2015</v>
      </c>
      <c r="D478" t="s">
        <v>993</v>
      </c>
      <c r="E478" t="s">
        <v>782</v>
      </c>
      <c r="F478" t="s">
        <v>257</v>
      </c>
      <c r="G478" t="s">
        <v>258</v>
      </c>
      <c r="H478" t="s">
        <v>241</v>
      </c>
      <c r="I478" t="s">
        <v>381</v>
      </c>
      <c r="J478" t="s">
        <v>294</v>
      </c>
      <c r="K478" t="s">
        <v>276</v>
      </c>
      <c r="L478" t="s">
        <v>245</v>
      </c>
      <c r="M478" t="s">
        <v>253</v>
      </c>
      <c r="N478" t="s">
        <v>247</v>
      </c>
      <c r="O478">
        <v>42017</v>
      </c>
      <c r="P478">
        <v>0.9</v>
      </c>
      <c r="Q478">
        <v>2.1</v>
      </c>
      <c r="R478">
        <f t="shared" si="43"/>
        <v>1.2000000000000002</v>
      </c>
      <c r="S478">
        <v>23</v>
      </c>
      <c r="T478">
        <f t="shared" si="44"/>
        <v>48.300000000000004</v>
      </c>
      <c r="U478">
        <v>0.06</v>
      </c>
      <c r="V478">
        <f t="shared" si="45"/>
        <v>2.8980000000000001</v>
      </c>
      <c r="W478">
        <f t="shared" si="46"/>
        <v>45.402000000000001</v>
      </c>
      <c r="X478">
        <v>0.7</v>
      </c>
      <c r="Y478">
        <f t="shared" si="47"/>
        <v>46.102000000000004</v>
      </c>
    </row>
    <row r="479" spans="1:25" x14ac:dyDescent="0.25">
      <c r="A479" t="s">
        <v>1367</v>
      </c>
      <c r="B479">
        <v>42016</v>
      </c>
      <c r="C479" t="str">
        <f t="shared" si="42"/>
        <v>2015</v>
      </c>
      <c r="D479" t="s">
        <v>1368</v>
      </c>
      <c r="E479" t="s">
        <v>816</v>
      </c>
      <c r="F479" t="s">
        <v>257</v>
      </c>
      <c r="G479" t="s">
        <v>258</v>
      </c>
      <c r="H479" t="s">
        <v>259</v>
      </c>
      <c r="I479" t="s">
        <v>492</v>
      </c>
      <c r="J479" t="s">
        <v>294</v>
      </c>
      <c r="K479" t="s">
        <v>349</v>
      </c>
      <c r="L479" t="s">
        <v>245</v>
      </c>
      <c r="M479" t="s">
        <v>246</v>
      </c>
      <c r="N479" t="s">
        <v>247</v>
      </c>
      <c r="O479">
        <v>42018</v>
      </c>
      <c r="P479">
        <v>3.52</v>
      </c>
      <c r="Q479">
        <v>5.68</v>
      </c>
      <c r="R479">
        <f t="shared" si="43"/>
        <v>2.1599999999999997</v>
      </c>
      <c r="S479">
        <v>18</v>
      </c>
      <c r="T479">
        <f t="shared" si="44"/>
        <v>102.24</v>
      </c>
      <c r="U479">
        <v>0.06</v>
      </c>
      <c r="V479">
        <f t="shared" si="45"/>
        <v>6.1343999999999994</v>
      </c>
      <c r="W479">
        <f t="shared" si="46"/>
        <v>96.105599999999995</v>
      </c>
      <c r="X479">
        <v>1.39</v>
      </c>
      <c r="Y479">
        <f t="shared" si="47"/>
        <v>97.495599999999996</v>
      </c>
    </row>
    <row r="480" spans="1:25" x14ac:dyDescent="0.25">
      <c r="A480" t="s">
        <v>1369</v>
      </c>
      <c r="B480">
        <v>42016</v>
      </c>
      <c r="C480" t="str">
        <f t="shared" si="42"/>
        <v>2015</v>
      </c>
      <c r="D480" t="s">
        <v>427</v>
      </c>
      <c r="E480" t="s">
        <v>428</v>
      </c>
      <c r="F480" t="s">
        <v>257</v>
      </c>
      <c r="G480" t="s">
        <v>258</v>
      </c>
      <c r="H480" t="s">
        <v>274</v>
      </c>
      <c r="I480" t="s">
        <v>333</v>
      </c>
      <c r="J480" t="s">
        <v>261</v>
      </c>
      <c r="K480" t="s">
        <v>519</v>
      </c>
      <c r="L480" t="s">
        <v>245</v>
      </c>
      <c r="M480" t="s">
        <v>253</v>
      </c>
      <c r="N480" t="s">
        <v>247</v>
      </c>
      <c r="O480">
        <v>42017</v>
      </c>
      <c r="P480">
        <v>2.9</v>
      </c>
      <c r="Q480">
        <v>4.76</v>
      </c>
      <c r="R480">
        <f t="shared" si="43"/>
        <v>1.8599999999999999</v>
      </c>
      <c r="S480">
        <v>42</v>
      </c>
      <c r="T480">
        <f t="shared" si="44"/>
        <v>199.92</v>
      </c>
      <c r="U480">
        <v>7.0000000000000007E-2</v>
      </c>
      <c r="V480">
        <f t="shared" si="45"/>
        <v>13.994400000000001</v>
      </c>
      <c r="W480">
        <f t="shared" si="46"/>
        <v>185.92559999999997</v>
      </c>
      <c r="X480">
        <v>0.88</v>
      </c>
      <c r="Y480">
        <f t="shared" si="47"/>
        <v>186.80559999999997</v>
      </c>
    </row>
    <row r="481" spans="1:25" x14ac:dyDescent="0.25">
      <c r="A481" t="s">
        <v>1370</v>
      </c>
      <c r="B481">
        <v>42017</v>
      </c>
      <c r="C481" t="str">
        <f t="shared" si="42"/>
        <v>2015</v>
      </c>
      <c r="D481" t="s">
        <v>754</v>
      </c>
      <c r="E481" t="s">
        <v>316</v>
      </c>
      <c r="F481" t="s">
        <v>239</v>
      </c>
      <c r="G481" t="s">
        <v>240</v>
      </c>
      <c r="H481" t="s">
        <v>274</v>
      </c>
      <c r="I481" t="s">
        <v>242</v>
      </c>
      <c r="J481" t="s">
        <v>243</v>
      </c>
      <c r="K481" t="s">
        <v>1351</v>
      </c>
      <c r="L481" t="s">
        <v>245</v>
      </c>
      <c r="M481" t="s">
        <v>323</v>
      </c>
      <c r="N481" t="s">
        <v>247</v>
      </c>
      <c r="O481">
        <v>42018</v>
      </c>
      <c r="P481">
        <v>2.87</v>
      </c>
      <c r="Q481">
        <v>6.84</v>
      </c>
      <c r="R481">
        <f t="shared" si="43"/>
        <v>3.9699999999999998</v>
      </c>
      <c r="S481">
        <v>26</v>
      </c>
      <c r="T481">
        <f t="shared" si="44"/>
        <v>177.84</v>
      </c>
      <c r="U481">
        <v>0.08</v>
      </c>
      <c r="V481">
        <f t="shared" si="45"/>
        <v>14.2272</v>
      </c>
      <c r="W481">
        <f t="shared" si="46"/>
        <v>163.61279999999999</v>
      </c>
      <c r="X481">
        <v>4.42</v>
      </c>
      <c r="Y481">
        <f t="shared" si="47"/>
        <v>168.03279999999998</v>
      </c>
    </row>
    <row r="482" spans="1:25" x14ac:dyDescent="0.25">
      <c r="A482" t="s">
        <v>1371</v>
      </c>
      <c r="B482">
        <v>42017</v>
      </c>
      <c r="C482" t="str">
        <f t="shared" si="42"/>
        <v>2015</v>
      </c>
      <c r="D482" t="s">
        <v>1362</v>
      </c>
      <c r="E482" t="s">
        <v>359</v>
      </c>
      <c r="F482" t="s">
        <v>239</v>
      </c>
      <c r="G482" t="s">
        <v>240</v>
      </c>
      <c r="H482" t="s">
        <v>241</v>
      </c>
      <c r="I482" t="s">
        <v>251</v>
      </c>
      <c r="J482" t="s">
        <v>294</v>
      </c>
      <c r="K482" t="s">
        <v>276</v>
      </c>
      <c r="L482" t="s">
        <v>245</v>
      </c>
      <c r="M482" t="s">
        <v>253</v>
      </c>
      <c r="N482" t="s">
        <v>247</v>
      </c>
      <c r="O482">
        <v>42019</v>
      </c>
      <c r="P482">
        <v>0.9</v>
      </c>
      <c r="Q482">
        <v>2.1</v>
      </c>
      <c r="R482">
        <f t="shared" si="43"/>
        <v>1.2000000000000002</v>
      </c>
      <c r="S482">
        <v>34</v>
      </c>
      <c r="T482">
        <f t="shared" si="44"/>
        <v>71.400000000000006</v>
      </c>
      <c r="U482">
        <v>0.02</v>
      </c>
      <c r="V482">
        <f t="shared" si="45"/>
        <v>1.4280000000000002</v>
      </c>
      <c r="W482">
        <f t="shared" si="46"/>
        <v>69.972000000000008</v>
      </c>
      <c r="X482">
        <v>0.7</v>
      </c>
      <c r="Y482">
        <f t="shared" si="47"/>
        <v>70.672000000000011</v>
      </c>
    </row>
    <row r="483" spans="1:25" x14ac:dyDescent="0.25">
      <c r="A483" t="s">
        <v>1372</v>
      </c>
      <c r="B483">
        <v>42018</v>
      </c>
      <c r="C483" t="str">
        <f t="shared" si="42"/>
        <v>2015</v>
      </c>
      <c r="D483" t="s">
        <v>842</v>
      </c>
      <c r="E483" t="s">
        <v>292</v>
      </c>
      <c r="F483" t="s">
        <v>257</v>
      </c>
      <c r="G483" t="s">
        <v>258</v>
      </c>
      <c r="H483" t="s">
        <v>259</v>
      </c>
      <c r="I483" t="s">
        <v>260</v>
      </c>
      <c r="J483" t="s">
        <v>261</v>
      </c>
      <c r="K483" t="s">
        <v>421</v>
      </c>
      <c r="L483" t="s">
        <v>245</v>
      </c>
      <c r="M483" t="s">
        <v>246</v>
      </c>
      <c r="N483" t="s">
        <v>247</v>
      </c>
      <c r="O483">
        <v>42019</v>
      </c>
      <c r="P483">
        <v>13.88</v>
      </c>
      <c r="Q483">
        <v>22.38</v>
      </c>
      <c r="R483">
        <f t="shared" si="43"/>
        <v>8.4999999999999982</v>
      </c>
      <c r="S483">
        <v>39</v>
      </c>
      <c r="T483">
        <f t="shared" si="44"/>
        <v>872.81999999999994</v>
      </c>
      <c r="U483">
        <v>7.0000000000000007E-2</v>
      </c>
      <c r="V483">
        <f t="shared" si="45"/>
        <v>61.0974</v>
      </c>
      <c r="W483">
        <f t="shared" si="46"/>
        <v>811.72259999999994</v>
      </c>
      <c r="X483">
        <v>15.1</v>
      </c>
      <c r="Y483">
        <f t="shared" si="47"/>
        <v>826.82259999999997</v>
      </c>
    </row>
    <row r="484" spans="1:25" x14ac:dyDescent="0.25">
      <c r="A484" t="s">
        <v>1373</v>
      </c>
      <c r="B484">
        <v>42019</v>
      </c>
      <c r="C484" t="str">
        <f t="shared" si="42"/>
        <v>2015</v>
      </c>
      <c r="D484" t="s">
        <v>1374</v>
      </c>
      <c r="E484" t="s">
        <v>367</v>
      </c>
      <c r="F484" t="s">
        <v>239</v>
      </c>
      <c r="G484" t="s">
        <v>240</v>
      </c>
      <c r="H484" t="s">
        <v>259</v>
      </c>
      <c r="I484" t="s">
        <v>251</v>
      </c>
      <c r="J484" t="s">
        <v>261</v>
      </c>
      <c r="K484" t="s">
        <v>1119</v>
      </c>
      <c r="L484" t="s">
        <v>245</v>
      </c>
      <c r="M484" t="s">
        <v>246</v>
      </c>
      <c r="N484" t="s">
        <v>247</v>
      </c>
      <c r="O484">
        <v>42021</v>
      </c>
      <c r="P484">
        <v>1.84</v>
      </c>
      <c r="Q484">
        <v>2.88</v>
      </c>
      <c r="R484">
        <f t="shared" si="43"/>
        <v>1.0399999999999998</v>
      </c>
      <c r="S484">
        <v>27</v>
      </c>
      <c r="T484">
        <f t="shared" si="44"/>
        <v>77.759999999999991</v>
      </c>
      <c r="U484">
        <v>0.06</v>
      </c>
      <c r="V484">
        <f t="shared" si="45"/>
        <v>4.6655999999999995</v>
      </c>
      <c r="W484">
        <f t="shared" si="46"/>
        <v>73.094399999999993</v>
      </c>
      <c r="X484">
        <v>0.99</v>
      </c>
      <c r="Y484">
        <f t="shared" si="47"/>
        <v>74.084399999999988</v>
      </c>
    </row>
    <row r="485" spans="1:25" x14ac:dyDescent="0.25">
      <c r="A485" t="s">
        <v>1375</v>
      </c>
      <c r="B485">
        <v>42020</v>
      </c>
      <c r="C485" t="str">
        <f t="shared" si="42"/>
        <v>2015</v>
      </c>
      <c r="D485" t="s">
        <v>1159</v>
      </c>
      <c r="E485" t="s">
        <v>376</v>
      </c>
      <c r="F485" t="s">
        <v>239</v>
      </c>
      <c r="G485" t="s">
        <v>240</v>
      </c>
      <c r="H485" t="s">
        <v>259</v>
      </c>
      <c r="I485" t="s">
        <v>242</v>
      </c>
      <c r="J485" t="s">
        <v>243</v>
      </c>
      <c r="K485" t="s">
        <v>1025</v>
      </c>
      <c r="L485" t="s">
        <v>268</v>
      </c>
      <c r="M485" t="s">
        <v>269</v>
      </c>
      <c r="N485" t="s">
        <v>270</v>
      </c>
      <c r="O485">
        <v>42021</v>
      </c>
      <c r="P485">
        <v>315.61</v>
      </c>
      <c r="Q485">
        <v>500.97</v>
      </c>
      <c r="R485">
        <f t="shared" si="43"/>
        <v>185.36</v>
      </c>
      <c r="S485">
        <v>37</v>
      </c>
      <c r="T485">
        <f t="shared" si="44"/>
        <v>18535.89</v>
      </c>
      <c r="U485">
        <v>0</v>
      </c>
      <c r="V485">
        <f t="shared" si="45"/>
        <v>0</v>
      </c>
      <c r="W485">
        <f t="shared" si="46"/>
        <v>18535.89</v>
      </c>
      <c r="X485">
        <v>69.3</v>
      </c>
      <c r="Y485">
        <f t="shared" si="47"/>
        <v>18605.189999999999</v>
      </c>
    </row>
    <row r="486" spans="1:25" x14ac:dyDescent="0.25">
      <c r="A486" t="s">
        <v>1376</v>
      </c>
      <c r="B486">
        <v>42021</v>
      </c>
      <c r="C486" t="str">
        <f t="shared" si="42"/>
        <v>2015</v>
      </c>
      <c r="D486" t="s">
        <v>1377</v>
      </c>
      <c r="E486" t="s">
        <v>739</v>
      </c>
      <c r="F486" t="s">
        <v>257</v>
      </c>
      <c r="G486" t="s">
        <v>258</v>
      </c>
      <c r="H486" t="s">
        <v>241</v>
      </c>
      <c r="I486" t="s">
        <v>299</v>
      </c>
      <c r="J486" t="s">
        <v>304</v>
      </c>
      <c r="K486" t="s">
        <v>285</v>
      </c>
      <c r="L486" t="s">
        <v>245</v>
      </c>
      <c r="M486" t="s">
        <v>246</v>
      </c>
      <c r="N486" t="s">
        <v>263</v>
      </c>
      <c r="O486">
        <v>42023</v>
      </c>
      <c r="P486">
        <v>99.39</v>
      </c>
      <c r="Q486">
        <v>162.93</v>
      </c>
      <c r="R486">
        <f t="shared" si="43"/>
        <v>63.540000000000006</v>
      </c>
      <c r="S486">
        <v>48</v>
      </c>
      <c r="T486">
        <f t="shared" si="44"/>
        <v>7820.64</v>
      </c>
      <c r="U486">
        <v>0.04</v>
      </c>
      <c r="V486">
        <f t="shared" si="45"/>
        <v>312.82560000000001</v>
      </c>
      <c r="W486">
        <f t="shared" si="46"/>
        <v>7507.8144000000002</v>
      </c>
      <c r="X486">
        <v>19.989999999999998</v>
      </c>
      <c r="Y486">
        <f t="shared" si="47"/>
        <v>7527.8044</v>
      </c>
    </row>
    <row r="487" spans="1:25" x14ac:dyDescent="0.25">
      <c r="A487" t="s">
        <v>1378</v>
      </c>
      <c r="B487">
        <v>42024</v>
      </c>
      <c r="C487" t="str">
        <f t="shared" si="42"/>
        <v>2015</v>
      </c>
      <c r="D487" t="s">
        <v>882</v>
      </c>
      <c r="E487" t="s">
        <v>816</v>
      </c>
      <c r="F487" t="s">
        <v>257</v>
      </c>
      <c r="G487" t="s">
        <v>258</v>
      </c>
      <c r="H487" t="s">
        <v>274</v>
      </c>
      <c r="I487" t="s">
        <v>492</v>
      </c>
      <c r="J487" t="s">
        <v>294</v>
      </c>
      <c r="K487" t="s">
        <v>1266</v>
      </c>
      <c r="L487" t="s">
        <v>245</v>
      </c>
      <c r="M487" t="s">
        <v>253</v>
      </c>
      <c r="N487" t="s">
        <v>247</v>
      </c>
      <c r="O487">
        <v>42025</v>
      </c>
      <c r="P487">
        <v>4.4800000000000004</v>
      </c>
      <c r="Q487">
        <v>8.14</v>
      </c>
      <c r="R487">
        <f t="shared" si="43"/>
        <v>3.66</v>
      </c>
      <c r="S487">
        <v>23</v>
      </c>
      <c r="T487">
        <f t="shared" si="44"/>
        <v>187.22000000000003</v>
      </c>
      <c r="U487">
        <v>7.0000000000000007E-2</v>
      </c>
      <c r="V487">
        <f t="shared" si="45"/>
        <v>13.105400000000003</v>
      </c>
      <c r="W487">
        <f t="shared" si="46"/>
        <v>174.11460000000002</v>
      </c>
      <c r="X487">
        <v>3.12</v>
      </c>
      <c r="Y487">
        <f t="shared" si="47"/>
        <v>177.23460000000003</v>
      </c>
    </row>
    <row r="488" spans="1:25" x14ac:dyDescent="0.25">
      <c r="A488" t="s">
        <v>1379</v>
      </c>
      <c r="B488">
        <v>42024</v>
      </c>
      <c r="C488" t="str">
        <f t="shared" si="42"/>
        <v>2015</v>
      </c>
      <c r="D488" t="s">
        <v>882</v>
      </c>
      <c r="E488" t="s">
        <v>816</v>
      </c>
      <c r="F488" t="s">
        <v>257</v>
      </c>
      <c r="G488" t="s">
        <v>258</v>
      </c>
      <c r="H488" t="s">
        <v>274</v>
      </c>
      <c r="I488" t="s">
        <v>492</v>
      </c>
      <c r="J488" t="s">
        <v>294</v>
      </c>
      <c r="K488" t="s">
        <v>453</v>
      </c>
      <c r="L488" t="s">
        <v>245</v>
      </c>
      <c r="M488" t="s">
        <v>246</v>
      </c>
      <c r="N488" t="s">
        <v>247</v>
      </c>
      <c r="O488">
        <v>42025</v>
      </c>
      <c r="P488">
        <v>1.18</v>
      </c>
      <c r="Q488">
        <v>1.88</v>
      </c>
      <c r="R488">
        <f t="shared" si="43"/>
        <v>0.7</v>
      </c>
      <c r="S488">
        <v>33</v>
      </c>
      <c r="T488">
        <f t="shared" si="44"/>
        <v>62.04</v>
      </c>
      <c r="U488">
        <v>0.05</v>
      </c>
      <c r="V488">
        <f t="shared" si="45"/>
        <v>3.1020000000000003</v>
      </c>
      <c r="W488">
        <f t="shared" si="46"/>
        <v>58.938000000000002</v>
      </c>
      <c r="X488">
        <v>1.49</v>
      </c>
      <c r="Y488">
        <f t="shared" si="47"/>
        <v>60.428000000000004</v>
      </c>
    </row>
    <row r="489" spans="1:25" x14ac:dyDescent="0.25">
      <c r="A489" t="s">
        <v>1380</v>
      </c>
      <c r="B489">
        <v>42025</v>
      </c>
      <c r="C489" t="str">
        <f t="shared" si="42"/>
        <v>2015</v>
      </c>
      <c r="D489" t="s">
        <v>1381</v>
      </c>
      <c r="E489" t="s">
        <v>341</v>
      </c>
      <c r="F489" t="s">
        <v>257</v>
      </c>
      <c r="G489" t="s">
        <v>258</v>
      </c>
      <c r="H489" t="s">
        <v>293</v>
      </c>
      <c r="I489" t="s">
        <v>342</v>
      </c>
      <c r="J489" t="s">
        <v>243</v>
      </c>
      <c r="K489" t="s">
        <v>472</v>
      </c>
      <c r="L489" t="s">
        <v>245</v>
      </c>
      <c r="M489" t="s">
        <v>246</v>
      </c>
      <c r="N489" t="s">
        <v>247</v>
      </c>
      <c r="O489">
        <v>42027</v>
      </c>
      <c r="P489">
        <v>2.25</v>
      </c>
      <c r="Q489">
        <v>3.69</v>
      </c>
      <c r="R489">
        <f t="shared" si="43"/>
        <v>1.44</v>
      </c>
      <c r="S489">
        <v>13</v>
      </c>
      <c r="T489">
        <f t="shared" si="44"/>
        <v>47.97</v>
      </c>
      <c r="U489">
        <v>0.05</v>
      </c>
      <c r="V489">
        <f t="shared" si="45"/>
        <v>2.3985000000000003</v>
      </c>
      <c r="W489">
        <f t="shared" si="46"/>
        <v>45.5715</v>
      </c>
      <c r="X489">
        <v>2.5</v>
      </c>
      <c r="Y489">
        <f t="shared" si="47"/>
        <v>48.0715</v>
      </c>
    </row>
    <row r="490" spans="1:25" x14ac:dyDescent="0.25">
      <c r="A490" t="s">
        <v>1382</v>
      </c>
      <c r="B490">
        <v>42026</v>
      </c>
      <c r="C490" t="str">
        <f t="shared" si="42"/>
        <v>2015</v>
      </c>
      <c r="D490" t="s">
        <v>1102</v>
      </c>
      <c r="E490" t="s">
        <v>1103</v>
      </c>
      <c r="F490" t="s">
        <v>448</v>
      </c>
      <c r="G490" t="s">
        <v>449</v>
      </c>
      <c r="H490" t="s">
        <v>259</v>
      </c>
      <c r="I490" t="s">
        <v>284</v>
      </c>
      <c r="J490" t="s">
        <v>261</v>
      </c>
      <c r="K490" t="s">
        <v>413</v>
      </c>
      <c r="L490" t="s">
        <v>268</v>
      </c>
      <c r="M490" t="s">
        <v>414</v>
      </c>
      <c r="N490" t="s">
        <v>247</v>
      </c>
      <c r="O490">
        <v>42027</v>
      </c>
      <c r="P490">
        <v>8.82</v>
      </c>
      <c r="Q490">
        <v>20.99</v>
      </c>
      <c r="R490">
        <f t="shared" si="43"/>
        <v>12.169999999999998</v>
      </c>
      <c r="S490">
        <v>3</v>
      </c>
      <c r="T490">
        <f t="shared" si="44"/>
        <v>62.97</v>
      </c>
      <c r="U490">
        <v>0.01</v>
      </c>
      <c r="V490">
        <f t="shared" si="45"/>
        <v>0.62970000000000004</v>
      </c>
      <c r="W490">
        <f t="shared" si="46"/>
        <v>62.340299999999999</v>
      </c>
      <c r="X490">
        <v>4.8099999999999996</v>
      </c>
      <c r="Y490">
        <f t="shared" si="47"/>
        <v>67.150300000000001</v>
      </c>
    </row>
    <row r="491" spans="1:25" x14ac:dyDescent="0.25">
      <c r="A491" t="s">
        <v>1383</v>
      </c>
      <c r="B491">
        <v>42026</v>
      </c>
      <c r="C491" t="str">
        <f t="shared" si="42"/>
        <v>2015</v>
      </c>
      <c r="D491" t="s">
        <v>1102</v>
      </c>
      <c r="E491" t="s">
        <v>1103</v>
      </c>
      <c r="F491" t="s">
        <v>448</v>
      </c>
      <c r="G491" t="s">
        <v>449</v>
      </c>
      <c r="H491" t="s">
        <v>259</v>
      </c>
      <c r="I491" t="s">
        <v>284</v>
      </c>
      <c r="J491" t="s">
        <v>261</v>
      </c>
      <c r="K491" t="s">
        <v>421</v>
      </c>
      <c r="L491" t="s">
        <v>245</v>
      </c>
      <c r="M491" t="s">
        <v>246</v>
      </c>
      <c r="N491" t="s">
        <v>263</v>
      </c>
      <c r="O491">
        <v>42026</v>
      </c>
      <c r="P491">
        <v>13.88</v>
      </c>
      <c r="Q491">
        <v>22.38</v>
      </c>
      <c r="R491">
        <f t="shared" si="43"/>
        <v>8.4999999999999982</v>
      </c>
      <c r="S491">
        <v>42</v>
      </c>
      <c r="T491">
        <f t="shared" si="44"/>
        <v>939.95999999999992</v>
      </c>
      <c r="U491">
        <v>7.0000000000000007E-2</v>
      </c>
      <c r="V491">
        <f t="shared" si="45"/>
        <v>65.797200000000004</v>
      </c>
      <c r="W491">
        <f t="shared" si="46"/>
        <v>874.16279999999995</v>
      </c>
      <c r="X491">
        <v>15.1</v>
      </c>
      <c r="Y491">
        <f t="shared" si="47"/>
        <v>889.26279999999997</v>
      </c>
    </row>
    <row r="492" spans="1:25" x14ac:dyDescent="0.25">
      <c r="A492" t="s">
        <v>1383</v>
      </c>
      <c r="B492">
        <v>42026</v>
      </c>
      <c r="C492" t="str">
        <f t="shared" si="42"/>
        <v>2015</v>
      </c>
      <c r="D492" t="s">
        <v>1102</v>
      </c>
      <c r="E492" t="s">
        <v>1103</v>
      </c>
      <c r="F492" t="s">
        <v>448</v>
      </c>
      <c r="G492" t="s">
        <v>449</v>
      </c>
      <c r="H492" t="s">
        <v>259</v>
      </c>
      <c r="I492" t="s">
        <v>284</v>
      </c>
      <c r="J492" t="s">
        <v>261</v>
      </c>
      <c r="K492" t="s">
        <v>373</v>
      </c>
      <c r="L492" t="s">
        <v>268</v>
      </c>
      <c r="M492" t="s">
        <v>246</v>
      </c>
      <c r="N492" t="s">
        <v>247</v>
      </c>
      <c r="O492">
        <v>42028</v>
      </c>
      <c r="P492">
        <v>6.39</v>
      </c>
      <c r="Q492">
        <v>19.98</v>
      </c>
      <c r="R492">
        <f t="shared" si="43"/>
        <v>13.59</v>
      </c>
      <c r="S492">
        <v>45</v>
      </c>
      <c r="T492">
        <f t="shared" si="44"/>
        <v>899.1</v>
      </c>
      <c r="U492">
        <v>0.06</v>
      </c>
      <c r="V492">
        <f t="shared" si="45"/>
        <v>53.945999999999998</v>
      </c>
      <c r="W492">
        <f t="shared" si="46"/>
        <v>845.154</v>
      </c>
      <c r="X492">
        <v>4</v>
      </c>
      <c r="Y492">
        <f t="shared" si="47"/>
        <v>849.154</v>
      </c>
    </row>
    <row r="493" spans="1:25" x14ac:dyDescent="0.25">
      <c r="A493" t="s">
        <v>1384</v>
      </c>
      <c r="B493">
        <v>42027</v>
      </c>
      <c r="C493" t="str">
        <f t="shared" si="42"/>
        <v>2015</v>
      </c>
      <c r="D493" t="s">
        <v>574</v>
      </c>
      <c r="E493" t="s">
        <v>575</v>
      </c>
      <c r="F493" t="s">
        <v>257</v>
      </c>
      <c r="G493" t="s">
        <v>258</v>
      </c>
      <c r="H493" t="s">
        <v>274</v>
      </c>
      <c r="I493" t="s">
        <v>381</v>
      </c>
      <c r="J493" t="s">
        <v>294</v>
      </c>
      <c r="K493" t="s">
        <v>262</v>
      </c>
      <c r="L493" t="s">
        <v>245</v>
      </c>
      <c r="M493" t="s">
        <v>253</v>
      </c>
      <c r="N493" t="s">
        <v>247</v>
      </c>
      <c r="O493">
        <v>42029</v>
      </c>
      <c r="P493">
        <v>2.41</v>
      </c>
      <c r="Q493">
        <v>3.71</v>
      </c>
      <c r="R493">
        <f t="shared" si="43"/>
        <v>1.2999999999999998</v>
      </c>
      <c r="S493">
        <v>14</v>
      </c>
      <c r="T493">
        <f t="shared" si="44"/>
        <v>51.94</v>
      </c>
      <c r="U493">
        <v>0.09</v>
      </c>
      <c r="V493">
        <f t="shared" si="45"/>
        <v>4.6745999999999999</v>
      </c>
      <c r="W493">
        <f t="shared" si="46"/>
        <v>47.2654</v>
      </c>
      <c r="X493">
        <v>1.93</v>
      </c>
      <c r="Y493">
        <f t="shared" si="47"/>
        <v>49.195399999999999</v>
      </c>
    </row>
    <row r="494" spans="1:25" x14ac:dyDescent="0.25">
      <c r="A494" t="s">
        <v>1385</v>
      </c>
      <c r="B494">
        <v>42030</v>
      </c>
      <c r="C494" t="str">
        <f t="shared" si="42"/>
        <v>2015</v>
      </c>
      <c r="D494" t="s">
        <v>771</v>
      </c>
      <c r="E494" t="s">
        <v>288</v>
      </c>
      <c r="F494" t="s">
        <v>257</v>
      </c>
      <c r="G494" t="s">
        <v>258</v>
      </c>
      <c r="H494" t="s">
        <v>274</v>
      </c>
      <c r="I494" t="s">
        <v>284</v>
      </c>
      <c r="J494" t="s">
        <v>294</v>
      </c>
      <c r="K494" t="s">
        <v>317</v>
      </c>
      <c r="L494" t="s">
        <v>245</v>
      </c>
      <c r="M494" t="s">
        <v>253</v>
      </c>
      <c r="N494" t="s">
        <v>247</v>
      </c>
      <c r="O494">
        <v>42032</v>
      </c>
      <c r="P494">
        <v>0.71</v>
      </c>
      <c r="Q494">
        <v>1.1399999999999999</v>
      </c>
      <c r="R494">
        <f t="shared" si="43"/>
        <v>0.42999999999999994</v>
      </c>
      <c r="S494">
        <v>42</v>
      </c>
      <c r="T494">
        <f t="shared" si="44"/>
        <v>47.879999999999995</v>
      </c>
      <c r="U494">
        <v>0.06</v>
      </c>
      <c r="V494">
        <f t="shared" si="45"/>
        <v>2.8727999999999998</v>
      </c>
      <c r="W494">
        <f t="shared" si="46"/>
        <v>45.007199999999997</v>
      </c>
      <c r="X494">
        <v>0.7</v>
      </c>
      <c r="Y494">
        <f t="shared" si="47"/>
        <v>45.7072</v>
      </c>
    </row>
    <row r="495" spans="1:25" x14ac:dyDescent="0.25">
      <c r="A495" t="s">
        <v>1386</v>
      </c>
      <c r="B495">
        <v>42032</v>
      </c>
      <c r="C495" t="str">
        <f t="shared" si="42"/>
        <v>2015</v>
      </c>
      <c r="D495" t="s">
        <v>826</v>
      </c>
      <c r="E495" t="s">
        <v>352</v>
      </c>
      <c r="F495" t="s">
        <v>257</v>
      </c>
      <c r="G495" t="s">
        <v>258</v>
      </c>
      <c r="H495" t="s">
        <v>293</v>
      </c>
      <c r="I495" t="s">
        <v>275</v>
      </c>
      <c r="J495" t="s">
        <v>304</v>
      </c>
      <c r="K495" t="s">
        <v>799</v>
      </c>
      <c r="L495" t="s">
        <v>245</v>
      </c>
      <c r="M495" t="s">
        <v>246</v>
      </c>
      <c r="N495" t="s">
        <v>247</v>
      </c>
      <c r="O495">
        <v>42033</v>
      </c>
      <c r="P495">
        <v>2.29</v>
      </c>
      <c r="Q495">
        <v>3.69</v>
      </c>
      <c r="R495">
        <f t="shared" si="43"/>
        <v>1.4</v>
      </c>
      <c r="S495">
        <v>4</v>
      </c>
      <c r="T495">
        <f t="shared" si="44"/>
        <v>14.76</v>
      </c>
      <c r="U495">
        <v>0.01</v>
      </c>
      <c r="V495">
        <f t="shared" si="45"/>
        <v>0.14760000000000001</v>
      </c>
      <c r="W495">
        <f t="shared" si="46"/>
        <v>14.612399999999999</v>
      </c>
      <c r="X495">
        <v>0.5</v>
      </c>
      <c r="Y495">
        <f t="shared" si="47"/>
        <v>15.112399999999999</v>
      </c>
    </row>
    <row r="496" spans="1:25" x14ac:dyDescent="0.25">
      <c r="A496" t="s">
        <v>1387</v>
      </c>
      <c r="B496">
        <v>42034</v>
      </c>
      <c r="C496" t="str">
        <f t="shared" si="42"/>
        <v>2015</v>
      </c>
      <c r="D496" t="s">
        <v>619</v>
      </c>
      <c r="E496" t="s">
        <v>620</v>
      </c>
      <c r="F496" t="s">
        <v>257</v>
      </c>
      <c r="G496" t="s">
        <v>258</v>
      </c>
      <c r="H496" t="s">
        <v>259</v>
      </c>
      <c r="I496" t="s">
        <v>275</v>
      </c>
      <c r="J496" t="s">
        <v>294</v>
      </c>
      <c r="K496" t="s">
        <v>377</v>
      </c>
      <c r="L496" t="s">
        <v>268</v>
      </c>
      <c r="M496" t="s">
        <v>246</v>
      </c>
      <c r="N496" t="s">
        <v>247</v>
      </c>
      <c r="O496">
        <v>42035</v>
      </c>
      <c r="P496">
        <v>32.020000000000003</v>
      </c>
      <c r="Q496">
        <v>152.47999999999999</v>
      </c>
      <c r="R496">
        <f t="shared" si="43"/>
        <v>120.45999999999998</v>
      </c>
      <c r="S496">
        <v>21</v>
      </c>
      <c r="T496">
        <f t="shared" si="44"/>
        <v>3202.08</v>
      </c>
      <c r="U496">
        <v>0.03</v>
      </c>
      <c r="V496">
        <f t="shared" si="45"/>
        <v>96.062399999999997</v>
      </c>
      <c r="W496">
        <f t="shared" si="46"/>
        <v>3106.0176000000001</v>
      </c>
      <c r="X496">
        <v>4</v>
      </c>
      <c r="Y496">
        <f t="shared" si="47"/>
        <v>3110.0176000000001</v>
      </c>
    </row>
    <row r="497" spans="1:25" x14ac:dyDescent="0.25">
      <c r="A497" t="s">
        <v>1388</v>
      </c>
      <c r="B497">
        <v>42035</v>
      </c>
      <c r="C497" t="str">
        <f t="shared" si="42"/>
        <v>2015</v>
      </c>
      <c r="D497" t="s">
        <v>995</v>
      </c>
      <c r="E497" t="s">
        <v>767</v>
      </c>
      <c r="F497" t="s">
        <v>257</v>
      </c>
      <c r="G497" t="s">
        <v>258</v>
      </c>
      <c r="H497" t="s">
        <v>259</v>
      </c>
      <c r="I497" t="s">
        <v>260</v>
      </c>
      <c r="J497" t="s">
        <v>243</v>
      </c>
      <c r="K497" t="s">
        <v>594</v>
      </c>
      <c r="L497" t="s">
        <v>268</v>
      </c>
      <c r="M497" t="s">
        <v>269</v>
      </c>
      <c r="N497" t="s">
        <v>270</v>
      </c>
      <c r="O497">
        <v>42037</v>
      </c>
      <c r="P497">
        <v>278.99</v>
      </c>
      <c r="Q497">
        <v>449.99</v>
      </c>
      <c r="R497">
        <f t="shared" si="43"/>
        <v>171</v>
      </c>
      <c r="S497">
        <v>25</v>
      </c>
      <c r="T497">
        <f t="shared" si="44"/>
        <v>11249.75</v>
      </c>
      <c r="U497">
        <v>0.01</v>
      </c>
      <c r="V497">
        <f t="shared" si="45"/>
        <v>112.4975</v>
      </c>
      <c r="W497">
        <f t="shared" si="46"/>
        <v>11137.252500000001</v>
      </c>
      <c r="X497">
        <v>49</v>
      </c>
      <c r="Y497">
        <f t="shared" si="47"/>
        <v>11186.252500000001</v>
      </c>
    </row>
    <row r="498" spans="1:25" x14ac:dyDescent="0.25">
      <c r="A498" t="s">
        <v>1389</v>
      </c>
      <c r="B498">
        <v>42036</v>
      </c>
      <c r="C498" t="str">
        <f t="shared" si="42"/>
        <v>2015</v>
      </c>
      <c r="D498" t="s">
        <v>1390</v>
      </c>
      <c r="E498" t="s">
        <v>292</v>
      </c>
      <c r="F498" t="s">
        <v>257</v>
      </c>
      <c r="G498" t="s">
        <v>258</v>
      </c>
      <c r="H498" t="s">
        <v>241</v>
      </c>
      <c r="I498" t="s">
        <v>260</v>
      </c>
      <c r="J498" t="s">
        <v>243</v>
      </c>
      <c r="K498" t="s">
        <v>668</v>
      </c>
      <c r="L498" t="s">
        <v>440</v>
      </c>
      <c r="M498" t="s">
        <v>647</v>
      </c>
      <c r="N498" t="s">
        <v>247</v>
      </c>
      <c r="O498">
        <v>42038</v>
      </c>
      <c r="P498">
        <v>56.16</v>
      </c>
      <c r="Q498">
        <v>136.97999999999999</v>
      </c>
      <c r="R498">
        <f t="shared" si="43"/>
        <v>80.819999999999993</v>
      </c>
      <c r="S498">
        <v>2</v>
      </c>
      <c r="T498">
        <f t="shared" si="44"/>
        <v>273.95999999999998</v>
      </c>
      <c r="U498">
        <v>0.08</v>
      </c>
      <c r="V498">
        <f t="shared" si="45"/>
        <v>21.916799999999999</v>
      </c>
      <c r="W498">
        <f t="shared" si="46"/>
        <v>252.04319999999998</v>
      </c>
      <c r="X498">
        <v>24.49</v>
      </c>
      <c r="Y498">
        <f t="shared" si="47"/>
        <v>276.53319999999997</v>
      </c>
    </row>
    <row r="499" spans="1:25" x14ac:dyDescent="0.25">
      <c r="A499" t="s">
        <v>1391</v>
      </c>
      <c r="B499">
        <v>42036</v>
      </c>
      <c r="C499" t="str">
        <f t="shared" si="42"/>
        <v>2015</v>
      </c>
      <c r="D499" t="s">
        <v>1149</v>
      </c>
      <c r="E499" t="s">
        <v>1150</v>
      </c>
      <c r="F499" t="s">
        <v>448</v>
      </c>
      <c r="G499" t="s">
        <v>449</v>
      </c>
      <c r="H499" t="s">
        <v>274</v>
      </c>
      <c r="I499" t="s">
        <v>284</v>
      </c>
      <c r="J499" t="s">
        <v>261</v>
      </c>
      <c r="K499" t="s">
        <v>644</v>
      </c>
      <c r="L499" t="s">
        <v>245</v>
      </c>
      <c r="M499" t="s">
        <v>246</v>
      </c>
      <c r="N499" t="s">
        <v>247</v>
      </c>
      <c r="O499">
        <v>42038</v>
      </c>
      <c r="P499">
        <v>18.38</v>
      </c>
      <c r="Q499">
        <v>29.17</v>
      </c>
      <c r="R499">
        <f t="shared" si="43"/>
        <v>10.790000000000003</v>
      </c>
      <c r="S499">
        <v>43</v>
      </c>
      <c r="T499">
        <f t="shared" si="44"/>
        <v>1254.3100000000002</v>
      </c>
      <c r="U499">
        <v>0.05</v>
      </c>
      <c r="V499">
        <f t="shared" si="45"/>
        <v>62.715500000000013</v>
      </c>
      <c r="W499">
        <f t="shared" si="46"/>
        <v>1191.5945000000002</v>
      </c>
      <c r="X499">
        <v>6.27</v>
      </c>
      <c r="Y499">
        <f t="shared" si="47"/>
        <v>1197.8645000000001</v>
      </c>
    </row>
    <row r="500" spans="1:25" x14ac:dyDescent="0.25">
      <c r="A500" t="s">
        <v>1392</v>
      </c>
      <c r="B500">
        <v>42038</v>
      </c>
      <c r="C500" t="str">
        <f t="shared" si="42"/>
        <v>2015</v>
      </c>
      <c r="D500" t="s">
        <v>1393</v>
      </c>
      <c r="E500" t="s">
        <v>593</v>
      </c>
      <c r="F500" t="s">
        <v>257</v>
      </c>
      <c r="G500" t="s">
        <v>258</v>
      </c>
      <c r="H500" t="s">
        <v>293</v>
      </c>
      <c r="I500" t="s">
        <v>321</v>
      </c>
      <c r="J500" t="s">
        <v>243</v>
      </c>
      <c r="K500" t="s">
        <v>413</v>
      </c>
      <c r="L500" t="s">
        <v>268</v>
      </c>
      <c r="M500" t="s">
        <v>414</v>
      </c>
      <c r="N500" t="s">
        <v>247</v>
      </c>
      <c r="O500">
        <v>42041</v>
      </c>
      <c r="P500">
        <v>8.82</v>
      </c>
      <c r="Q500">
        <v>20.99</v>
      </c>
      <c r="R500">
        <f t="shared" si="43"/>
        <v>12.169999999999998</v>
      </c>
      <c r="S500">
        <v>23</v>
      </c>
      <c r="T500">
        <f t="shared" si="44"/>
        <v>482.77</v>
      </c>
      <c r="U500">
        <v>0.1</v>
      </c>
      <c r="V500">
        <f t="shared" si="45"/>
        <v>48.277000000000001</v>
      </c>
      <c r="W500">
        <f t="shared" si="46"/>
        <v>434.49299999999999</v>
      </c>
      <c r="X500">
        <v>4.8099999999999996</v>
      </c>
      <c r="Y500">
        <f t="shared" si="47"/>
        <v>439.303</v>
      </c>
    </row>
    <row r="501" spans="1:25" x14ac:dyDescent="0.25">
      <c r="A501" t="s">
        <v>1394</v>
      </c>
      <c r="B501">
        <v>42038</v>
      </c>
      <c r="C501" t="str">
        <f t="shared" si="42"/>
        <v>2015</v>
      </c>
      <c r="D501" t="s">
        <v>1395</v>
      </c>
      <c r="E501" t="s">
        <v>730</v>
      </c>
      <c r="F501" t="s">
        <v>257</v>
      </c>
      <c r="G501" t="s">
        <v>258</v>
      </c>
      <c r="H501" t="s">
        <v>241</v>
      </c>
      <c r="I501" t="s">
        <v>321</v>
      </c>
      <c r="J501" t="s">
        <v>304</v>
      </c>
      <c r="K501" t="s">
        <v>493</v>
      </c>
      <c r="L501" t="s">
        <v>245</v>
      </c>
      <c r="M501" t="s">
        <v>253</v>
      </c>
      <c r="N501" t="s">
        <v>263</v>
      </c>
      <c r="O501">
        <v>42038</v>
      </c>
      <c r="P501">
        <v>1.76</v>
      </c>
      <c r="Q501">
        <v>3.38</v>
      </c>
      <c r="R501">
        <f t="shared" si="43"/>
        <v>1.6199999999999999</v>
      </c>
      <c r="S501">
        <v>5</v>
      </c>
      <c r="T501">
        <f t="shared" si="44"/>
        <v>16.899999999999999</v>
      </c>
      <c r="U501">
        <v>0.08</v>
      </c>
      <c r="V501">
        <f t="shared" si="45"/>
        <v>1.3519999999999999</v>
      </c>
      <c r="W501">
        <f t="shared" si="46"/>
        <v>15.547999999999998</v>
      </c>
      <c r="X501">
        <v>0.85</v>
      </c>
      <c r="Y501">
        <f t="shared" si="47"/>
        <v>16.398</v>
      </c>
    </row>
    <row r="502" spans="1:25" x14ac:dyDescent="0.25">
      <c r="A502" t="s">
        <v>1396</v>
      </c>
      <c r="B502">
        <v>42038</v>
      </c>
      <c r="C502" t="str">
        <f t="shared" si="42"/>
        <v>2015</v>
      </c>
      <c r="D502" t="s">
        <v>1397</v>
      </c>
      <c r="E502" t="s">
        <v>643</v>
      </c>
      <c r="F502" t="s">
        <v>257</v>
      </c>
      <c r="G502" t="s">
        <v>258</v>
      </c>
      <c r="H502" t="s">
        <v>259</v>
      </c>
      <c r="I502" t="s">
        <v>342</v>
      </c>
      <c r="J502" t="s">
        <v>279</v>
      </c>
      <c r="K502" t="s">
        <v>387</v>
      </c>
      <c r="L502" t="s">
        <v>245</v>
      </c>
      <c r="M502" t="s">
        <v>323</v>
      </c>
      <c r="N502" t="s">
        <v>247</v>
      </c>
      <c r="O502">
        <v>42065</v>
      </c>
      <c r="P502">
        <v>4.79</v>
      </c>
      <c r="Q502">
        <v>11.97</v>
      </c>
      <c r="R502">
        <f t="shared" si="43"/>
        <v>7.1800000000000006</v>
      </c>
      <c r="S502">
        <v>17</v>
      </c>
      <c r="T502">
        <f t="shared" si="44"/>
        <v>203.49</v>
      </c>
      <c r="U502">
        <v>0.03</v>
      </c>
      <c r="V502">
        <f t="shared" si="45"/>
        <v>6.1047000000000002</v>
      </c>
      <c r="W502">
        <f t="shared" si="46"/>
        <v>197.3853</v>
      </c>
      <c r="X502">
        <v>5.81</v>
      </c>
      <c r="Y502">
        <f t="shared" si="47"/>
        <v>203.1953</v>
      </c>
    </row>
    <row r="503" spans="1:25" x14ac:dyDescent="0.25">
      <c r="A503" t="s">
        <v>1398</v>
      </c>
      <c r="B503">
        <v>42039</v>
      </c>
      <c r="C503" t="str">
        <f t="shared" si="42"/>
        <v>2015</v>
      </c>
      <c r="D503" t="s">
        <v>431</v>
      </c>
      <c r="E503" t="s">
        <v>432</v>
      </c>
      <c r="F503" t="s">
        <v>257</v>
      </c>
      <c r="G503" t="s">
        <v>258</v>
      </c>
      <c r="H503" t="s">
        <v>241</v>
      </c>
      <c r="I503" t="s">
        <v>333</v>
      </c>
      <c r="J503" t="s">
        <v>304</v>
      </c>
      <c r="K503" t="s">
        <v>425</v>
      </c>
      <c r="L503" t="s">
        <v>245</v>
      </c>
      <c r="M503" t="s">
        <v>253</v>
      </c>
      <c r="N503" t="s">
        <v>247</v>
      </c>
      <c r="O503">
        <v>42041</v>
      </c>
      <c r="P503">
        <v>21.56</v>
      </c>
      <c r="Q503">
        <v>36.549999999999997</v>
      </c>
      <c r="R503">
        <f t="shared" si="43"/>
        <v>14.989999999999998</v>
      </c>
      <c r="S503">
        <v>34</v>
      </c>
      <c r="T503">
        <f t="shared" si="44"/>
        <v>1242.6999999999998</v>
      </c>
      <c r="U503">
        <v>0.03</v>
      </c>
      <c r="V503">
        <f t="shared" si="45"/>
        <v>37.280999999999992</v>
      </c>
      <c r="W503">
        <f t="shared" si="46"/>
        <v>1205.4189999999999</v>
      </c>
      <c r="X503">
        <v>13.89</v>
      </c>
      <c r="Y503">
        <f t="shared" si="47"/>
        <v>1219.309</v>
      </c>
    </row>
    <row r="504" spans="1:25" x14ac:dyDescent="0.25">
      <c r="A504" t="s">
        <v>1399</v>
      </c>
      <c r="B504">
        <v>42039</v>
      </c>
      <c r="C504" t="str">
        <f t="shared" si="42"/>
        <v>2015</v>
      </c>
      <c r="D504" t="s">
        <v>1400</v>
      </c>
      <c r="E504" t="s">
        <v>511</v>
      </c>
      <c r="F504" t="s">
        <v>257</v>
      </c>
      <c r="G504" t="s">
        <v>258</v>
      </c>
      <c r="H504" t="s">
        <v>293</v>
      </c>
      <c r="I504" t="s">
        <v>381</v>
      </c>
      <c r="J504" t="s">
        <v>261</v>
      </c>
      <c r="K504" t="s">
        <v>888</v>
      </c>
      <c r="L504" t="s">
        <v>245</v>
      </c>
      <c r="M504" t="s">
        <v>253</v>
      </c>
      <c r="N504" t="s">
        <v>247</v>
      </c>
      <c r="O504">
        <v>42041</v>
      </c>
      <c r="P504">
        <v>2.31</v>
      </c>
      <c r="Q504">
        <v>3.78</v>
      </c>
      <c r="R504">
        <f t="shared" si="43"/>
        <v>1.4699999999999998</v>
      </c>
      <c r="S504">
        <v>34</v>
      </c>
      <c r="T504">
        <f t="shared" si="44"/>
        <v>128.51999999999998</v>
      </c>
      <c r="U504">
        <v>0.03</v>
      </c>
      <c r="V504">
        <f t="shared" si="45"/>
        <v>3.8555999999999995</v>
      </c>
      <c r="W504">
        <f t="shared" si="46"/>
        <v>124.66439999999999</v>
      </c>
      <c r="X504">
        <v>0.71</v>
      </c>
      <c r="Y504">
        <f t="shared" si="47"/>
        <v>125.37439999999998</v>
      </c>
    </row>
    <row r="505" spans="1:25" x14ac:dyDescent="0.25">
      <c r="A505" t="s">
        <v>1401</v>
      </c>
      <c r="B505">
        <v>42042</v>
      </c>
      <c r="C505" t="str">
        <f t="shared" si="42"/>
        <v>2015</v>
      </c>
      <c r="D505" t="s">
        <v>1402</v>
      </c>
      <c r="E505" t="s">
        <v>1093</v>
      </c>
      <c r="F505" t="s">
        <v>257</v>
      </c>
      <c r="G505" t="s">
        <v>258</v>
      </c>
      <c r="H505" t="s">
        <v>293</v>
      </c>
      <c r="I505" t="s">
        <v>372</v>
      </c>
      <c r="J505" t="s">
        <v>304</v>
      </c>
      <c r="K505" t="s">
        <v>482</v>
      </c>
      <c r="L505" t="s">
        <v>268</v>
      </c>
      <c r="M505" t="s">
        <v>246</v>
      </c>
      <c r="N505" t="s">
        <v>247</v>
      </c>
      <c r="O505">
        <v>42053</v>
      </c>
      <c r="P505">
        <v>60.59</v>
      </c>
      <c r="Q505">
        <v>100.98</v>
      </c>
      <c r="R505">
        <f t="shared" si="43"/>
        <v>40.39</v>
      </c>
      <c r="S505">
        <v>13</v>
      </c>
      <c r="T505">
        <f t="shared" si="44"/>
        <v>1312.74</v>
      </c>
      <c r="U505">
        <v>0.04</v>
      </c>
      <c r="V505">
        <f t="shared" si="45"/>
        <v>52.509599999999999</v>
      </c>
      <c r="W505">
        <f t="shared" si="46"/>
        <v>1260.2303999999999</v>
      </c>
      <c r="X505">
        <v>7.18</v>
      </c>
      <c r="Y505">
        <f t="shared" si="47"/>
        <v>1267.4104</v>
      </c>
    </row>
    <row r="506" spans="1:25" x14ac:dyDescent="0.25">
      <c r="A506" t="s">
        <v>1403</v>
      </c>
      <c r="B506">
        <v>42043</v>
      </c>
      <c r="C506" t="str">
        <f t="shared" si="42"/>
        <v>2015</v>
      </c>
      <c r="D506" t="s">
        <v>1404</v>
      </c>
      <c r="E506" t="s">
        <v>238</v>
      </c>
      <c r="F506" t="s">
        <v>239</v>
      </c>
      <c r="G506" t="s">
        <v>240</v>
      </c>
      <c r="H506" t="s">
        <v>293</v>
      </c>
      <c r="I506" t="s">
        <v>242</v>
      </c>
      <c r="J506" t="s">
        <v>304</v>
      </c>
      <c r="K506" t="s">
        <v>285</v>
      </c>
      <c r="L506" t="s">
        <v>245</v>
      </c>
      <c r="M506" t="s">
        <v>246</v>
      </c>
      <c r="N506" t="s">
        <v>247</v>
      </c>
      <c r="O506">
        <v>42045</v>
      </c>
      <c r="P506">
        <v>99.39</v>
      </c>
      <c r="Q506">
        <v>162.93</v>
      </c>
      <c r="R506">
        <f t="shared" si="43"/>
        <v>63.540000000000006</v>
      </c>
      <c r="S506">
        <v>39</v>
      </c>
      <c r="T506">
        <f t="shared" si="44"/>
        <v>6354.27</v>
      </c>
      <c r="U506">
        <v>0.03</v>
      </c>
      <c r="V506">
        <f t="shared" si="45"/>
        <v>190.62810000000002</v>
      </c>
      <c r="W506">
        <f t="shared" si="46"/>
        <v>6163.6419000000005</v>
      </c>
      <c r="X506">
        <v>19.989999999999998</v>
      </c>
      <c r="Y506">
        <f t="shared" si="47"/>
        <v>6183.6319000000003</v>
      </c>
    </row>
    <row r="507" spans="1:25" x14ac:dyDescent="0.25">
      <c r="A507" t="s">
        <v>1405</v>
      </c>
      <c r="B507">
        <v>42044</v>
      </c>
      <c r="C507" t="str">
        <f t="shared" si="42"/>
        <v>2015</v>
      </c>
      <c r="D507" t="s">
        <v>1323</v>
      </c>
      <c r="E507" t="s">
        <v>552</v>
      </c>
      <c r="F507" t="s">
        <v>257</v>
      </c>
      <c r="G507" t="s">
        <v>258</v>
      </c>
      <c r="H507" t="s">
        <v>274</v>
      </c>
      <c r="I507" t="s">
        <v>284</v>
      </c>
      <c r="J507" t="s">
        <v>279</v>
      </c>
      <c r="K507" t="s">
        <v>698</v>
      </c>
      <c r="L507" t="s">
        <v>245</v>
      </c>
      <c r="M507" t="s">
        <v>253</v>
      </c>
      <c r="N507" t="s">
        <v>263</v>
      </c>
      <c r="O507">
        <v>42051</v>
      </c>
      <c r="P507">
        <v>3.32</v>
      </c>
      <c r="Q507">
        <v>5.18</v>
      </c>
      <c r="R507">
        <f t="shared" si="43"/>
        <v>1.8599999999999999</v>
      </c>
      <c r="S507">
        <v>11</v>
      </c>
      <c r="T507">
        <f t="shared" si="44"/>
        <v>56.98</v>
      </c>
      <c r="U507">
        <v>0.06</v>
      </c>
      <c r="V507">
        <f t="shared" si="45"/>
        <v>3.4187999999999996</v>
      </c>
      <c r="W507">
        <f t="shared" si="46"/>
        <v>53.561199999999999</v>
      </c>
      <c r="X507">
        <v>2.04</v>
      </c>
      <c r="Y507">
        <f t="shared" si="47"/>
        <v>55.601199999999999</v>
      </c>
    </row>
    <row r="508" spans="1:25" x14ac:dyDescent="0.25">
      <c r="A508" t="s">
        <v>1406</v>
      </c>
      <c r="B508">
        <v>42047</v>
      </c>
      <c r="C508" t="str">
        <f t="shared" si="42"/>
        <v>2015</v>
      </c>
      <c r="D508" t="s">
        <v>1056</v>
      </c>
      <c r="E508" t="s">
        <v>467</v>
      </c>
      <c r="F508" t="s">
        <v>257</v>
      </c>
      <c r="G508" t="s">
        <v>258</v>
      </c>
      <c r="H508" t="s">
        <v>259</v>
      </c>
      <c r="I508" t="s">
        <v>342</v>
      </c>
      <c r="J508" t="s">
        <v>279</v>
      </c>
      <c r="K508" t="s">
        <v>676</v>
      </c>
      <c r="L508" t="s">
        <v>245</v>
      </c>
      <c r="M508" t="s">
        <v>323</v>
      </c>
      <c r="N508" t="s">
        <v>247</v>
      </c>
      <c r="O508">
        <v>42047</v>
      </c>
      <c r="P508">
        <v>5.19</v>
      </c>
      <c r="Q508">
        <v>12.98</v>
      </c>
      <c r="R508">
        <f t="shared" si="43"/>
        <v>7.79</v>
      </c>
      <c r="S508">
        <v>50</v>
      </c>
      <c r="T508">
        <f t="shared" si="44"/>
        <v>649</v>
      </c>
      <c r="U508">
        <v>0.08</v>
      </c>
      <c r="V508">
        <f t="shared" si="45"/>
        <v>51.92</v>
      </c>
      <c r="W508">
        <f t="shared" si="46"/>
        <v>597.08000000000004</v>
      </c>
      <c r="X508">
        <v>3.14</v>
      </c>
      <c r="Y508">
        <f t="shared" si="47"/>
        <v>600.22</v>
      </c>
    </row>
    <row r="509" spans="1:25" x14ac:dyDescent="0.25">
      <c r="A509" t="s">
        <v>1407</v>
      </c>
      <c r="B509">
        <v>42047</v>
      </c>
      <c r="C509" t="str">
        <f t="shared" si="42"/>
        <v>2015</v>
      </c>
      <c r="D509" t="s">
        <v>1190</v>
      </c>
      <c r="E509" t="s">
        <v>552</v>
      </c>
      <c r="F509" t="s">
        <v>257</v>
      </c>
      <c r="G509" t="s">
        <v>258</v>
      </c>
      <c r="H509" t="s">
        <v>241</v>
      </c>
      <c r="I509" t="s">
        <v>284</v>
      </c>
      <c r="J509" t="s">
        <v>294</v>
      </c>
      <c r="K509" t="s">
        <v>464</v>
      </c>
      <c r="L509" t="s">
        <v>268</v>
      </c>
      <c r="M509" t="s">
        <v>246</v>
      </c>
      <c r="N509" t="s">
        <v>247</v>
      </c>
      <c r="O509">
        <v>42048</v>
      </c>
      <c r="P509">
        <v>156.5</v>
      </c>
      <c r="Q509">
        <v>300.97000000000003</v>
      </c>
      <c r="R509">
        <f t="shared" si="43"/>
        <v>144.47000000000003</v>
      </c>
      <c r="S509">
        <v>41</v>
      </c>
      <c r="T509">
        <f t="shared" si="44"/>
        <v>12339.77</v>
      </c>
      <c r="U509">
        <v>0.1</v>
      </c>
      <c r="V509">
        <f t="shared" si="45"/>
        <v>1233.9770000000001</v>
      </c>
      <c r="W509">
        <f t="shared" si="46"/>
        <v>11105.793</v>
      </c>
      <c r="X509">
        <v>7.18</v>
      </c>
      <c r="Y509">
        <f t="shared" si="47"/>
        <v>11112.973</v>
      </c>
    </row>
    <row r="510" spans="1:25" x14ac:dyDescent="0.25">
      <c r="A510" t="s">
        <v>1408</v>
      </c>
      <c r="B510">
        <v>42049</v>
      </c>
      <c r="C510" t="str">
        <f t="shared" si="42"/>
        <v>2015</v>
      </c>
      <c r="D510" t="s">
        <v>1409</v>
      </c>
      <c r="E510" t="s">
        <v>1041</v>
      </c>
      <c r="F510" t="s">
        <v>257</v>
      </c>
      <c r="G510" t="s">
        <v>258</v>
      </c>
      <c r="H510" t="s">
        <v>274</v>
      </c>
      <c r="I510" t="s">
        <v>372</v>
      </c>
      <c r="J510" t="s">
        <v>304</v>
      </c>
      <c r="K510" t="s">
        <v>329</v>
      </c>
      <c r="L510" t="s">
        <v>245</v>
      </c>
      <c r="M510" t="s">
        <v>246</v>
      </c>
      <c r="N510" t="s">
        <v>263</v>
      </c>
      <c r="O510">
        <v>42050</v>
      </c>
      <c r="P510">
        <v>4.59</v>
      </c>
      <c r="Q510">
        <v>7.28</v>
      </c>
      <c r="R510">
        <f t="shared" si="43"/>
        <v>2.6900000000000004</v>
      </c>
      <c r="S510">
        <v>5</v>
      </c>
      <c r="T510">
        <f t="shared" si="44"/>
        <v>36.4</v>
      </c>
      <c r="U510">
        <v>0.05</v>
      </c>
      <c r="V510">
        <f t="shared" si="45"/>
        <v>1.82</v>
      </c>
      <c r="W510">
        <f t="shared" si="46"/>
        <v>34.58</v>
      </c>
      <c r="X510">
        <v>11.15</v>
      </c>
      <c r="Y510">
        <f t="shared" si="47"/>
        <v>45.73</v>
      </c>
    </row>
    <row r="511" spans="1:25" x14ac:dyDescent="0.25">
      <c r="A511" t="s">
        <v>1410</v>
      </c>
      <c r="B511">
        <v>42050</v>
      </c>
      <c r="C511" t="str">
        <f t="shared" si="42"/>
        <v>2015</v>
      </c>
      <c r="D511" t="s">
        <v>716</v>
      </c>
      <c r="E511" t="s">
        <v>717</v>
      </c>
      <c r="F511" t="s">
        <v>448</v>
      </c>
      <c r="G511" t="s">
        <v>449</v>
      </c>
      <c r="H511" t="s">
        <v>241</v>
      </c>
      <c r="I511" t="s">
        <v>504</v>
      </c>
      <c r="J511" t="s">
        <v>304</v>
      </c>
      <c r="K511" t="s">
        <v>1249</v>
      </c>
      <c r="L511" t="s">
        <v>245</v>
      </c>
      <c r="M511" t="s">
        <v>246</v>
      </c>
      <c r="N511" t="s">
        <v>247</v>
      </c>
      <c r="O511">
        <v>42051</v>
      </c>
      <c r="P511">
        <v>1.19</v>
      </c>
      <c r="Q511">
        <v>1.98</v>
      </c>
      <c r="R511">
        <f t="shared" si="43"/>
        <v>0.79</v>
      </c>
      <c r="S511">
        <v>3</v>
      </c>
      <c r="T511">
        <f t="shared" si="44"/>
        <v>5.9399999999999995</v>
      </c>
      <c r="U511">
        <v>0.05</v>
      </c>
      <c r="V511">
        <f t="shared" si="45"/>
        <v>0.29699999999999999</v>
      </c>
      <c r="W511">
        <f t="shared" si="46"/>
        <v>5.6429999999999998</v>
      </c>
      <c r="X511">
        <v>4.7699999999999996</v>
      </c>
      <c r="Y511">
        <f t="shared" si="47"/>
        <v>10.413</v>
      </c>
    </row>
    <row r="512" spans="1:25" x14ac:dyDescent="0.25">
      <c r="A512" t="s">
        <v>1411</v>
      </c>
      <c r="B512">
        <v>42052</v>
      </c>
      <c r="C512" t="str">
        <f t="shared" si="42"/>
        <v>2015</v>
      </c>
      <c r="D512" t="s">
        <v>781</v>
      </c>
      <c r="E512" t="s">
        <v>782</v>
      </c>
      <c r="F512" t="s">
        <v>257</v>
      </c>
      <c r="G512" t="s">
        <v>258</v>
      </c>
      <c r="H512" t="s">
        <v>259</v>
      </c>
      <c r="I512" t="s">
        <v>381</v>
      </c>
      <c r="J512" t="s">
        <v>304</v>
      </c>
      <c r="K512" t="s">
        <v>387</v>
      </c>
      <c r="L512" t="s">
        <v>245</v>
      </c>
      <c r="M512" t="s">
        <v>323</v>
      </c>
      <c r="N512" t="s">
        <v>247</v>
      </c>
      <c r="O512">
        <v>42054</v>
      </c>
      <c r="P512">
        <v>4.79</v>
      </c>
      <c r="Q512">
        <v>11.97</v>
      </c>
      <c r="R512">
        <f t="shared" si="43"/>
        <v>7.1800000000000006</v>
      </c>
      <c r="S512">
        <v>30</v>
      </c>
      <c r="T512">
        <f t="shared" si="44"/>
        <v>359.1</v>
      </c>
      <c r="U512">
        <v>0.08</v>
      </c>
      <c r="V512">
        <f t="shared" si="45"/>
        <v>28.728000000000002</v>
      </c>
      <c r="W512">
        <f t="shared" si="46"/>
        <v>330.37200000000001</v>
      </c>
      <c r="X512">
        <v>5.81</v>
      </c>
      <c r="Y512">
        <f t="shared" si="47"/>
        <v>336.18200000000002</v>
      </c>
    </row>
    <row r="513" spans="1:25" x14ac:dyDescent="0.25">
      <c r="A513" t="s">
        <v>1412</v>
      </c>
      <c r="B513">
        <v>42053</v>
      </c>
      <c r="C513" t="str">
        <f t="shared" si="42"/>
        <v>2015</v>
      </c>
      <c r="D513" t="s">
        <v>1413</v>
      </c>
      <c r="E513" t="s">
        <v>511</v>
      </c>
      <c r="F513" t="s">
        <v>257</v>
      </c>
      <c r="G513" t="s">
        <v>258</v>
      </c>
      <c r="H513" t="s">
        <v>259</v>
      </c>
      <c r="I513" t="s">
        <v>381</v>
      </c>
      <c r="J513" t="s">
        <v>243</v>
      </c>
      <c r="K513" t="s">
        <v>625</v>
      </c>
      <c r="L513" t="s">
        <v>245</v>
      </c>
      <c r="M513" t="s">
        <v>246</v>
      </c>
      <c r="N513" t="s">
        <v>247</v>
      </c>
      <c r="O513">
        <v>42055</v>
      </c>
      <c r="P513">
        <v>1.84</v>
      </c>
      <c r="Q513">
        <v>2.88</v>
      </c>
      <c r="R513">
        <f t="shared" si="43"/>
        <v>1.0399999999999998</v>
      </c>
      <c r="S513">
        <v>22</v>
      </c>
      <c r="T513">
        <f t="shared" si="44"/>
        <v>63.36</v>
      </c>
      <c r="U513">
        <v>0.1</v>
      </c>
      <c r="V513">
        <f t="shared" si="45"/>
        <v>6.3360000000000003</v>
      </c>
      <c r="W513">
        <f t="shared" si="46"/>
        <v>57.024000000000001</v>
      </c>
      <c r="X513">
        <v>1.49</v>
      </c>
      <c r="Y513">
        <f t="shared" si="47"/>
        <v>58.514000000000003</v>
      </c>
    </row>
    <row r="514" spans="1:25" x14ac:dyDescent="0.25">
      <c r="A514" t="s">
        <v>1414</v>
      </c>
      <c r="B514">
        <v>42053</v>
      </c>
      <c r="C514" t="str">
        <f t="shared" si="42"/>
        <v>2015</v>
      </c>
      <c r="D514" t="s">
        <v>955</v>
      </c>
      <c r="E514" t="s">
        <v>522</v>
      </c>
      <c r="F514" t="s">
        <v>239</v>
      </c>
      <c r="G514" t="s">
        <v>240</v>
      </c>
      <c r="H514" t="s">
        <v>241</v>
      </c>
      <c r="I514" t="s">
        <v>251</v>
      </c>
      <c r="J514" t="s">
        <v>243</v>
      </c>
      <c r="K514" t="s">
        <v>811</v>
      </c>
      <c r="L514" t="s">
        <v>245</v>
      </c>
      <c r="M514" t="s">
        <v>246</v>
      </c>
      <c r="N514" t="s">
        <v>247</v>
      </c>
      <c r="O514">
        <v>42056</v>
      </c>
      <c r="P514">
        <v>3.37</v>
      </c>
      <c r="Q514">
        <v>5.53</v>
      </c>
      <c r="R514">
        <f t="shared" si="43"/>
        <v>2.16</v>
      </c>
      <c r="S514">
        <v>12</v>
      </c>
      <c r="T514">
        <f t="shared" si="44"/>
        <v>66.36</v>
      </c>
      <c r="U514">
        <v>0.06</v>
      </c>
      <c r="V514">
        <f t="shared" si="45"/>
        <v>3.9815999999999998</v>
      </c>
      <c r="W514">
        <f t="shared" si="46"/>
        <v>62.378399999999999</v>
      </c>
      <c r="X514">
        <v>6.98</v>
      </c>
      <c r="Y514">
        <f t="shared" si="47"/>
        <v>69.358400000000003</v>
      </c>
    </row>
    <row r="515" spans="1:25" x14ac:dyDescent="0.25">
      <c r="A515" t="s">
        <v>1415</v>
      </c>
      <c r="B515">
        <v>42053</v>
      </c>
      <c r="C515" t="str">
        <f t="shared" si="42"/>
        <v>2015</v>
      </c>
      <c r="D515" t="s">
        <v>955</v>
      </c>
      <c r="E515" t="s">
        <v>522</v>
      </c>
      <c r="F515" t="s">
        <v>239</v>
      </c>
      <c r="G515" t="s">
        <v>240</v>
      </c>
      <c r="H515" t="s">
        <v>241</v>
      </c>
      <c r="I515" t="s">
        <v>251</v>
      </c>
      <c r="J515" t="s">
        <v>243</v>
      </c>
      <c r="K515" t="s">
        <v>953</v>
      </c>
      <c r="L515" t="s">
        <v>245</v>
      </c>
      <c r="M515" t="s">
        <v>253</v>
      </c>
      <c r="N515" t="s">
        <v>247</v>
      </c>
      <c r="O515">
        <v>42054</v>
      </c>
      <c r="P515">
        <v>2.16</v>
      </c>
      <c r="Q515">
        <v>3.85</v>
      </c>
      <c r="R515">
        <f t="shared" si="43"/>
        <v>1.69</v>
      </c>
      <c r="S515">
        <v>12</v>
      </c>
      <c r="T515">
        <f t="shared" si="44"/>
        <v>46.2</v>
      </c>
      <c r="U515">
        <v>0.1</v>
      </c>
      <c r="V515">
        <f t="shared" si="45"/>
        <v>4.62</v>
      </c>
      <c r="W515">
        <f t="shared" si="46"/>
        <v>41.580000000000005</v>
      </c>
      <c r="X515">
        <v>0.7</v>
      </c>
      <c r="Y515">
        <f t="shared" si="47"/>
        <v>42.280000000000008</v>
      </c>
    </row>
    <row r="516" spans="1:25" x14ac:dyDescent="0.25">
      <c r="A516" t="s">
        <v>1416</v>
      </c>
      <c r="B516">
        <v>42058</v>
      </c>
      <c r="C516" t="str">
        <f t="shared" si="42"/>
        <v>2015</v>
      </c>
      <c r="D516" t="s">
        <v>1417</v>
      </c>
      <c r="E516" t="s">
        <v>1418</v>
      </c>
      <c r="F516" t="s">
        <v>257</v>
      </c>
      <c r="G516" t="s">
        <v>258</v>
      </c>
      <c r="H516" t="s">
        <v>241</v>
      </c>
      <c r="I516" t="s">
        <v>309</v>
      </c>
      <c r="J516" t="s">
        <v>261</v>
      </c>
      <c r="K516" t="s">
        <v>305</v>
      </c>
      <c r="L516" t="s">
        <v>245</v>
      </c>
      <c r="M516" t="s">
        <v>246</v>
      </c>
      <c r="N516" t="s">
        <v>247</v>
      </c>
      <c r="O516">
        <v>42061</v>
      </c>
      <c r="P516">
        <v>4.8899999999999997</v>
      </c>
      <c r="Q516">
        <v>7.64</v>
      </c>
      <c r="R516">
        <f t="shared" si="43"/>
        <v>2.75</v>
      </c>
      <c r="S516">
        <v>32</v>
      </c>
      <c r="T516">
        <f t="shared" si="44"/>
        <v>244.48</v>
      </c>
      <c r="U516">
        <v>0.06</v>
      </c>
      <c r="V516">
        <f t="shared" si="45"/>
        <v>14.668799999999999</v>
      </c>
      <c r="W516">
        <f t="shared" si="46"/>
        <v>229.81119999999999</v>
      </c>
      <c r="X516">
        <v>1.39</v>
      </c>
      <c r="Y516">
        <f t="shared" si="47"/>
        <v>231.20119999999997</v>
      </c>
    </row>
    <row r="517" spans="1:25" x14ac:dyDescent="0.25">
      <c r="A517" t="s">
        <v>1419</v>
      </c>
      <c r="B517">
        <v>42059</v>
      </c>
      <c r="C517" t="str">
        <f t="shared" si="42"/>
        <v>2015</v>
      </c>
      <c r="D517" t="s">
        <v>759</v>
      </c>
      <c r="E517" t="s">
        <v>760</v>
      </c>
      <c r="F517" t="s">
        <v>448</v>
      </c>
      <c r="G517" t="s">
        <v>449</v>
      </c>
      <c r="H517" t="s">
        <v>259</v>
      </c>
      <c r="I517" t="s">
        <v>333</v>
      </c>
      <c r="J517" t="s">
        <v>304</v>
      </c>
      <c r="K517" t="s">
        <v>1051</v>
      </c>
      <c r="L517" t="s">
        <v>245</v>
      </c>
      <c r="M517" t="s">
        <v>253</v>
      </c>
      <c r="N517" t="s">
        <v>247</v>
      </c>
      <c r="O517">
        <v>42060</v>
      </c>
      <c r="P517">
        <v>0.87</v>
      </c>
      <c r="Q517">
        <v>1.81</v>
      </c>
      <c r="R517">
        <f t="shared" si="43"/>
        <v>0.94000000000000006</v>
      </c>
      <c r="S517">
        <v>41</v>
      </c>
      <c r="T517">
        <f t="shared" si="44"/>
        <v>74.210000000000008</v>
      </c>
      <c r="U517">
        <v>0.03</v>
      </c>
      <c r="V517">
        <f t="shared" si="45"/>
        <v>2.2263000000000002</v>
      </c>
      <c r="W517">
        <f t="shared" si="46"/>
        <v>71.983700000000013</v>
      </c>
      <c r="X517">
        <v>0.75</v>
      </c>
      <c r="Y517">
        <f t="shared" si="47"/>
        <v>72.733700000000013</v>
      </c>
    </row>
    <row r="518" spans="1:25" x14ac:dyDescent="0.25">
      <c r="A518" t="s">
        <v>1420</v>
      </c>
      <c r="B518">
        <v>42059</v>
      </c>
      <c r="C518" t="str">
        <f t="shared" ref="C518:C581" si="48">TEXT(B518,"yyyy")</f>
        <v>2015</v>
      </c>
      <c r="D518" t="s">
        <v>1421</v>
      </c>
      <c r="E518" t="s">
        <v>1422</v>
      </c>
      <c r="F518" t="s">
        <v>239</v>
      </c>
      <c r="G518" t="s">
        <v>240</v>
      </c>
      <c r="H518" t="s">
        <v>293</v>
      </c>
      <c r="I518" t="s">
        <v>251</v>
      </c>
      <c r="J518" t="s">
        <v>261</v>
      </c>
      <c r="K518" t="s">
        <v>799</v>
      </c>
      <c r="L518" t="s">
        <v>245</v>
      </c>
      <c r="M518" t="s">
        <v>246</v>
      </c>
      <c r="N518" t="s">
        <v>247</v>
      </c>
      <c r="O518">
        <v>42059</v>
      </c>
      <c r="P518">
        <v>2.29</v>
      </c>
      <c r="Q518">
        <v>3.69</v>
      </c>
      <c r="R518">
        <f t="shared" ref="R518:R581" si="49">Q518-P518</f>
        <v>1.4</v>
      </c>
      <c r="S518">
        <v>12</v>
      </c>
      <c r="T518">
        <f t="shared" ref="T518:T581" si="50">Q518*S518</f>
        <v>44.28</v>
      </c>
      <c r="U518">
        <v>0.02</v>
      </c>
      <c r="V518">
        <f t="shared" ref="V518:V581" si="51">T518*U518</f>
        <v>0.88560000000000005</v>
      </c>
      <c r="W518">
        <f t="shared" ref="W518:W581" si="52">T518-V518</f>
        <v>43.394400000000005</v>
      </c>
      <c r="X518">
        <v>0.5</v>
      </c>
      <c r="Y518">
        <f t="shared" ref="Y518:Y581" si="53">W518+X518</f>
        <v>43.894400000000005</v>
      </c>
    </row>
    <row r="519" spans="1:25" x14ac:dyDescent="0.25">
      <c r="A519" t="s">
        <v>1423</v>
      </c>
      <c r="B519">
        <v>42062</v>
      </c>
      <c r="C519" t="str">
        <f t="shared" si="48"/>
        <v>2015</v>
      </c>
      <c r="D519" t="s">
        <v>1424</v>
      </c>
      <c r="E519" t="s">
        <v>363</v>
      </c>
      <c r="F519" t="s">
        <v>257</v>
      </c>
      <c r="G519" t="s">
        <v>258</v>
      </c>
      <c r="H519" t="s">
        <v>274</v>
      </c>
      <c r="I519" t="s">
        <v>284</v>
      </c>
      <c r="J519" t="s">
        <v>243</v>
      </c>
      <c r="K519" t="s">
        <v>1119</v>
      </c>
      <c r="L519" t="s">
        <v>245</v>
      </c>
      <c r="M519" t="s">
        <v>246</v>
      </c>
      <c r="N519" t="s">
        <v>263</v>
      </c>
      <c r="O519">
        <v>42063</v>
      </c>
      <c r="P519">
        <v>1.84</v>
      </c>
      <c r="Q519">
        <v>2.88</v>
      </c>
      <c r="R519">
        <f t="shared" si="49"/>
        <v>1.0399999999999998</v>
      </c>
      <c r="S519">
        <v>9</v>
      </c>
      <c r="T519">
        <f t="shared" si="50"/>
        <v>25.919999999999998</v>
      </c>
      <c r="U519">
        <v>0</v>
      </c>
      <c r="V519">
        <f t="shared" si="51"/>
        <v>0</v>
      </c>
      <c r="W519">
        <f t="shared" si="52"/>
        <v>25.919999999999998</v>
      </c>
      <c r="X519">
        <v>0.99</v>
      </c>
      <c r="Y519">
        <f t="shared" si="53"/>
        <v>26.909999999999997</v>
      </c>
    </row>
    <row r="520" spans="1:25" x14ac:dyDescent="0.25">
      <c r="A520" t="s">
        <v>1425</v>
      </c>
      <c r="B520">
        <v>42064</v>
      </c>
      <c r="C520" t="str">
        <f t="shared" si="48"/>
        <v>2015</v>
      </c>
      <c r="D520" t="s">
        <v>1426</v>
      </c>
      <c r="E520" t="s">
        <v>507</v>
      </c>
      <c r="F520" t="s">
        <v>257</v>
      </c>
      <c r="G520" t="s">
        <v>258</v>
      </c>
      <c r="H520" t="s">
        <v>274</v>
      </c>
      <c r="I520" t="s">
        <v>372</v>
      </c>
      <c r="J520" t="s">
        <v>279</v>
      </c>
      <c r="K520" t="s">
        <v>384</v>
      </c>
      <c r="L520" t="s">
        <v>268</v>
      </c>
      <c r="M520" t="s">
        <v>246</v>
      </c>
      <c r="N520" t="s">
        <v>247</v>
      </c>
      <c r="O520">
        <v>42064</v>
      </c>
      <c r="P520">
        <v>10.07</v>
      </c>
      <c r="Q520">
        <v>15.98</v>
      </c>
      <c r="R520">
        <f t="shared" si="49"/>
        <v>5.91</v>
      </c>
      <c r="S520">
        <v>26</v>
      </c>
      <c r="T520">
        <f t="shared" si="50"/>
        <v>415.48</v>
      </c>
      <c r="U520">
        <v>0.01</v>
      </c>
      <c r="V520">
        <f t="shared" si="51"/>
        <v>4.1547999999999998</v>
      </c>
      <c r="W520">
        <f t="shared" si="52"/>
        <v>411.3252</v>
      </c>
      <c r="X520">
        <v>4</v>
      </c>
      <c r="Y520">
        <f t="shared" si="53"/>
        <v>415.3252</v>
      </c>
    </row>
    <row r="521" spans="1:25" x14ac:dyDescent="0.25">
      <c r="A521" t="s">
        <v>1427</v>
      </c>
      <c r="B521">
        <v>42065</v>
      </c>
      <c r="C521" t="str">
        <f t="shared" si="48"/>
        <v>2015</v>
      </c>
      <c r="D521" t="s">
        <v>1428</v>
      </c>
      <c r="E521" t="s">
        <v>393</v>
      </c>
      <c r="F521" t="s">
        <v>257</v>
      </c>
      <c r="G521" t="s">
        <v>258</v>
      </c>
      <c r="H521" t="s">
        <v>259</v>
      </c>
      <c r="I521" t="s">
        <v>342</v>
      </c>
      <c r="J521" t="s">
        <v>304</v>
      </c>
      <c r="K521" t="s">
        <v>1429</v>
      </c>
      <c r="L521" t="s">
        <v>245</v>
      </c>
      <c r="M521" t="s">
        <v>246</v>
      </c>
      <c r="N521" t="s">
        <v>263</v>
      </c>
      <c r="O521">
        <v>42066</v>
      </c>
      <c r="P521">
        <v>3.99</v>
      </c>
      <c r="Q521">
        <v>6.23</v>
      </c>
      <c r="R521">
        <f t="shared" si="49"/>
        <v>2.2400000000000002</v>
      </c>
      <c r="S521">
        <v>4</v>
      </c>
      <c r="T521">
        <f t="shared" si="50"/>
        <v>24.92</v>
      </c>
      <c r="U521">
        <v>0.1</v>
      </c>
      <c r="V521">
        <f t="shared" si="51"/>
        <v>2.4920000000000004</v>
      </c>
      <c r="W521">
        <f t="shared" si="52"/>
        <v>22.428000000000001</v>
      </c>
      <c r="X521">
        <v>6.97</v>
      </c>
      <c r="Y521">
        <f t="shared" si="53"/>
        <v>29.398</v>
      </c>
    </row>
    <row r="522" spans="1:25" x14ac:dyDescent="0.25">
      <c r="A522" t="s">
        <v>1430</v>
      </c>
      <c r="B522">
        <v>42065</v>
      </c>
      <c r="C522" t="str">
        <f t="shared" si="48"/>
        <v>2015</v>
      </c>
      <c r="D522" t="s">
        <v>1431</v>
      </c>
      <c r="E522" t="s">
        <v>938</v>
      </c>
      <c r="F522" t="s">
        <v>239</v>
      </c>
      <c r="G522" t="s">
        <v>240</v>
      </c>
      <c r="H522" t="s">
        <v>274</v>
      </c>
      <c r="I522" t="s">
        <v>242</v>
      </c>
      <c r="J522" t="s">
        <v>261</v>
      </c>
      <c r="K522" t="s">
        <v>334</v>
      </c>
      <c r="L522" t="s">
        <v>245</v>
      </c>
      <c r="M522" t="s">
        <v>253</v>
      </c>
      <c r="N522" t="s">
        <v>247</v>
      </c>
      <c r="O522">
        <v>42067</v>
      </c>
      <c r="P522">
        <v>1.3</v>
      </c>
      <c r="Q522">
        <v>2.88</v>
      </c>
      <c r="R522">
        <f t="shared" si="49"/>
        <v>1.5799999999999998</v>
      </c>
      <c r="S522">
        <v>43</v>
      </c>
      <c r="T522">
        <f t="shared" si="50"/>
        <v>123.83999999999999</v>
      </c>
      <c r="U522">
        <v>0.1</v>
      </c>
      <c r="V522">
        <f t="shared" si="51"/>
        <v>12.384</v>
      </c>
      <c r="W522">
        <f t="shared" si="52"/>
        <v>111.45599999999999</v>
      </c>
      <c r="X522">
        <v>1.01</v>
      </c>
      <c r="Y522">
        <f t="shared" si="53"/>
        <v>112.46599999999999</v>
      </c>
    </row>
    <row r="523" spans="1:25" x14ac:dyDescent="0.25">
      <c r="A523" t="s">
        <v>1432</v>
      </c>
      <c r="B523">
        <v>42066</v>
      </c>
      <c r="C523" t="str">
        <f t="shared" si="48"/>
        <v>2015</v>
      </c>
      <c r="D523" t="s">
        <v>1433</v>
      </c>
      <c r="E523" t="s">
        <v>467</v>
      </c>
      <c r="F523" t="s">
        <v>257</v>
      </c>
      <c r="G523" t="s">
        <v>258</v>
      </c>
      <c r="H523" t="s">
        <v>241</v>
      </c>
      <c r="I523" t="s">
        <v>342</v>
      </c>
      <c r="J523" t="s">
        <v>243</v>
      </c>
      <c r="K523" t="s">
        <v>803</v>
      </c>
      <c r="L523" t="s">
        <v>245</v>
      </c>
      <c r="M523" t="s">
        <v>253</v>
      </c>
      <c r="N523" t="s">
        <v>247</v>
      </c>
      <c r="O523">
        <v>42067</v>
      </c>
      <c r="P523">
        <v>5.22</v>
      </c>
      <c r="Q523">
        <v>9.85</v>
      </c>
      <c r="R523">
        <f t="shared" si="49"/>
        <v>4.63</v>
      </c>
      <c r="S523">
        <v>41</v>
      </c>
      <c r="T523">
        <f t="shared" si="50"/>
        <v>403.84999999999997</v>
      </c>
      <c r="U523">
        <v>0.05</v>
      </c>
      <c r="V523">
        <f t="shared" si="51"/>
        <v>20.192499999999999</v>
      </c>
      <c r="W523">
        <f t="shared" si="52"/>
        <v>383.65749999999997</v>
      </c>
      <c r="X523">
        <v>4.82</v>
      </c>
      <c r="Y523">
        <f t="shared" si="53"/>
        <v>388.47749999999996</v>
      </c>
    </row>
    <row r="524" spans="1:25" x14ac:dyDescent="0.25">
      <c r="A524" t="s">
        <v>1434</v>
      </c>
      <c r="B524">
        <v>42067</v>
      </c>
      <c r="C524" t="str">
        <f t="shared" si="48"/>
        <v>2015</v>
      </c>
      <c r="D524" t="s">
        <v>1435</v>
      </c>
      <c r="E524" t="s">
        <v>1133</v>
      </c>
      <c r="F524" t="s">
        <v>257</v>
      </c>
      <c r="G524" t="s">
        <v>258</v>
      </c>
      <c r="H524" t="s">
        <v>259</v>
      </c>
      <c r="I524" t="s">
        <v>372</v>
      </c>
      <c r="J524" t="s">
        <v>243</v>
      </c>
      <c r="K524" t="s">
        <v>953</v>
      </c>
      <c r="L524" t="s">
        <v>245</v>
      </c>
      <c r="M524" t="s">
        <v>253</v>
      </c>
      <c r="N524" t="s">
        <v>247</v>
      </c>
      <c r="O524">
        <v>42069</v>
      </c>
      <c r="P524">
        <v>2.16</v>
      </c>
      <c r="Q524">
        <v>3.85</v>
      </c>
      <c r="R524">
        <f t="shared" si="49"/>
        <v>1.69</v>
      </c>
      <c r="S524">
        <v>4</v>
      </c>
      <c r="T524">
        <f t="shared" si="50"/>
        <v>15.4</v>
      </c>
      <c r="U524">
        <v>0.09</v>
      </c>
      <c r="V524">
        <f t="shared" si="51"/>
        <v>1.3859999999999999</v>
      </c>
      <c r="W524">
        <f t="shared" si="52"/>
        <v>14.014000000000001</v>
      </c>
      <c r="X524">
        <v>0.7</v>
      </c>
      <c r="Y524">
        <f t="shared" si="53"/>
        <v>14.714</v>
      </c>
    </row>
    <row r="525" spans="1:25" x14ac:dyDescent="0.25">
      <c r="A525" t="s">
        <v>1436</v>
      </c>
      <c r="B525">
        <v>42069</v>
      </c>
      <c r="C525" t="str">
        <f t="shared" si="48"/>
        <v>2015</v>
      </c>
      <c r="D525" t="s">
        <v>844</v>
      </c>
      <c r="E525" t="s">
        <v>528</v>
      </c>
      <c r="F525" t="s">
        <v>239</v>
      </c>
      <c r="G525" t="s">
        <v>240</v>
      </c>
      <c r="H525" t="s">
        <v>293</v>
      </c>
      <c r="I525" t="s">
        <v>251</v>
      </c>
      <c r="J525" t="s">
        <v>243</v>
      </c>
      <c r="K525" t="s">
        <v>300</v>
      </c>
      <c r="L525" t="s">
        <v>245</v>
      </c>
      <c r="M525" t="s">
        <v>246</v>
      </c>
      <c r="N525" t="s">
        <v>247</v>
      </c>
      <c r="O525">
        <v>42070</v>
      </c>
      <c r="P525">
        <v>5.33</v>
      </c>
      <c r="Q525">
        <v>8.6</v>
      </c>
      <c r="R525">
        <f t="shared" si="49"/>
        <v>3.2699999999999996</v>
      </c>
      <c r="S525">
        <v>2</v>
      </c>
      <c r="T525">
        <f t="shared" si="50"/>
        <v>17.2</v>
      </c>
      <c r="U525">
        <v>0.05</v>
      </c>
      <c r="V525">
        <f t="shared" si="51"/>
        <v>0.86</v>
      </c>
      <c r="W525">
        <f t="shared" si="52"/>
        <v>16.34</v>
      </c>
      <c r="X525">
        <v>6.19</v>
      </c>
      <c r="Y525">
        <f t="shared" si="53"/>
        <v>22.53</v>
      </c>
    </row>
    <row r="526" spans="1:25" x14ac:dyDescent="0.25">
      <c r="A526" t="s">
        <v>1437</v>
      </c>
      <c r="B526">
        <v>42074</v>
      </c>
      <c r="C526" t="str">
        <f t="shared" si="48"/>
        <v>2015</v>
      </c>
      <c r="D526" t="s">
        <v>1438</v>
      </c>
      <c r="E526" t="s">
        <v>1439</v>
      </c>
      <c r="F526" t="s">
        <v>257</v>
      </c>
      <c r="G526" t="s">
        <v>258</v>
      </c>
      <c r="H526" t="s">
        <v>293</v>
      </c>
      <c r="I526" t="s">
        <v>333</v>
      </c>
      <c r="J526" t="s">
        <v>243</v>
      </c>
      <c r="K526" t="s">
        <v>435</v>
      </c>
      <c r="L526" t="s">
        <v>245</v>
      </c>
      <c r="M526" t="s">
        <v>253</v>
      </c>
      <c r="N526" t="s">
        <v>247</v>
      </c>
      <c r="O526">
        <v>42075</v>
      </c>
      <c r="P526">
        <v>3.75</v>
      </c>
      <c r="Q526">
        <v>7.08</v>
      </c>
      <c r="R526">
        <f t="shared" si="49"/>
        <v>3.33</v>
      </c>
      <c r="S526">
        <v>12</v>
      </c>
      <c r="T526">
        <f t="shared" si="50"/>
        <v>84.960000000000008</v>
      </c>
      <c r="U526">
        <v>0.1</v>
      </c>
      <c r="V526">
        <f t="shared" si="51"/>
        <v>8.4960000000000004</v>
      </c>
      <c r="W526">
        <f t="shared" si="52"/>
        <v>76.464000000000013</v>
      </c>
      <c r="X526">
        <v>2.35</v>
      </c>
      <c r="Y526">
        <f t="shared" si="53"/>
        <v>78.814000000000007</v>
      </c>
    </row>
    <row r="527" spans="1:25" x14ac:dyDescent="0.25">
      <c r="A527" t="s">
        <v>1440</v>
      </c>
      <c r="B527">
        <v>42075</v>
      </c>
      <c r="C527" t="str">
        <f t="shared" si="48"/>
        <v>2015</v>
      </c>
      <c r="D527" t="s">
        <v>1441</v>
      </c>
      <c r="E527" t="s">
        <v>928</v>
      </c>
      <c r="F527" t="s">
        <v>257</v>
      </c>
      <c r="G527" t="s">
        <v>258</v>
      </c>
      <c r="H527" t="s">
        <v>241</v>
      </c>
      <c r="I527" t="s">
        <v>284</v>
      </c>
      <c r="J527" t="s">
        <v>261</v>
      </c>
      <c r="K527" t="s">
        <v>617</v>
      </c>
      <c r="L527" t="s">
        <v>245</v>
      </c>
      <c r="M527" t="s">
        <v>246</v>
      </c>
      <c r="N527" t="s">
        <v>247</v>
      </c>
      <c r="O527">
        <v>42076</v>
      </c>
      <c r="P527">
        <v>1.94</v>
      </c>
      <c r="Q527">
        <v>3.08</v>
      </c>
      <c r="R527">
        <f t="shared" si="49"/>
        <v>1.1400000000000001</v>
      </c>
      <c r="S527">
        <v>4</v>
      </c>
      <c r="T527">
        <f t="shared" si="50"/>
        <v>12.32</v>
      </c>
      <c r="U527">
        <v>0.03</v>
      </c>
      <c r="V527">
        <f t="shared" si="51"/>
        <v>0.36959999999999998</v>
      </c>
      <c r="W527">
        <f t="shared" si="52"/>
        <v>11.9504</v>
      </c>
      <c r="X527">
        <v>0.99</v>
      </c>
      <c r="Y527">
        <f t="shared" si="53"/>
        <v>12.9404</v>
      </c>
    </row>
    <row r="528" spans="1:25" x14ac:dyDescent="0.25">
      <c r="A528" t="s">
        <v>1442</v>
      </c>
      <c r="B528">
        <v>42078</v>
      </c>
      <c r="C528" t="str">
        <f t="shared" si="48"/>
        <v>2015</v>
      </c>
      <c r="D528" t="s">
        <v>1402</v>
      </c>
      <c r="E528" t="s">
        <v>1093</v>
      </c>
      <c r="F528" t="s">
        <v>257</v>
      </c>
      <c r="G528" t="s">
        <v>258</v>
      </c>
      <c r="H528" t="s">
        <v>274</v>
      </c>
      <c r="I528" t="s">
        <v>372</v>
      </c>
      <c r="J528" t="s">
        <v>243</v>
      </c>
      <c r="K528" t="s">
        <v>661</v>
      </c>
      <c r="L528" t="s">
        <v>245</v>
      </c>
      <c r="M528" t="s">
        <v>246</v>
      </c>
      <c r="N528" t="s">
        <v>247</v>
      </c>
      <c r="O528">
        <v>42080</v>
      </c>
      <c r="P528">
        <v>2.1800000000000002</v>
      </c>
      <c r="Q528">
        <v>3.52</v>
      </c>
      <c r="R528">
        <f t="shared" si="49"/>
        <v>1.3399999999999999</v>
      </c>
      <c r="S528">
        <v>49</v>
      </c>
      <c r="T528">
        <f t="shared" si="50"/>
        <v>172.48</v>
      </c>
      <c r="U528">
        <v>0.08</v>
      </c>
      <c r="V528">
        <f t="shared" si="51"/>
        <v>13.798399999999999</v>
      </c>
      <c r="W528">
        <f t="shared" si="52"/>
        <v>158.6816</v>
      </c>
      <c r="X528">
        <v>6.83</v>
      </c>
      <c r="Y528">
        <f t="shared" si="53"/>
        <v>165.51160000000002</v>
      </c>
    </row>
    <row r="529" spans="1:25" x14ac:dyDescent="0.25">
      <c r="A529" t="s">
        <v>1443</v>
      </c>
      <c r="B529">
        <v>42079</v>
      </c>
      <c r="C529" t="str">
        <f t="shared" si="48"/>
        <v>2015</v>
      </c>
      <c r="D529" t="s">
        <v>1444</v>
      </c>
      <c r="E529" t="s">
        <v>328</v>
      </c>
      <c r="F529" t="s">
        <v>257</v>
      </c>
      <c r="G529" t="s">
        <v>258</v>
      </c>
      <c r="H529" t="s">
        <v>241</v>
      </c>
      <c r="I529" t="s">
        <v>299</v>
      </c>
      <c r="J529" t="s">
        <v>294</v>
      </c>
      <c r="K529" t="s">
        <v>1025</v>
      </c>
      <c r="L529" t="s">
        <v>268</v>
      </c>
      <c r="M529" t="s">
        <v>269</v>
      </c>
      <c r="N529" t="s">
        <v>270</v>
      </c>
      <c r="O529">
        <v>42080</v>
      </c>
      <c r="P529">
        <v>315.61</v>
      </c>
      <c r="Q529">
        <v>500.97</v>
      </c>
      <c r="R529">
        <f t="shared" si="49"/>
        <v>185.36</v>
      </c>
      <c r="S529">
        <v>3</v>
      </c>
      <c r="T529">
        <f t="shared" si="50"/>
        <v>1502.91</v>
      </c>
      <c r="U529">
        <v>0.06</v>
      </c>
      <c r="V529">
        <f t="shared" si="51"/>
        <v>90.174599999999998</v>
      </c>
      <c r="W529">
        <f t="shared" si="52"/>
        <v>1412.7354</v>
      </c>
      <c r="X529">
        <v>69.3</v>
      </c>
      <c r="Y529">
        <f t="shared" si="53"/>
        <v>1482.0354</v>
      </c>
    </row>
    <row r="530" spans="1:25" x14ac:dyDescent="0.25">
      <c r="A530" t="s">
        <v>1445</v>
      </c>
      <c r="B530">
        <v>42079</v>
      </c>
      <c r="C530" t="str">
        <f t="shared" si="48"/>
        <v>2015</v>
      </c>
      <c r="D530" t="s">
        <v>1446</v>
      </c>
      <c r="E530" t="s">
        <v>528</v>
      </c>
      <c r="F530" t="s">
        <v>239</v>
      </c>
      <c r="G530" t="s">
        <v>240</v>
      </c>
      <c r="H530" t="s">
        <v>293</v>
      </c>
      <c r="I530" t="s">
        <v>251</v>
      </c>
      <c r="J530" t="s">
        <v>243</v>
      </c>
      <c r="K530" t="s">
        <v>734</v>
      </c>
      <c r="L530" t="s">
        <v>245</v>
      </c>
      <c r="M530" t="s">
        <v>246</v>
      </c>
      <c r="N530" t="s">
        <v>247</v>
      </c>
      <c r="O530">
        <v>42079</v>
      </c>
      <c r="P530">
        <v>14.95</v>
      </c>
      <c r="Q530">
        <v>34.76</v>
      </c>
      <c r="R530">
        <f t="shared" si="49"/>
        <v>19.809999999999999</v>
      </c>
      <c r="S530">
        <v>43</v>
      </c>
      <c r="T530">
        <f t="shared" si="50"/>
        <v>1494.6799999999998</v>
      </c>
      <c r="U530">
        <v>0</v>
      </c>
      <c r="V530">
        <f t="shared" si="51"/>
        <v>0</v>
      </c>
      <c r="W530">
        <f t="shared" si="52"/>
        <v>1494.6799999999998</v>
      </c>
      <c r="X530">
        <v>8.2200000000000006</v>
      </c>
      <c r="Y530">
        <f t="shared" si="53"/>
        <v>1502.8999999999999</v>
      </c>
    </row>
    <row r="531" spans="1:25" x14ac:dyDescent="0.25">
      <c r="A531" t="s">
        <v>1447</v>
      </c>
      <c r="B531">
        <v>42080</v>
      </c>
      <c r="C531" t="str">
        <f t="shared" si="48"/>
        <v>2015</v>
      </c>
      <c r="D531" t="s">
        <v>1448</v>
      </c>
      <c r="E531" t="s">
        <v>528</v>
      </c>
      <c r="F531" t="s">
        <v>239</v>
      </c>
      <c r="G531" t="s">
        <v>240</v>
      </c>
      <c r="H531" t="s">
        <v>274</v>
      </c>
      <c r="I531" t="s">
        <v>251</v>
      </c>
      <c r="J531" t="s">
        <v>304</v>
      </c>
      <c r="K531" t="s">
        <v>475</v>
      </c>
      <c r="L531" t="s">
        <v>245</v>
      </c>
      <c r="M531" t="s">
        <v>246</v>
      </c>
      <c r="N531" t="s">
        <v>247</v>
      </c>
      <c r="O531">
        <v>42080</v>
      </c>
      <c r="P531">
        <v>12.39</v>
      </c>
      <c r="Q531">
        <v>19.98</v>
      </c>
      <c r="R531">
        <f t="shared" si="49"/>
        <v>7.59</v>
      </c>
      <c r="S531">
        <v>32</v>
      </c>
      <c r="T531">
        <f t="shared" si="50"/>
        <v>639.36</v>
      </c>
      <c r="U531">
        <v>0.05</v>
      </c>
      <c r="V531">
        <f t="shared" si="51"/>
        <v>31.968000000000004</v>
      </c>
      <c r="W531">
        <f t="shared" si="52"/>
        <v>607.39200000000005</v>
      </c>
      <c r="X531">
        <v>5.77</v>
      </c>
      <c r="Y531">
        <f t="shared" si="53"/>
        <v>613.16200000000003</v>
      </c>
    </row>
    <row r="532" spans="1:25" x14ac:dyDescent="0.25">
      <c r="A532" t="s">
        <v>1449</v>
      </c>
      <c r="B532">
        <v>42081</v>
      </c>
      <c r="C532" t="str">
        <f t="shared" si="48"/>
        <v>2015</v>
      </c>
      <c r="D532" t="s">
        <v>1450</v>
      </c>
      <c r="E532" t="s">
        <v>341</v>
      </c>
      <c r="F532" t="s">
        <v>257</v>
      </c>
      <c r="G532" t="s">
        <v>258</v>
      </c>
      <c r="H532" t="s">
        <v>259</v>
      </c>
      <c r="I532" t="s">
        <v>342</v>
      </c>
      <c r="J532" t="s">
        <v>261</v>
      </c>
      <c r="K532" t="s">
        <v>1351</v>
      </c>
      <c r="L532" t="s">
        <v>245</v>
      </c>
      <c r="M532" t="s">
        <v>323</v>
      </c>
      <c r="N532" t="s">
        <v>247</v>
      </c>
      <c r="O532">
        <v>42084</v>
      </c>
      <c r="P532">
        <v>2.87</v>
      </c>
      <c r="Q532">
        <v>6.84</v>
      </c>
      <c r="R532">
        <f t="shared" si="49"/>
        <v>3.9699999999999998</v>
      </c>
      <c r="S532">
        <v>35</v>
      </c>
      <c r="T532">
        <f t="shared" si="50"/>
        <v>239.4</v>
      </c>
      <c r="U532">
        <v>0.02</v>
      </c>
      <c r="V532">
        <f t="shared" si="51"/>
        <v>4.7880000000000003</v>
      </c>
      <c r="W532">
        <f t="shared" si="52"/>
        <v>234.61199999999999</v>
      </c>
      <c r="X532">
        <v>4.42</v>
      </c>
      <c r="Y532">
        <f t="shared" si="53"/>
        <v>239.03199999999998</v>
      </c>
    </row>
    <row r="533" spans="1:25" x14ac:dyDescent="0.25">
      <c r="A533" t="s">
        <v>1451</v>
      </c>
      <c r="B533">
        <v>42083</v>
      </c>
      <c r="C533" t="str">
        <f t="shared" si="48"/>
        <v>2015</v>
      </c>
      <c r="D533" t="s">
        <v>1452</v>
      </c>
      <c r="E533" t="s">
        <v>528</v>
      </c>
      <c r="F533" t="s">
        <v>239</v>
      </c>
      <c r="G533" t="s">
        <v>240</v>
      </c>
      <c r="H533" t="s">
        <v>293</v>
      </c>
      <c r="I533" t="s">
        <v>251</v>
      </c>
      <c r="J533" t="s">
        <v>261</v>
      </c>
      <c r="K533" t="s">
        <v>457</v>
      </c>
      <c r="L533" t="s">
        <v>268</v>
      </c>
      <c r="M533" t="s">
        <v>246</v>
      </c>
      <c r="N533" t="s">
        <v>263</v>
      </c>
      <c r="O533">
        <v>42084</v>
      </c>
      <c r="P533">
        <v>6.4</v>
      </c>
      <c r="Q533">
        <v>29.1</v>
      </c>
      <c r="R533">
        <f t="shared" si="49"/>
        <v>22.700000000000003</v>
      </c>
      <c r="S533">
        <v>50</v>
      </c>
      <c r="T533">
        <f t="shared" si="50"/>
        <v>1455</v>
      </c>
      <c r="U533">
        <v>0.09</v>
      </c>
      <c r="V533">
        <f t="shared" si="51"/>
        <v>130.94999999999999</v>
      </c>
      <c r="W533">
        <f t="shared" si="52"/>
        <v>1324.05</v>
      </c>
      <c r="X533">
        <v>4</v>
      </c>
      <c r="Y533">
        <f t="shared" si="53"/>
        <v>1328.05</v>
      </c>
    </row>
    <row r="534" spans="1:25" x14ac:dyDescent="0.25">
      <c r="A534" t="s">
        <v>1453</v>
      </c>
      <c r="B534">
        <v>42084</v>
      </c>
      <c r="C534" t="str">
        <f t="shared" si="48"/>
        <v>2015</v>
      </c>
      <c r="D534" t="s">
        <v>446</v>
      </c>
      <c r="E534" t="s">
        <v>447</v>
      </c>
      <c r="F534" t="s">
        <v>448</v>
      </c>
      <c r="G534" t="s">
        <v>449</v>
      </c>
      <c r="H534" t="s">
        <v>293</v>
      </c>
      <c r="I534" t="s">
        <v>333</v>
      </c>
      <c r="J534" t="s">
        <v>279</v>
      </c>
      <c r="K534" t="s">
        <v>439</v>
      </c>
      <c r="L534" t="s">
        <v>440</v>
      </c>
      <c r="M534" t="s">
        <v>323</v>
      </c>
      <c r="N534" t="s">
        <v>247</v>
      </c>
      <c r="O534">
        <v>42091</v>
      </c>
      <c r="P534">
        <v>5.5</v>
      </c>
      <c r="Q534">
        <v>12.22</v>
      </c>
      <c r="R534">
        <f t="shared" si="49"/>
        <v>6.7200000000000006</v>
      </c>
      <c r="S534">
        <v>5</v>
      </c>
      <c r="T534">
        <f t="shared" si="50"/>
        <v>61.1</v>
      </c>
      <c r="U534">
        <v>0.04</v>
      </c>
      <c r="V534">
        <f t="shared" si="51"/>
        <v>2.444</v>
      </c>
      <c r="W534">
        <f t="shared" si="52"/>
        <v>58.655999999999999</v>
      </c>
      <c r="X534">
        <v>2.85</v>
      </c>
      <c r="Y534">
        <f t="shared" si="53"/>
        <v>61.506</v>
      </c>
    </row>
    <row r="535" spans="1:25" x14ac:dyDescent="0.25">
      <c r="A535" t="s">
        <v>1454</v>
      </c>
      <c r="B535">
        <v>42084</v>
      </c>
      <c r="C535" t="str">
        <f t="shared" si="48"/>
        <v>2015</v>
      </c>
      <c r="D535" t="s">
        <v>646</v>
      </c>
      <c r="E535" t="s">
        <v>376</v>
      </c>
      <c r="F535" t="s">
        <v>239</v>
      </c>
      <c r="G535" t="s">
        <v>240</v>
      </c>
      <c r="H535" t="s">
        <v>293</v>
      </c>
      <c r="I535" t="s">
        <v>242</v>
      </c>
      <c r="J535" t="s">
        <v>261</v>
      </c>
      <c r="K535" t="s">
        <v>435</v>
      </c>
      <c r="L535" t="s">
        <v>245</v>
      </c>
      <c r="M535" t="s">
        <v>253</v>
      </c>
      <c r="N535" t="s">
        <v>247</v>
      </c>
      <c r="O535">
        <v>42085</v>
      </c>
      <c r="P535">
        <v>3.75</v>
      </c>
      <c r="Q535">
        <v>7.08</v>
      </c>
      <c r="R535">
        <f t="shared" si="49"/>
        <v>3.33</v>
      </c>
      <c r="S535">
        <v>31</v>
      </c>
      <c r="T535">
        <f t="shared" si="50"/>
        <v>219.48</v>
      </c>
      <c r="U535">
        <v>0.01</v>
      </c>
      <c r="V535">
        <f t="shared" si="51"/>
        <v>2.1947999999999999</v>
      </c>
      <c r="W535">
        <f t="shared" si="52"/>
        <v>217.2852</v>
      </c>
      <c r="X535">
        <v>2.35</v>
      </c>
      <c r="Y535">
        <f t="shared" si="53"/>
        <v>219.6352</v>
      </c>
    </row>
    <row r="536" spans="1:25" x14ac:dyDescent="0.25">
      <c r="A536" t="s">
        <v>1455</v>
      </c>
      <c r="B536">
        <v>42085</v>
      </c>
      <c r="C536" t="str">
        <f t="shared" si="48"/>
        <v>2015</v>
      </c>
      <c r="D536" t="s">
        <v>1456</v>
      </c>
      <c r="E536" t="s">
        <v>650</v>
      </c>
      <c r="F536" t="s">
        <v>257</v>
      </c>
      <c r="G536" t="s">
        <v>258</v>
      </c>
      <c r="H536" t="s">
        <v>241</v>
      </c>
      <c r="I536" t="s">
        <v>299</v>
      </c>
      <c r="J536" t="s">
        <v>243</v>
      </c>
      <c r="K536" t="s">
        <v>329</v>
      </c>
      <c r="L536" t="s">
        <v>245</v>
      </c>
      <c r="M536" t="s">
        <v>246</v>
      </c>
      <c r="N536" t="s">
        <v>263</v>
      </c>
      <c r="O536">
        <v>42086</v>
      </c>
      <c r="P536">
        <v>4.59</v>
      </c>
      <c r="Q536">
        <v>7.28</v>
      </c>
      <c r="R536">
        <f t="shared" si="49"/>
        <v>2.6900000000000004</v>
      </c>
      <c r="S536">
        <v>40</v>
      </c>
      <c r="T536">
        <f t="shared" si="50"/>
        <v>291.2</v>
      </c>
      <c r="U536">
        <v>0.04</v>
      </c>
      <c r="V536">
        <f t="shared" si="51"/>
        <v>11.648</v>
      </c>
      <c r="W536">
        <f t="shared" si="52"/>
        <v>279.55199999999996</v>
      </c>
      <c r="X536">
        <v>11.15</v>
      </c>
      <c r="Y536">
        <f t="shared" si="53"/>
        <v>290.70199999999994</v>
      </c>
    </row>
    <row r="537" spans="1:25" x14ac:dyDescent="0.25">
      <c r="A537" t="s">
        <v>1457</v>
      </c>
      <c r="B537">
        <v>42087</v>
      </c>
      <c r="C537" t="str">
        <f t="shared" si="48"/>
        <v>2015</v>
      </c>
      <c r="D537" t="s">
        <v>1458</v>
      </c>
      <c r="E537" t="s">
        <v>1459</v>
      </c>
      <c r="F537" t="s">
        <v>257</v>
      </c>
      <c r="G537" t="s">
        <v>258</v>
      </c>
      <c r="H537" t="s">
        <v>259</v>
      </c>
      <c r="I537" t="s">
        <v>260</v>
      </c>
      <c r="J537" t="s">
        <v>304</v>
      </c>
      <c r="K537" t="s">
        <v>811</v>
      </c>
      <c r="L537" t="s">
        <v>245</v>
      </c>
      <c r="M537" t="s">
        <v>246</v>
      </c>
      <c r="N537" t="s">
        <v>247</v>
      </c>
      <c r="O537">
        <v>42089</v>
      </c>
      <c r="P537">
        <v>3.37</v>
      </c>
      <c r="Q537">
        <v>5.53</v>
      </c>
      <c r="R537">
        <f t="shared" si="49"/>
        <v>2.16</v>
      </c>
      <c r="S537">
        <v>23</v>
      </c>
      <c r="T537">
        <f t="shared" si="50"/>
        <v>127.19000000000001</v>
      </c>
      <c r="U537">
        <v>0.1</v>
      </c>
      <c r="V537">
        <f t="shared" si="51"/>
        <v>12.719000000000001</v>
      </c>
      <c r="W537">
        <f t="shared" si="52"/>
        <v>114.471</v>
      </c>
      <c r="X537">
        <v>6.98</v>
      </c>
      <c r="Y537">
        <f t="shared" si="53"/>
        <v>121.45100000000001</v>
      </c>
    </row>
    <row r="538" spans="1:25" x14ac:dyDescent="0.25">
      <c r="A538" t="s">
        <v>1460</v>
      </c>
      <c r="B538">
        <v>42087</v>
      </c>
      <c r="C538" t="str">
        <f t="shared" si="48"/>
        <v>2015</v>
      </c>
      <c r="D538" t="s">
        <v>1461</v>
      </c>
      <c r="E538" t="s">
        <v>303</v>
      </c>
      <c r="F538" t="s">
        <v>239</v>
      </c>
      <c r="G538" t="s">
        <v>240</v>
      </c>
      <c r="H538" t="s">
        <v>259</v>
      </c>
      <c r="I538" t="s">
        <v>242</v>
      </c>
      <c r="J538" t="s">
        <v>261</v>
      </c>
      <c r="K538" t="s">
        <v>349</v>
      </c>
      <c r="L538" t="s">
        <v>245</v>
      </c>
      <c r="M538" t="s">
        <v>246</v>
      </c>
      <c r="N538" t="s">
        <v>247</v>
      </c>
      <c r="O538">
        <v>42088</v>
      </c>
      <c r="P538">
        <v>3.52</v>
      </c>
      <c r="Q538">
        <v>5.68</v>
      </c>
      <c r="R538">
        <f t="shared" si="49"/>
        <v>2.1599999999999997</v>
      </c>
      <c r="S538">
        <v>8</v>
      </c>
      <c r="T538">
        <f t="shared" si="50"/>
        <v>45.44</v>
      </c>
      <c r="U538">
        <v>0.02</v>
      </c>
      <c r="V538">
        <f t="shared" si="51"/>
        <v>0.90879999999999994</v>
      </c>
      <c r="W538">
        <f t="shared" si="52"/>
        <v>44.531199999999998</v>
      </c>
      <c r="X538">
        <v>1.39</v>
      </c>
      <c r="Y538">
        <f t="shared" si="53"/>
        <v>45.921199999999999</v>
      </c>
    </row>
    <row r="539" spans="1:25" x14ac:dyDescent="0.25">
      <c r="A539" t="s">
        <v>1462</v>
      </c>
      <c r="B539">
        <v>42088</v>
      </c>
      <c r="C539" t="str">
        <f t="shared" si="48"/>
        <v>2015</v>
      </c>
      <c r="D539" t="s">
        <v>1316</v>
      </c>
      <c r="E539" t="s">
        <v>376</v>
      </c>
      <c r="F539" t="s">
        <v>239</v>
      </c>
      <c r="G539" t="s">
        <v>240</v>
      </c>
      <c r="H539" t="s">
        <v>241</v>
      </c>
      <c r="I539" t="s">
        <v>242</v>
      </c>
      <c r="J539" t="s">
        <v>294</v>
      </c>
      <c r="K539" t="s">
        <v>413</v>
      </c>
      <c r="L539" t="s">
        <v>268</v>
      </c>
      <c r="M539" t="s">
        <v>414</v>
      </c>
      <c r="N539" t="s">
        <v>247</v>
      </c>
      <c r="O539">
        <v>42090</v>
      </c>
      <c r="P539">
        <v>8.82</v>
      </c>
      <c r="Q539">
        <v>20.99</v>
      </c>
      <c r="R539">
        <f t="shared" si="49"/>
        <v>12.169999999999998</v>
      </c>
      <c r="S539">
        <v>45</v>
      </c>
      <c r="T539">
        <f t="shared" si="50"/>
        <v>944.55</v>
      </c>
      <c r="U539">
        <v>0.03</v>
      </c>
      <c r="V539">
        <f t="shared" si="51"/>
        <v>28.336499999999997</v>
      </c>
      <c r="W539">
        <f t="shared" si="52"/>
        <v>916.21349999999995</v>
      </c>
      <c r="X539">
        <v>4.8099999999999996</v>
      </c>
      <c r="Y539">
        <f t="shared" si="53"/>
        <v>921.0234999999999</v>
      </c>
    </row>
    <row r="540" spans="1:25" x14ac:dyDescent="0.25">
      <c r="A540" t="s">
        <v>1463</v>
      </c>
      <c r="B540">
        <v>42088</v>
      </c>
      <c r="C540" t="str">
        <f t="shared" si="48"/>
        <v>2015</v>
      </c>
      <c r="D540" t="s">
        <v>1450</v>
      </c>
      <c r="E540" t="s">
        <v>341</v>
      </c>
      <c r="F540" t="s">
        <v>257</v>
      </c>
      <c r="G540" t="s">
        <v>258</v>
      </c>
      <c r="H540" t="s">
        <v>259</v>
      </c>
      <c r="I540" t="s">
        <v>342</v>
      </c>
      <c r="J540" t="s">
        <v>294</v>
      </c>
      <c r="K540" t="s">
        <v>630</v>
      </c>
      <c r="L540" t="s">
        <v>245</v>
      </c>
      <c r="M540" t="s">
        <v>253</v>
      </c>
      <c r="N540" t="s">
        <v>263</v>
      </c>
      <c r="O540">
        <v>42090</v>
      </c>
      <c r="P540">
        <v>1.53</v>
      </c>
      <c r="Q540">
        <v>2.78</v>
      </c>
      <c r="R540">
        <f t="shared" si="49"/>
        <v>1.2499999999999998</v>
      </c>
      <c r="S540">
        <v>34</v>
      </c>
      <c r="T540">
        <f t="shared" si="50"/>
        <v>94.52</v>
      </c>
      <c r="U540">
        <v>0</v>
      </c>
      <c r="V540">
        <f t="shared" si="51"/>
        <v>0</v>
      </c>
      <c r="W540">
        <f t="shared" si="52"/>
        <v>94.52</v>
      </c>
      <c r="X540">
        <v>1.34</v>
      </c>
      <c r="Y540">
        <f t="shared" si="53"/>
        <v>95.86</v>
      </c>
    </row>
    <row r="541" spans="1:25" x14ac:dyDescent="0.25">
      <c r="A541" t="s">
        <v>1464</v>
      </c>
      <c r="B541">
        <v>42093</v>
      </c>
      <c r="C541" t="str">
        <f t="shared" si="48"/>
        <v>2015</v>
      </c>
      <c r="D541" t="s">
        <v>1023</v>
      </c>
      <c r="E541" t="s">
        <v>356</v>
      </c>
      <c r="F541" t="s">
        <v>239</v>
      </c>
      <c r="G541" t="s">
        <v>240</v>
      </c>
      <c r="H541" t="s">
        <v>293</v>
      </c>
      <c r="I541" t="s">
        <v>251</v>
      </c>
      <c r="J541" t="s">
        <v>304</v>
      </c>
      <c r="K541" t="s">
        <v>586</v>
      </c>
      <c r="L541" t="s">
        <v>268</v>
      </c>
      <c r="M541" t="s">
        <v>246</v>
      </c>
      <c r="N541" t="s">
        <v>247</v>
      </c>
      <c r="O541">
        <v>42095</v>
      </c>
      <c r="P541">
        <v>54.52</v>
      </c>
      <c r="Q541">
        <v>100.97</v>
      </c>
      <c r="R541">
        <f t="shared" si="49"/>
        <v>46.449999999999996</v>
      </c>
      <c r="S541">
        <v>13</v>
      </c>
      <c r="T541">
        <f t="shared" si="50"/>
        <v>1312.61</v>
      </c>
      <c r="U541">
        <v>0.06</v>
      </c>
      <c r="V541">
        <f t="shared" si="51"/>
        <v>78.756599999999992</v>
      </c>
      <c r="W541">
        <f t="shared" si="52"/>
        <v>1233.8534</v>
      </c>
      <c r="X541">
        <v>7.18</v>
      </c>
      <c r="Y541">
        <f t="shared" si="53"/>
        <v>1241.0334</v>
      </c>
    </row>
    <row r="542" spans="1:25" x14ac:dyDescent="0.25">
      <c r="A542" t="s">
        <v>1465</v>
      </c>
      <c r="B542">
        <v>42098</v>
      </c>
      <c r="C542" t="str">
        <f t="shared" si="48"/>
        <v>2015</v>
      </c>
      <c r="D542" t="s">
        <v>1466</v>
      </c>
      <c r="E542" t="s">
        <v>798</v>
      </c>
      <c r="F542" t="s">
        <v>448</v>
      </c>
      <c r="G542" t="s">
        <v>449</v>
      </c>
      <c r="H542" t="s">
        <v>241</v>
      </c>
      <c r="I542" t="s">
        <v>299</v>
      </c>
      <c r="J542" t="s">
        <v>304</v>
      </c>
      <c r="K542" t="s">
        <v>267</v>
      </c>
      <c r="L542" t="s">
        <v>268</v>
      </c>
      <c r="M542" t="s">
        <v>269</v>
      </c>
      <c r="N542" t="s">
        <v>270</v>
      </c>
      <c r="O542">
        <v>42099</v>
      </c>
      <c r="P542">
        <v>75</v>
      </c>
      <c r="Q542">
        <v>120.97</v>
      </c>
      <c r="R542">
        <f t="shared" si="49"/>
        <v>45.97</v>
      </c>
      <c r="S542">
        <v>38</v>
      </c>
      <c r="T542">
        <f t="shared" si="50"/>
        <v>4596.8599999999997</v>
      </c>
      <c r="U542">
        <v>0.09</v>
      </c>
      <c r="V542">
        <f t="shared" si="51"/>
        <v>413.71739999999994</v>
      </c>
      <c r="W542">
        <f t="shared" si="52"/>
        <v>4183.1426000000001</v>
      </c>
      <c r="X542">
        <v>26.3</v>
      </c>
      <c r="Y542">
        <f t="shared" si="53"/>
        <v>4209.4426000000003</v>
      </c>
    </row>
    <row r="543" spans="1:25" x14ac:dyDescent="0.25">
      <c r="A543" t="s">
        <v>1467</v>
      </c>
      <c r="B543">
        <v>42098</v>
      </c>
      <c r="C543" t="str">
        <f t="shared" si="48"/>
        <v>2015</v>
      </c>
      <c r="D543" t="s">
        <v>1000</v>
      </c>
      <c r="E543" t="s">
        <v>1001</v>
      </c>
      <c r="F543" t="s">
        <v>239</v>
      </c>
      <c r="G543" t="s">
        <v>240</v>
      </c>
      <c r="H543" t="s">
        <v>293</v>
      </c>
      <c r="I543" t="s">
        <v>251</v>
      </c>
      <c r="J543" t="s">
        <v>243</v>
      </c>
      <c r="K543" t="s">
        <v>941</v>
      </c>
      <c r="L543" t="s">
        <v>245</v>
      </c>
      <c r="M543" t="s">
        <v>253</v>
      </c>
      <c r="N543" t="s">
        <v>247</v>
      </c>
      <c r="O543">
        <v>42099</v>
      </c>
      <c r="P543">
        <v>2.59</v>
      </c>
      <c r="Q543">
        <v>3.98</v>
      </c>
      <c r="R543">
        <f t="shared" si="49"/>
        <v>1.3900000000000001</v>
      </c>
      <c r="S543">
        <v>2</v>
      </c>
      <c r="T543">
        <f t="shared" si="50"/>
        <v>7.96</v>
      </c>
      <c r="U543">
        <v>0.04</v>
      </c>
      <c r="V543">
        <f t="shared" si="51"/>
        <v>0.31840000000000002</v>
      </c>
      <c r="W543">
        <f t="shared" si="52"/>
        <v>7.6416000000000004</v>
      </c>
      <c r="X543">
        <v>2.97</v>
      </c>
      <c r="Y543">
        <f t="shared" si="53"/>
        <v>10.611600000000001</v>
      </c>
    </row>
    <row r="544" spans="1:25" x14ac:dyDescent="0.25">
      <c r="A544" t="s">
        <v>1468</v>
      </c>
      <c r="B544">
        <v>42102</v>
      </c>
      <c r="C544" t="str">
        <f t="shared" si="48"/>
        <v>2015</v>
      </c>
      <c r="D544" t="s">
        <v>690</v>
      </c>
      <c r="E544" t="s">
        <v>691</v>
      </c>
      <c r="F544" t="s">
        <v>448</v>
      </c>
      <c r="G544" t="s">
        <v>449</v>
      </c>
      <c r="H544" t="s">
        <v>241</v>
      </c>
      <c r="I544" t="s">
        <v>504</v>
      </c>
      <c r="J544" t="s">
        <v>261</v>
      </c>
      <c r="K544" t="s">
        <v>811</v>
      </c>
      <c r="L544" t="s">
        <v>245</v>
      </c>
      <c r="M544" t="s">
        <v>246</v>
      </c>
      <c r="N544" t="s">
        <v>247</v>
      </c>
      <c r="O544">
        <v>42103</v>
      </c>
      <c r="P544">
        <v>3.37</v>
      </c>
      <c r="Q544">
        <v>5.53</v>
      </c>
      <c r="R544">
        <f t="shared" si="49"/>
        <v>2.16</v>
      </c>
      <c r="S544">
        <v>9</v>
      </c>
      <c r="T544">
        <f t="shared" si="50"/>
        <v>49.77</v>
      </c>
      <c r="U544">
        <v>0.09</v>
      </c>
      <c r="V544">
        <f t="shared" si="51"/>
        <v>4.4793000000000003</v>
      </c>
      <c r="W544">
        <f t="shared" si="52"/>
        <v>45.290700000000001</v>
      </c>
      <c r="X544">
        <v>6.98</v>
      </c>
      <c r="Y544">
        <f t="shared" si="53"/>
        <v>52.270700000000005</v>
      </c>
    </row>
    <row r="545" spans="1:25" x14ac:dyDescent="0.25">
      <c r="A545" t="s">
        <v>1469</v>
      </c>
      <c r="B545">
        <v>42102</v>
      </c>
      <c r="C545" t="str">
        <f t="shared" si="48"/>
        <v>2015</v>
      </c>
      <c r="D545" t="s">
        <v>1470</v>
      </c>
      <c r="E545" t="s">
        <v>1118</v>
      </c>
      <c r="F545" t="s">
        <v>257</v>
      </c>
      <c r="G545" t="s">
        <v>258</v>
      </c>
      <c r="H545" t="s">
        <v>293</v>
      </c>
      <c r="I545" t="s">
        <v>284</v>
      </c>
      <c r="J545" t="s">
        <v>294</v>
      </c>
      <c r="K545" t="s">
        <v>485</v>
      </c>
      <c r="L545" t="s">
        <v>245</v>
      </c>
      <c r="M545" t="s">
        <v>253</v>
      </c>
      <c r="N545" t="s">
        <v>247</v>
      </c>
      <c r="O545">
        <v>42103</v>
      </c>
      <c r="P545">
        <v>3.48</v>
      </c>
      <c r="Q545">
        <v>5.43</v>
      </c>
      <c r="R545">
        <f t="shared" si="49"/>
        <v>1.9499999999999997</v>
      </c>
      <c r="S545">
        <v>13</v>
      </c>
      <c r="T545">
        <f t="shared" si="50"/>
        <v>70.59</v>
      </c>
      <c r="U545">
        <v>0.02</v>
      </c>
      <c r="V545">
        <f t="shared" si="51"/>
        <v>1.4118000000000002</v>
      </c>
      <c r="W545">
        <f t="shared" si="52"/>
        <v>69.178200000000004</v>
      </c>
      <c r="X545">
        <v>0.95</v>
      </c>
      <c r="Y545">
        <f t="shared" si="53"/>
        <v>70.128200000000007</v>
      </c>
    </row>
    <row r="546" spans="1:25" x14ac:dyDescent="0.25">
      <c r="A546" t="s">
        <v>1471</v>
      </c>
      <c r="B546">
        <v>42104</v>
      </c>
      <c r="C546" t="str">
        <f t="shared" si="48"/>
        <v>2015</v>
      </c>
      <c r="D546" t="s">
        <v>1472</v>
      </c>
      <c r="E546" t="s">
        <v>575</v>
      </c>
      <c r="F546" t="s">
        <v>257</v>
      </c>
      <c r="G546" t="s">
        <v>258</v>
      </c>
      <c r="H546" t="s">
        <v>274</v>
      </c>
      <c r="I546" t="s">
        <v>381</v>
      </c>
      <c r="J546" t="s">
        <v>243</v>
      </c>
      <c r="K546" t="s">
        <v>1473</v>
      </c>
      <c r="L546" t="s">
        <v>245</v>
      </c>
      <c r="M546" t="s">
        <v>246</v>
      </c>
      <c r="N546" t="s">
        <v>247</v>
      </c>
      <c r="O546">
        <v>42107</v>
      </c>
      <c r="P546">
        <v>3.53</v>
      </c>
      <c r="Q546">
        <v>8.6199999999999992</v>
      </c>
      <c r="R546">
        <f t="shared" si="49"/>
        <v>5.09</v>
      </c>
      <c r="S546">
        <v>50</v>
      </c>
      <c r="T546">
        <f t="shared" si="50"/>
        <v>430.99999999999994</v>
      </c>
      <c r="U546">
        <v>7.0000000000000007E-2</v>
      </c>
      <c r="V546">
        <f t="shared" si="51"/>
        <v>30.169999999999998</v>
      </c>
      <c r="W546">
        <f t="shared" si="52"/>
        <v>400.82999999999993</v>
      </c>
      <c r="X546">
        <v>4.5</v>
      </c>
      <c r="Y546">
        <f t="shared" si="53"/>
        <v>405.32999999999993</v>
      </c>
    </row>
    <row r="547" spans="1:25" x14ac:dyDescent="0.25">
      <c r="A547" t="s">
        <v>1474</v>
      </c>
      <c r="B547">
        <v>42104</v>
      </c>
      <c r="C547" t="str">
        <f t="shared" si="48"/>
        <v>2015</v>
      </c>
      <c r="D547" t="s">
        <v>1475</v>
      </c>
      <c r="E547" t="s">
        <v>816</v>
      </c>
      <c r="F547" t="s">
        <v>257</v>
      </c>
      <c r="G547" t="s">
        <v>258</v>
      </c>
      <c r="H547" t="s">
        <v>259</v>
      </c>
      <c r="I547" t="s">
        <v>492</v>
      </c>
      <c r="J547" t="s">
        <v>261</v>
      </c>
      <c r="K547" t="s">
        <v>630</v>
      </c>
      <c r="L547" t="s">
        <v>245</v>
      </c>
      <c r="M547" t="s">
        <v>253</v>
      </c>
      <c r="N547" t="s">
        <v>247</v>
      </c>
      <c r="O547">
        <v>42105</v>
      </c>
      <c r="P547">
        <v>1.53</v>
      </c>
      <c r="Q547">
        <v>2.78</v>
      </c>
      <c r="R547">
        <f t="shared" si="49"/>
        <v>1.2499999999999998</v>
      </c>
      <c r="S547">
        <v>19</v>
      </c>
      <c r="T547">
        <f t="shared" si="50"/>
        <v>52.819999999999993</v>
      </c>
      <c r="U547">
        <v>0.06</v>
      </c>
      <c r="V547">
        <f t="shared" si="51"/>
        <v>3.1691999999999996</v>
      </c>
      <c r="W547">
        <f t="shared" si="52"/>
        <v>49.650799999999997</v>
      </c>
      <c r="X547">
        <v>1.34</v>
      </c>
      <c r="Y547">
        <f t="shared" si="53"/>
        <v>50.9908</v>
      </c>
    </row>
    <row r="548" spans="1:25" x14ac:dyDescent="0.25">
      <c r="A548" t="s">
        <v>1476</v>
      </c>
      <c r="B548">
        <v>42105</v>
      </c>
      <c r="C548" t="str">
        <f t="shared" si="48"/>
        <v>2015</v>
      </c>
      <c r="D548" t="s">
        <v>474</v>
      </c>
      <c r="E548" t="s">
        <v>1439</v>
      </c>
      <c r="F548" t="s">
        <v>448</v>
      </c>
      <c r="G548" t="s">
        <v>449</v>
      </c>
      <c r="H548" t="s">
        <v>293</v>
      </c>
      <c r="I548" t="s">
        <v>381</v>
      </c>
      <c r="J548" t="s">
        <v>304</v>
      </c>
      <c r="K548" t="s">
        <v>384</v>
      </c>
      <c r="L548" t="s">
        <v>268</v>
      </c>
      <c r="M548" t="s">
        <v>246</v>
      </c>
      <c r="N548" t="s">
        <v>247</v>
      </c>
      <c r="O548">
        <v>42106</v>
      </c>
      <c r="P548">
        <v>10.07</v>
      </c>
      <c r="Q548">
        <v>15.98</v>
      </c>
      <c r="R548">
        <f t="shared" si="49"/>
        <v>5.91</v>
      </c>
      <c r="S548">
        <v>40</v>
      </c>
      <c r="T548">
        <f t="shared" si="50"/>
        <v>639.20000000000005</v>
      </c>
      <c r="U548">
        <v>0.01</v>
      </c>
      <c r="V548">
        <f t="shared" si="51"/>
        <v>6.3920000000000003</v>
      </c>
      <c r="W548">
        <f t="shared" si="52"/>
        <v>632.80799999999999</v>
      </c>
      <c r="X548">
        <v>4</v>
      </c>
      <c r="Y548">
        <f t="shared" si="53"/>
        <v>636.80799999999999</v>
      </c>
    </row>
    <row r="549" spans="1:25" x14ac:dyDescent="0.25">
      <c r="A549" t="s">
        <v>1477</v>
      </c>
      <c r="B549">
        <v>42107</v>
      </c>
      <c r="C549" t="str">
        <f t="shared" si="48"/>
        <v>2015</v>
      </c>
      <c r="D549" t="s">
        <v>1478</v>
      </c>
      <c r="E549" t="s">
        <v>1479</v>
      </c>
      <c r="F549" t="s">
        <v>257</v>
      </c>
      <c r="G549" t="s">
        <v>258</v>
      </c>
      <c r="H549" t="s">
        <v>259</v>
      </c>
      <c r="I549" t="s">
        <v>309</v>
      </c>
      <c r="J549" t="s">
        <v>243</v>
      </c>
      <c r="K549" t="s">
        <v>953</v>
      </c>
      <c r="L549" t="s">
        <v>245</v>
      </c>
      <c r="M549" t="s">
        <v>253</v>
      </c>
      <c r="N549" t="s">
        <v>247</v>
      </c>
      <c r="O549">
        <v>42108</v>
      </c>
      <c r="P549">
        <v>2.16</v>
      </c>
      <c r="Q549">
        <v>3.85</v>
      </c>
      <c r="R549">
        <f t="shared" si="49"/>
        <v>1.69</v>
      </c>
      <c r="S549">
        <v>42</v>
      </c>
      <c r="T549">
        <f t="shared" si="50"/>
        <v>161.70000000000002</v>
      </c>
      <c r="U549">
        <v>0.01</v>
      </c>
      <c r="V549">
        <f t="shared" si="51"/>
        <v>1.6170000000000002</v>
      </c>
      <c r="W549">
        <f t="shared" si="52"/>
        <v>160.08300000000003</v>
      </c>
      <c r="X549">
        <v>0.7</v>
      </c>
      <c r="Y549">
        <f t="shared" si="53"/>
        <v>160.78300000000002</v>
      </c>
    </row>
    <row r="550" spans="1:25" x14ac:dyDescent="0.25">
      <c r="A550" t="s">
        <v>1480</v>
      </c>
      <c r="B550">
        <v>42112</v>
      </c>
      <c r="C550" t="str">
        <f t="shared" si="48"/>
        <v>2015</v>
      </c>
      <c r="D550" t="s">
        <v>1159</v>
      </c>
      <c r="E550" t="s">
        <v>376</v>
      </c>
      <c r="F550" t="s">
        <v>239</v>
      </c>
      <c r="G550" t="s">
        <v>240</v>
      </c>
      <c r="H550" t="s">
        <v>259</v>
      </c>
      <c r="I550" t="s">
        <v>242</v>
      </c>
      <c r="J550" t="s">
        <v>304</v>
      </c>
      <c r="K550" t="s">
        <v>811</v>
      </c>
      <c r="L550" t="s">
        <v>245</v>
      </c>
      <c r="M550" t="s">
        <v>246</v>
      </c>
      <c r="N550" t="s">
        <v>247</v>
      </c>
      <c r="O550">
        <v>42113</v>
      </c>
      <c r="P550">
        <v>3.37</v>
      </c>
      <c r="Q550">
        <v>5.53</v>
      </c>
      <c r="R550">
        <f t="shared" si="49"/>
        <v>2.16</v>
      </c>
      <c r="S550">
        <v>30</v>
      </c>
      <c r="T550">
        <f t="shared" si="50"/>
        <v>165.9</v>
      </c>
      <c r="U550">
        <v>0.01</v>
      </c>
      <c r="V550">
        <f t="shared" si="51"/>
        <v>1.659</v>
      </c>
      <c r="W550">
        <f t="shared" si="52"/>
        <v>164.24100000000001</v>
      </c>
      <c r="X550">
        <v>6.98</v>
      </c>
      <c r="Y550">
        <f t="shared" si="53"/>
        <v>171.221</v>
      </c>
    </row>
    <row r="551" spans="1:25" x14ac:dyDescent="0.25">
      <c r="A551" t="s">
        <v>1481</v>
      </c>
      <c r="B551">
        <v>42112</v>
      </c>
      <c r="C551" t="str">
        <f t="shared" si="48"/>
        <v>2015</v>
      </c>
      <c r="D551" t="s">
        <v>1079</v>
      </c>
      <c r="E551" t="s">
        <v>1080</v>
      </c>
      <c r="F551" t="s">
        <v>239</v>
      </c>
      <c r="G551" t="s">
        <v>240</v>
      </c>
      <c r="H551" t="s">
        <v>259</v>
      </c>
      <c r="I551" t="s">
        <v>251</v>
      </c>
      <c r="J551" t="s">
        <v>304</v>
      </c>
      <c r="K551" t="s">
        <v>811</v>
      </c>
      <c r="L551" t="s">
        <v>245</v>
      </c>
      <c r="M551" t="s">
        <v>246</v>
      </c>
      <c r="N551" t="s">
        <v>247</v>
      </c>
      <c r="O551">
        <v>42113</v>
      </c>
      <c r="P551">
        <v>3.37</v>
      </c>
      <c r="Q551">
        <v>5.53</v>
      </c>
      <c r="R551">
        <f t="shared" si="49"/>
        <v>2.16</v>
      </c>
      <c r="S551">
        <v>27</v>
      </c>
      <c r="T551">
        <f t="shared" si="50"/>
        <v>149.31</v>
      </c>
      <c r="U551">
        <v>0.04</v>
      </c>
      <c r="V551">
        <f t="shared" si="51"/>
        <v>5.9724000000000004</v>
      </c>
      <c r="W551">
        <f t="shared" si="52"/>
        <v>143.33760000000001</v>
      </c>
      <c r="X551">
        <v>6.98</v>
      </c>
      <c r="Y551">
        <f t="shared" si="53"/>
        <v>150.3176</v>
      </c>
    </row>
    <row r="552" spans="1:25" x14ac:dyDescent="0.25">
      <c r="A552" t="s">
        <v>1482</v>
      </c>
      <c r="B552">
        <v>42112</v>
      </c>
      <c r="C552" t="str">
        <f t="shared" si="48"/>
        <v>2015</v>
      </c>
      <c r="D552" t="s">
        <v>1483</v>
      </c>
      <c r="E552" t="s">
        <v>1484</v>
      </c>
      <c r="F552" t="s">
        <v>257</v>
      </c>
      <c r="G552" t="s">
        <v>258</v>
      </c>
      <c r="H552" t="s">
        <v>293</v>
      </c>
      <c r="I552" t="s">
        <v>492</v>
      </c>
      <c r="J552" t="s">
        <v>304</v>
      </c>
      <c r="K552" t="s">
        <v>653</v>
      </c>
      <c r="L552" t="s">
        <v>245</v>
      </c>
      <c r="M552" t="s">
        <v>246</v>
      </c>
      <c r="N552" t="s">
        <v>247</v>
      </c>
      <c r="O552">
        <v>42112</v>
      </c>
      <c r="P552">
        <v>3.5</v>
      </c>
      <c r="Q552">
        <v>5.74</v>
      </c>
      <c r="R552">
        <f t="shared" si="49"/>
        <v>2.2400000000000002</v>
      </c>
      <c r="S552">
        <v>23</v>
      </c>
      <c r="T552">
        <f t="shared" si="50"/>
        <v>132.02000000000001</v>
      </c>
      <c r="U552">
        <v>0.06</v>
      </c>
      <c r="V552">
        <f t="shared" si="51"/>
        <v>7.9212000000000007</v>
      </c>
      <c r="W552">
        <f t="shared" si="52"/>
        <v>124.09880000000001</v>
      </c>
      <c r="X552">
        <v>5.01</v>
      </c>
      <c r="Y552">
        <f t="shared" si="53"/>
        <v>129.1088</v>
      </c>
    </row>
    <row r="553" spans="1:25" x14ac:dyDescent="0.25">
      <c r="A553" t="s">
        <v>1485</v>
      </c>
      <c r="B553">
        <v>42113</v>
      </c>
      <c r="C553" t="str">
        <f t="shared" si="48"/>
        <v>2015</v>
      </c>
      <c r="D553" t="s">
        <v>446</v>
      </c>
      <c r="E553" t="s">
        <v>447</v>
      </c>
      <c r="F553" t="s">
        <v>448</v>
      </c>
      <c r="G553" t="s">
        <v>449</v>
      </c>
      <c r="H553" t="s">
        <v>259</v>
      </c>
      <c r="I553" t="s">
        <v>333</v>
      </c>
      <c r="J553" t="s">
        <v>294</v>
      </c>
      <c r="K553" t="s">
        <v>373</v>
      </c>
      <c r="L553" t="s">
        <v>268</v>
      </c>
      <c r="M553" t="s">
        <v>246</v>
      </c>
      <c r="N553" t="s">
        <v>263</v>
      </c>
      <c r="O553">
        <v>42113</v>
      </c>
      <c r="P553">
        <v>6.39</v>
      </c>
      <c r="Q553">
        <v>19.98</v>
      </c>
      <c r="R553">
        <f t="shared" si="49"/>
        <v>13.59</v>
      </c>
      <c r="S553">
        <v>6</v>
      </c>
      <c r="T553">
        <f t="shared" si="50"/>
        <v>119.88</v>
      </c>
      <c r="U553">
        <v>0.08</v>
      </c>
      <c r="V553">
        <f t="shared" si="51"/>
        <v>9.5904000000000007</v>
      </c>
      <c r="W553">
        <f t="shared" si="52"/>
        <v>110.28959999999999</v>
      </c>
      <c r="X553">
        <v>4</v>
      </c>
      <c r="Y553">
        <f t="shared" si="53"/>
        <v>114.28959999999999</v>
      </c>
    </row>
    <row r="554" spans="1:25" x14ac:dyDescent="0.25">
      <c r="A554" t="s">
        <v>1486</v>
      </c>
      <c r="B554">
        <v>42114</v>
      </c>
      <c r="C554" t="str">
        <f t="shared" si="48"/>
        <v>2015</v>
      </c>
      <c r="D554" t="s">
        <v>1487</v>
      </c>
      <c r="E554" t="s">
        <v>320</v>
      </c>
      <c r="F554" t="s">
        <v>257</v>
      </c>
      <c r="G554" t="s">
        <v>258</v>
      </c>
      <c r="H554" t="s">
        <v>259</v>
      </c>
      <c r="I554" t="s">
        <v>381</v>
      </c>
      <c r="J554" t="s">
        <v>243</v>
      </c>
      <c r="K554" t="s">
        <v>600</v>
      </c>
      <c r="L554" t="s">
        <v>245</v>
      </c>
      <c r="M554" t="s">
        <v>253</v>
      </c>
      <c r="N554" t="s">
        <v>263</v>
      </c>
      <c r="O554">
        <v>42116</v>
      </c>
      <c r="P554">
        <v>2.98</v>
      </c>
      <c r="Q554">
        <v>5.84</v>
      </c>
      <c r="R554">
        <f t="shared" si="49"/>
        <v>2.86</v>
      </c>
      <c r="S554">
        <v>12</v>
      </c>
      <c r="T554">
        <f t="shared" si="50"/>
        <v>70.08</v>
      </c>
      <c r="U554">
        <v>0.02</v>
      </c>
      <c r="V554">
        <f t="shared" si="51"/>
        <v>1.4016</v>
      </c>
      <c r="W554">
        <f t="shared" si="52"/>
        <v>68.678399999999996</v>
      </c>
      <c r="X554">
        <v>0.83</v>
      </c>
      <c r="Y554">
        <f t="shared" si="53"/>
        <v>69.508399999999995</v>
      </c>
    </row>
    <row r="555" spans="1:25" x14ac:dyDescent="0.25">
      <c r="A555" t="s">
        <v>1488</v>
      </c>
      <c r="B555">
        <v>42117</v>
      </c>
      <c r="C555" t="str">
        <f t="shared" si="48"/>
        <v>2015</v>
      </c>
      <c r="D555" t="s">
        <v>497</v>
      </c>
      <c r="E555" t="s">
        <v>346</v>
      </c>
      <c r="F555" t="s">
        <v>257</v>
      </c>
      <c r="G555" t="s">
        <v>258</v>
      </c>
      <c r="H555" t="s">
        <v>293</v>
      </c>
      <c r="I555" t="s">
        <v>309</v>
      </c>
      <c r="J555" t="s">
        <v>243</v>
      </c>
      <c r="K555" t="s">
        <v>939</v>
      </c>
      <c r="L555" t="s">
        <v>268</v>
      </c>
      <c r="M555" t="s">
        <v>647</v>
      </c>
      <c r="N555" t="s">
        <v>247</v>
      </c>
      <c r="O555">
        <v>42117</v>
      </c>
      <c r="P555">
        <v>377.99</v>
      </c>
      <c r="Q555">
        <v>599.99</v>
      </c>
      <c r="R555">
        <f t="shared" si="49"/>
        <v>222</v>
      </c>
      <c r="S555">
        <v>50</v>
      </c>
      <c r="T555">
        <f t="shared" si="50"/>
        <v>29999.5</v>
      </c>
      <c r="U555">
        <v>0.09</v>
      </c>
      <c r="V555">
        <f t="shared" si="51"/>
        <v>2699.9549999999999</v>
      </c>
      <c r="W555">
        <f t="shared" si="52"/>
        <v>27299.544999999998</v>
      </c>
      <c r="X555">
        <v>24.49</v>
      </c>
      <c r="Y555">
        <f t="shared" si="53"/>
        <v>27324.035</v>
      </c>
    </row>
    <row r="556" spans="1:25" x14ac:dyDescent="0.25">
      <c r="A556" t="s">
        <v>1489</v>
      </c>
      <c r="B556">
        <v>42118</v>
      </c>
      <c r="C556" t="str">
        <f t="shared" si="48"/>
        <v>2015</v>
      </c>
      <c r="D556" t="s">
        <v>401</v>
      </c>
      <c r="E556" t="s">
        <v>402</v>
      </c>
      <c r="F556" t="s">
        <v>257</v>
      </c>
      <c r="G556" t="s">
        <v>258</v>
      </c>
      <c r="H556" t="s">
        <v>259</v>
      </c>
      <c r="I556" t="s">
        <v>333</v>
      </c>
      <c r="J556" t="s">
        <v>279</v>
      </c>
      <c r="K556" t="s">
        <v>493</v>
      </c>
      <c r="L556" t="s">
        <v>245</v>
      </c>
      <c r="M556" t="s">
        <v>253</v>
      </c>
      <c r="N556" t="s">
        <v>247</v>
      </c>
      <c r="O556">
        <v>42118</v>
      </c>
      <c r="P556">
        <v>1.76</v>
      </c>
      <c r="Q556">
        <v>3.38</v>
      </c>
      <c r="R556">
        <f t="shared" si="49"/>
        <v>1.6199999999999999</v>
      </c>
      <c r="S556">
        <v>31</v>
      </c>
      <c r="T556">
        <f t="shared" si="50"/>
        <v>104.78</v>
      </c>
      <c r="U556">
        <v>0.04</v>
      </c>
      <c r="V556">
        <f t="shared" si="51"/>
        <v>4.1912000000000003</v>
      </c>
      <c r="W556">
        <f t="shared" si="52"/>
        <v>100.58880000000001</v>
      </c>
      <c r="X556">
        <v>0.85</v>
      </c>
      <c r="Y556">
        <f t="shared" si="53"/>
        <v>101.4388</v>
      </c>
    </row>
    <row r="557" spans="1:25" x14ac:dyDescent="0.25">
      <c r="A557" t="s">
        <v>1490</v>
      </c>
      <c r="B557">
        <v>42119</v>
      </c>
      <c r="C557" t="str">
        <f t="shared" si="48"/>
        <v>2015</v>
      </c>
      <c r="D557" t="s">
        <v>1491</v>
      </c>
      <c r="E557" t="s">
        <v>367</v>
      </c>
      <c r="F557" t="s">
        <v>239</v>
      </c>
      <c r="G557" t="s">
        <v>240</v>
      </c>
      <c r="H557" t="s">
        <v>293</v>
      </c>
      <c r="I557" t="s">
        <v>251</v>
      </c>
      <c r="J557" t="s">
        <v>261</v>
      </c>
      <c r="K557" t="s">
        <v>582</v>
      </c>
      <c r="L557" t="s">
        <v>245</v>
      </c>
      <c r="M557" t="s">
        <v>253</v>
      </c>
      <c r="N557" t="s">
        <v>247</v>
      </c>
      <c r="O557">
        <v>42120</v>
      </c>
      <c r="P557">
        <v>0.24</v>
      </c>
      <c r="Q557">
        <v>1.26</v>
      </c>
      <c r="R557">
        <f t="shared" si="49"/>
        <v>1.02</v>
      </c>
      <c r="S557">
        <v>35</v>
      </c>
      <c r="T557">
        <f t="shared" si="50"/>
        <v>44.1</v>
      </c>
      <c r="U557">
        <v>0.1</v>
      </c>
      <c r="V557">
        <f t="shared" si="51"/>
        <v>4.41</v>
      </c>
      <c r="W557">
        <f t="shared" si="52"/>
        <v>39.69</v>
      </c>
      <c r="X557">
        <v>0.7</v>
      </c>
      <c r="Y557">
        <f t="shared" si="53"/>
        <v>40.39</v>
      </c>
    </row>
    <row r="558" spans="1:25" x14ac:dyDescent="0.25">
      <c r="A558" t="s">
        <v>1492</v>
      </c>
      <c r="B558">
        <v>42119</v>
      </c>
      <c r="C558" t="str">
        <f t="shared" si="48"/>
        <v>2015</v>
      </c>
      <c r="D558" t="s">
        <v>1491</v>
      </c>
      <c r="E558" t="s">
        <v>367</v>
      </c>
      <c r="F558" t="s">
        <v>239</v>
      </c>
      <c r="G558" t="s">
        <v>240</v>
      </c>
      <c r="H558" t="s">
        <v>293</v>
      </c>
      <c r="I558" t="s">
        <v>251</v>
      </c>
      <c r="J558" t="s">
        <v>261</v>
      </c>
      <c r="K558" t="s">
        <v>252</v>
      </c>
      <c r="L558" t="s">
        <v>245</v>
      </c>
      <c r="M558" t="s">
        <v>253</v>
      </c>
      <c r="N558" t="s">
        <v>247</v>
      </c>
      <c r="O558">
        <v>42121</v>
      </c>
      <c r="P558">
        <v>2.39</v>
      </c>
      <c r="Q558">
        <v>4.26</v>
      </c>
      <c r="R558">
        <f t="shared" si="49"/>
        <v>1.8699999999999997</v>
      </c>
      <c r="S558">
        <v>8</v>
      </c>
      <c r="T558">
        <f t="shared" si="50"/>
        <v>34.08</v>
      </c>
      <c r="U558">
        <v>0.1</v>
      </c>
      <c r="V558">
        <f t="shared" si="51"/>
        <v>3.4079999999999999</v>
      </c>
      <c r="W558">
        <f t="shared" si="52"/>
        <v>30.671999999999997</v>
      </c>
      <c r="X558">
        <v>1.2</v>
      </c>
      <c r="Y558">
        <f t="shared" si="53"/>
        <v>31.871999999999996</v>
      </c>
    </row>
    <row r="559" spans="1:25" x14ac:dyDescent="0.25">
      <c r="A559" t="s">
        <v>1493</v>
      </c>
      <c r="B559">
        <v>42119</v>
      </c>
      <c r="C559" t="str">
        <f t="shared" si="48"/>
        <v>2015</v>
      </c>
      <c r="D559" t="s">
        <v>1494</v>
      </c>
      <c r="E559" t="s">
        <v>367</v>
      </c>
      <c r="F559" t="s">
        <v>239</v>
      </c>
      <c r="G559" t="s">
        <v>240</v>
      </c>
      <c r="H559" t="s">
        <v>293</v>
      </c>
      <c r="I559" t="s">
        <v>251</v>
      </c>
      <c r="J559" t="s">
        <v>261</v>
      </c>
      <c r="K559" t="s">
        <v>594</v>
      </c>
      <c r="L559" t="s">
        <v>268</v>
      </c>
      <c r="M559" t="s">
        <v>647</v>
      </c>
      <c r="N559" t="s">
        <v>247</v>
      </c>
      <c r="O559">
        <v>42121</v>
      </c>
      <c r="P559">
        <v>216</v>
      </c>
      <c r="Q559">
        <v>449.99</v>
      </c>
      <c r="R559">
        <f t="shared" si="49"/>
        <v>233.99</v>
      </c>
      <c r="S559">
        <v>2</v>
      </c>
      <c r="T559">
        <f t="shared" si="50"/>
        <v>899.98</v>
      </c>
      <c r="U559">
        <v>0.08</v>
      </c>
      <c r="V559">
        <f t="shared" si="51"/>
        <v>71.998400000000004</v>
      </c>
      <c r="W559">
        <f t="shared" si="52"/>
        <v>827.98160000000007</v>
      </c>
      <c r="X559">
        <v>24.49</v>
      </c>
      <c r="Y559">
        <f t="shared" si="53"/>
        <v>852.47160000000008</v>
      </c>
    </row>
    <row r="560" spans="1:25" x14ac:dyDescent="0.25">
      <c r="A560" t="s">
        <v>1495</v>
      </c>
      <c r="B560">
        <v>42120</v>
      </c>
      <c r="C560" t="str">
        <f t="shared" si="48"/>
        <v>2015</v>
      </c>
      <c r="D560" t="s">
        <v>828</v>
      </c>
      <c r="E560" t="s">
        <v>829</v>
      </c>
      <c r="F560" t="s">
        <v>448</v>
      </c>
      <c r="G560" t="s">
        <v>449</v>
      </c>
      <c r="H560" t="s">
        <v>259</v>
      </c>
      <c r="I560" t="s">
        <v>381</v>
      </c>
      <c r="J560" t="s">
        <v>261</v>
      </c>
      <c r="K560" t="s">
        <v>413</v>
      </c>
      <c r="L560" t="s">
        <v>268</v>
      </c>
      <c r="M560" t="s">
        <v>414</v>
      </c>
      <c r="N560" t="s">
        <v>247</v>
      </c>
      <c r="O560">
        <v>42120</v>
      </c>
      <c r="P560">
        <v>8.82</v>
      </c>
      <c r="Q560">
        <v>20.99</v>
      </c>
      <c r="R560">
        <f t="shared" si="49"/>
        <v>12.169999999999998</v>
      </c>
      <c r="S560">
        <v>19</v>
      </c>
      <c r="T560">
        <f t="shared" si="50"/>
        <v>398.80999999999995</v>
      </c>
      <c r="U560">
        <v>0.01</v>
      </c>
      <c r="V560">
        <f t="shared" si="51"/>
        <v>3.9880999999999998</v>
      </c>
      <c r="W560">
        <f t="shared" si="52"/>
        <v>394.82189999999997</v>
      </c>
      <c r="X560">
        <v>4.8099999999999996</v>
      </c>
      <c r="Y560">
        <f t="shared" si="53"/>
        <v>399.63189999999997</v>
      </c>
    </row>
    <row r="561" spans="1:25" x14ac:dyDescent="0.25">
      <c r="A561" t="s">
        <v>1496</v>
      </c>
      <c r="B561">
        <v>42120</v>
      </c>
      <c r="C561" t="str">
        <f t="shared" si="48"/>
        <v>2015</v>
      </c>
      <c r="D561" t="s">
        <v>1497</v>
      </c>
      <c r="E561" t="s">
        <v>637</v>
      </c>
      <c r="F561" t="s">
        <v>239</v>
      </c>
      <c r="G561" t="s">
        <v>240</v>
      </c>
      <c r="H561" t="s">
        <v>241</v>
      </c>
      <c r="I561" t="s">
        <v>242</v>
      </c>
      <c r="J561" t="s">
        <v>261</v>
      </c>
      <c r="K561" t="s">
        <v>421</v>
      </c>
      <c r="L561" t="s">
        <v>245</v>
      </c>
      <c r="M561" t="s">
        <v>246</v>
      </c>
      <c r="N561" t="s">
        <v>247</v>
      </c>
      <c r="O561">
        <v>42122</v>
      </c>
      <c r="P561">
        <v>13.88</v>
      </c>
      <c r="Q561">
        <v>22.38</v>
      </c>
      <c r="R561">
        <f t="shared" si="49"/>
        <v>8.4999999999999982</v>
      </c>
      <c r="S561">
        <v>6</v>
      </c>
      <c r="T561">
        <f t="shared" si="50"/>
        <v>134.28</v>
      </c>
      <c r="U561">
        <v>0</v>
      </c>
      <c r="V561">
        <f t="shared" si="51"/>
        <v>0</v>
      </c>
      <c r="W561">
        <f t="shared" si="52"/>
        <v>134.28</v>
      </c>
      <c r="X561">
        <v>15.1</v>
      </c>
      <c r="Y561">
        <f t="shared" si="53"/>
        <v>149.38</v>
      </c>
    </row>
    <row r="562" spans="1:25" x14ac:dyDescent="0.25">
      <c r="A562" t="s">
        <v>1498</v>
      </c>
      <c r="B562">
        <v>42122</v>
      </c>
      <c r="C562" t="str">
        <f t="shared" si="48"/>
        <v>2015</v>
      </c>
      <c r="D562" t="s">
        <v>1499</v>
      </c>
      <c r="E562" t="s">
        <v>356</v>
      </c>
      <c r="F562" t="s">
        <v>239</v>
      </c>
      <c r="G562" t="s">
        <v>240</v>
      </c>
      <c r="H562" t="s">
        <v>241</v>
      </c>
      <c r="I562" t="s">
        <v>251</v>
      </c>
      <c r="J562" t="s">
        <v>279</v>
      </c>
      <c r="K562" t="s">
        <v>603</v>
      </c>
      <c r="L562" t="s">
        <v>245</v>
      </c>
      <c r="M562" t="s">
        <v>246</v>
      </c>
      <c r="N562" t="s">
        <v>263</v>
      </c>
      <c r="O562">
        <v>42124</v>
      </c>
      <c r="P562">
        <v>3.65</v>
      </c>
      <c r="Q562">
        <v>5.98</v>
      </c>
      <c r="R562">
        <f t="shared" si="49"/>
        <v>2.3300000000000005</v>
      </c>
      <c r="S562">
        <v>50</v>
      </c>
      <c r="T562">
        <f t="shared" si="50"/>
        <v>299</v>
      </c>
      <c r="U562">
        <v>0.09</v>
      </c>
      <c r="V562">
        <f t="shared" si="51"/>
        <v>26.91</v>
      </c>
      <c r="W562">
        <f t="shared" si="52"/>
        <v>272.08999999999997</v>
      </c>
      <c r="X562">
        <v>1.49</v>
      </c>
      <c r="Y562">
        <f t="shared" si="53"/>
        <v>273.58</v>
      </c>
    </row>
    <row r="563" spans="1:25" x14ac:dyDescent="0.25">
      <c r="A563" t="s">
        <v>1500</v>
      </c>
      <c r="B563">
        <v>42122</v>
      </c>
      <c r="C563" t="str">
        <f t="shared" si="48"/>
        <v>2015</v>
      </c>
      <c r="D563" t="s">
        <v>1501</v>
      </c>
      <c r="E563" t="s">
        <v>359</v>
      </c>
      <c r="F563" t="s">
        <v>239</v>
      </c>
      <c r="G563" t="s">
        <v>240</v>
      </c>
      <c r="H563" t="s">
        <v>259</v>
      </c>
      <c r="I563" t="s">
        <v>251</v>
      </c>
      <c r="J563" t="s">
        <v>294</v>
      </c>
      <c r="K563" t="s">
        <v>1025</v>
      </c>
      <c r="L563" t="s">
        <v>268</v>
      </c>
      <c r="M563" t="s">
        <v>269</v>
      </c>
      <c r="N563" t="s">
        <v>270</v>
      </c>
      <c r="O563">
        <v>42125</v>
      </c>
      <c r="P563">
        <v>315.61</v>
      </c>
      <c r="Q563">
        <v>500.97</v>
      </c>
      <c r="R563">
        <f t="shared" si="49"/>
        <v>185.36</v>
      </c>
      <c r="S563">
        <v>44</v>
      </c>
      <c r="T563">
        <f t="shared" si="50"/>
        <v>22042.68</v>
      </c>
      <c r="U563">
        <v>0.09</v>
      </c>
      <c r="V563">
        <f t="shared" si="51"/>
        <v>1983.8411999999998</v>
      </c>
      <c r="W563">
        <f t="shared" si="52"/>
        <v>20058.838800000001</v>
      </c>
      <c r="X563">
        <v>69.3</v>
      </c>
      <c r="Y563">
        <f t="shared" si="53"/>
        <v>20128.138800000001</v>
      </c>
    </row>
    <row r="564" spans="1:25" x14ac:dyDescent="0.25">
      <c r="A564" t="s">
        <v>1502</v>
      </c>
      <c r="B564">
        <v>42123</v>
      </c>
      <c r="C564" t="str">
        <f t="shared" si="48"/>
        <v>2015</v>
      </c>
      <c r="D564" t="s">
        <v>1503</v>
      </c>
      <c r="E564" t="s">
        <v>760</v>
      </c>
      <c r="F564" t="s">
        <v>448</v>
      </c>
      <c r="G564" t="s">
        <v>449</v>
      </c>
      <c r="H564" t="s">
        <v>259</v>
      </c>
      <c r="I564" t="s">
        <v>333</v>
      </c>
      <c r="J564" t="s">
        <v>279</v>
      </c>
      <c r="K564" t="s">
        <v>1119</v>
      </c>
      <c r="L564" t="s">
        <v>245</v>
      </c>
      <c r="M564" t="s">
        <v>246</v>
      </c>
      <c r="N564" t="s">
        <v>247</v>
      </c>
      <c r="O564">
        <v>42128</v>
      </c>
      <c r="P564">
        <v>1.84</v>
      </c>
      <c r="Q564">
        <v>2.88</v>
      </c>
      <c r="R564">
        <f t="shared" si="49"/>
        <v>1.0399999999999998</v>
      </c>
      <c r="S564">
        <v>29</v>
      </c>
      <c r="T564">
        <f t="shared" si="50"/>
        <v>83.52</v>
      </c>
      <c r="U564">
        <v>0.03</v>
      </c>
      <c r="V564">
        <f t="shared" si="51"/>
        <v>2.5055999999999998</v>
      </c>
      <c r="W564">
        <f t="shared" si="52"/>
        <v>81.014399999999995</v>
      </c>
      <c r="X564">
        <v>0.99</v>
      </c>
      <c r="Y564">
        <f t="shared" si="53"/>
        <v>82.00439999999999</v>
      </c>
    </row>
    <row r="565" spans="1:25" x14ac:dyDescent="0.25">
      <c r="A565" t="s">
        <v>1504</v>
      </c>
      <c r="B565">
        <v>42124</v>
      </c>
      <c r="C565" t="str">
        <f t="shared" si="48"/>
        <v>2015</v>
      </c>
      <c r="D565" t="s">
        <v>585</v>
      </c>
      <c r="E565" t="s">
        <v>376</v>
      </c>
      <c r="F565" t="s">
        <v>239</v>
      </c>
      <c r="G565" t="s">
        <v>240</v>
      </c>
      <c r="H565" t="s">
        <v>274</v>
      </c>
      <c r="I565" t="s">
        <v>242</v>
      </c>
      <c r="J565" t="s">
        <v>243</v>
      </c>
      <c r="K565" t="s">
        <v>634</v>
      </c>
      <c r="L565" t="s">
        <v>245</v>
      </c>
      <c r="M565" t="s">
        <v>246</v>
      </c>
      <c r="N565" t="s">
        <v>247</v>
      </c>
      <c r="O565">
        <v>42126</v>
      </c>
      <c r="P565">
        <v>2.2599999999999998</v>
      </c>
      <c r="Q565">
        <v>3.58</v>
      </c>
      <c r="R565">
        <f t="shared" si="49"/>
        <v>1.3200000000000003</v>
      </c>
      <c r="S565">
        <v>7</v>
      </c>
      <c r="T565">
        <f t="shared" si="50"/>
        <v>25.060000000000002</v>
      </c>
      <c r="U565">
        <v>0.09</v>
      </c>
      <c r="V565">
        <f t="shared" si="51"/>
        <v>2.2554000000000003</v>
      </c>
      <c r="W565">
        <f t="shared" si="52"/>
        <v>22.804600000000001</v>
      </c>
      <c r="X565">
        <v>5.47</v>
      </c>
      <c r="Y565">
        <f t="shared" si="53"/>
        <v>28.2746</v>
      </c>
    </row>
    <row r="566" spans="1:25" x14ac:dyDescent="0.25">
      <c r="A566" t="s">
        <v>1505</v>
      </c>
      <c r="B566">
        <v>42125</v>
      </c>
      <c r="C566" t="str">
        <f t="shared" si="48"/>
        <v>2015</v>
      </c>
      <c r="D566" t="s">
        <v>970</v>
      </c>
      <c r="E566" t="s">
        <v>971</v>
      </c>
      <c r="F566" t="s">
        <v>257</v>
      </c>
      <c r="G566" t="s">
        <v>258</v>
      </c>
      <c r="H566" t="s">
        <v>293</v>
      </c>
      <c r="I566" t="s">
        <v>299</v>
      </c>
      <c r="J566" t="s">
        <v>294</v>
      </c>
      <c r="K566" t="s">
        <v>1191</v>
      </c>
      <c r="L566" t="s">
        <v>245</v>
      </c>
      <c r="M566" t="s">
        <v>246</v>
      </c>
      <c r="N566" t="s">
        <v>247</v>
      </c>
      <c r="O566">
        <v>42126</v>
      </c>
      <c r="P566">
        <v>4.03</v>
      </c>
      <c r="Q566">
        <v>9.3800000000000008</v>
      </c>
      <c r="R566">
        <f t="shared" si="49"/>
        <v>5.3500000000000005</v>
      </c>
      <c r="S566">
        <v>31</v>
      </c>
      <c r="T566">
        <f t="shared" si="50"/>
        <v>290.78000000000003</v>
      </c>
      <c r="U566">
        <v>0.08</v>
      </c>
      <c r="V566">
        <f t="shared" si="51"/>
        <v>23.262400000000003</v>
      </c>
      <c r="W566">
        <f t="shared" si="52"/>
        <v>267.51760000000002</v>
      </c>
      <c r="X566">
        <v>7.28</v>
      </c>
      <c r="Y566">
        <f t="shared" si="53"/>
        <v>274.79759999999999</v>
      </c>
    </row>
    <row r="567" spans="1:25" x14ac:dyDescent="0.25">
      <c r="A567" t="s">
        <v>1506</v>
      </c>
      <c r="B567">
        <v>42126</v>
      </c>
      <c r="C567" t="str">
        <f t="shared" si="48"/>
        <v>2015</v>
      </c>
      <c r="D567" t="s">
        <v>1507</v>
      </c>
      <c r="E567" t="s">
        <v>1338</v>
      </c>
      <c r="F567" t="s">
        <v>257</v>
      </c>
      <c r="G567" t="s">
        <v>258</v>
      </c>
      <c r="H567" t="s">
        <v>241</v>
      </c>
      <c r="I567" t="s">
        <v>372</v>
      </c>
      <c r="J567" t="s">
        <v>261</v>
      </c>
      <c r="K567" t="s">
        <v>322</v>
      </c>
      <c r="L567" t="s">
        <v>245</v>
      </c>
      <c r="M567" t="s">
        <v>323</v>
      </c>
      <c r="N567" t="s">
        <v>247</v>
      </c>
      <c r="O567">
        <v>42127</v>
      </c>
      <c r="P567">
        <v>3.42</v>
      </c>
      <c r="Q567">
        <v>8.34</v>
      </c>
      <c r="R567">
        <f t="shared" si="49"/>
        <v>4.92</v>
      </c>
      <c r="S567">
        <v>21</v>
      </c>
      <c r="T567">
        <f t="shared" si="50"/>
        <v>175.14</v>
      </c>
      <c r="U567">
        <v>0.03</v>
      </c>
      <c r="V567">
        <f t="shared" si="51"/>
        <v>5.2541999999999991</v>
      </c>
      <c r="W567">
        <f t="shared" si="52"/>
        <v>169.88579999999999</v>
      </c>
      <c r="X567">
        <v>2.64</v>
      </c>
      <c r="Y567">
        <f t="shared" si="53"/>
        <v>172.52579999999998</v>
      </c>
    </row>
    <row r="568" spans="1:25" x14ac:dyDescent="0.25">
      <c r="A568" t="s">
        <v>1508</v>
      </c>
      <c r="B568">
        <v>42127</v>
      </c>
      <c r="C568" t="str">
        <f t="shared" si="48"/>
        <v>2015</v>
      </c>
      <c r="D568" t="s">
        <v>932</v>
      </c>
      <c r="E568" t="s">
        <v>637</v>
      </c>
      <c r="F568" t="s">
        <v>239</v>
      </c>
      <c r="G568" t="s">
        <v>240</v>
      </c>
      <c r="H568" t="s">
        <v>259</v>
      </c>
      <c r="I568" t="s">
        <v>251</v>
      </c>
      <c r="J568" t="s">
        <v>261</v>
      </c>
      <c r="K568" t="s">
        <v>384</v>
      </c>
      <c r="L568" t="s">
        <v>268</v>
      </c>
      <c r="M568" t="s">
        <v>246</v>
      </c>
      <c r="N568" t="s">
        <v>247</v>
      </c>
      <c r="O568">
        <v>42129</v>
      </c>
      <c r="P568">
        <v>10.07</v>
      </c>
      <c r="Q568">
        <v>15.98</v>
      </c>
      <c r="R568">
        <f t="shared" si="49"/>
        <v>5.91</v>
      </c>
      <c r="S568">
        <v>26</v>
      </c>
      <c r="T568">
        <f t="shared" si="50"/>
        <v>415.48</v>
      </c>
      <c r="U568">
        <v>0.03</v>
      </c>
      <c r="V568">
        <f t="shared" si="51"/>
        <v>12.464399999999999</v>
      </c>
      <c r="W568">
        <f t="shared" si="52"/>
        <v>403.01560000000001</v>
      </c>
      <c r="X568">
        <v>4</v>
      </c>
      <c r="Y568">
        <f t="shared" si="53"/>
        <v>407.01560000000001</v>
      </c>
    </row>
    <row r="569" spans="1:25" x14ac:dyDescent="0.25">
      <c r="A569" t="s">
        <v>1509</v>
      </c>
      <c r="B569">
        <v>42128</v>
      </c>
      <c r="C569" t="str">
        <f t="shared" si="48"/>
        <v>2015</v>
      </c>
      <c r="D569" t="s">
        <v>1510</v>
      </c>
      <c r="E569" t="s">
        <v>1239</v>
      </c>
      <c r="F569" t="s">
        <v>257</v>
      </c>
      <c r="G569" t="s">
        <v>258</v>
      </c>
      <c r="H569" t="s">
        <v>259</v>
      </c>
      <c r="I569" t="s">
        <v>309</v>
      </c>
      <c r="J569" t="s">
        <v>243</v>
      </c>
      <c r="K569" t="s">
        <v>1042</v>
      </c>
      <c r="L569" t="s">
        <v>245</v>
      </c>
      <c r="M569" t="s">
        <v>246</v>
      </c>
      <c r="N569" t="s">
        <v>247</v>
      </c>
      <c r="O569">
        <v>42129</v>
      </c>
      <c r="P569">
        <v>84.22</v>
      </c>
      <c r="Q569">
        <v>210.55</v>
      </c>
      <c r="R569">
        <f t="shared" si="49"/>
        <v>126.33000000000001</v>
      </c>
      <c r="S569">
        <v>18</v>
      </c>
      <c r="T569">
        <f t="shared" si="50"/>
        <v>3789.9</v>
      </c>
      <c r="U569">
        <v>0.05</v>
      </c>
      <c r="V569">
        <f t="shared" si="51"/>
        <v>189.495</v>
      </c>
      <c r="W569">
        <f t="shared" si="52"/>
        <v>3600.4050000000002</v>
      </c>
      <c r="X569">
        <v>9.99</v>
      </c>
      <c r="Y569">
        <f t="shared" si="53"/>
        <v>3610.395</v>
      </c>
    </row>
    <row r="570" spans="1:25" x14ac:dyDescent="0.25">
      <c r="A570" t="s">
        <v>1511</v>
      </c>
      <c r="B570">
        <v>42130</v>
      </c>
      <c r="C570" t="str">
        <f t="shared" si="48"/>
        <v>2015</v>
      </c>
      <c r="D570" t="s">
        <v>1512</v>
      </c>
      <c r="E570" t="s">
        <v>528</v>
      </c>
      <c r="F570" t="s">
        <v>239</v>
      </c>
      <c r="G570" t="s">
        <v>240</v>
      </c>
      <c r="H570" t="s">
        <v>241</v>
      </c>
      <c r="I570" t="s">
        <v>251</v>
      </c>
      <c r="J570" t="s">
        <v>279</v>
      </c>
      <c r="K570" t="s">
        <v>421</v>
      </c>
      <c r="L570" t="s">
        <v>245</v>
      </c>
      <c r="M570" t="s">
        <v>246</v>
      </c>
      <c r="N570" t="s">
        <v>247</v>
      </c>
      <c r="O570">
        <v>42132</v>
      </c>
      <c r="P570">
        <v>13.88</v>
      </c>
      <c r="Q570">
        <v>22.38</v>
      </c>
      <c r="R570">
        <f t="shared" si="49"/>
        <v>8.4999999999999982</v>
      </c>
      <c r="S570">
        <v>45</v>
      </c>
      <c r="T570">
        <f t="shared" si="50"/>
        <v>1007.0999999999999</v>
      </c>
      <c r="U570">
        <v>0.05</v>
      </c>
      <c r="V570">
        <f t="shared" si="51"/>
        <v>50.354999999999997</v>
      </c>
      <c r="W570">
        <f t="shared" si="52"/>
        <v>956.74499999999989</v>
      </c>
      <c r="X570">
        <v>15.1</v>
      </c>
      <c r="Y570">
        <f t="shared" si="53"/>
        <v>971.84499999999991</v>
      </c>
    </row>
    <row r="571" spans="1:25" x14ac:dyDescent="0.25">
      <c r="A571" t="s">
        <v>1513</v>
      </c>
      <c r="B571">
        <v>42134</v>
      </c>
      <c r="C571" t="str">
        <f t="shared" si="48"/>
        <v>2015</v>
      </c>
      <c r="D571" t="s">
        <v>828</v>
      </c>
      <c r="E571" t="s">
        <v>829</v>
      </c>
      <c r="F571" t="s">
        <v>448</v>
      </c>
      <c r="G571" t="s">
        <v>449</v>
      </c>
      <c r="H571" t="s">
        <v>259</v>
      </c>
      <c r="I571" t="s">
        <v>381</v>
      </c>
      <c r="J571" t="s">
        <v>294</v>
      </c>
      <c r="K571" t="s">
        <v>586</v>
      </c>
      <c r="L571" t="s">
        <v>268</v>
      </c>
      <c r="M571" t="s">
        <v>246</v>
      </c>
      <c r="N571" t="s">
        <v>247</v>
      </c>
      <c r="O571">
        <v>42135</v>
      </c>
      <c r="P571">
        <v>54.52</v>
      </c>
      <c r="Q571">
        <v>100.97</v>
      </c>
      <c r="R571">
        <f t="shared" si="49"/>
        <v>46.449999999999996</v>
      </c>
      <c r="S571">
        <v>15</v>
      </c>
      <c r="T571">
        <f t="shared" si="50"/>
        <v>1514.55</v>
      </c>
      <c r="U571">
        <v>0.1</v>
      </c>
      <c r="V571">
        <f t="shared" si="51"/>
        <v>151.45500000000001</v>
      </c>
      <c r="W571">
        <f t="shared" si="52"/>
        <v>1363.095</v>
      </c>
      <c r="X571">
        <v>7.18</v>
      </c>
      <c r="Y571">
        <f t="shared" si="53"/>
        <v>1370.2750000000001</v>
      </c>
    </row>
    <row r="572" spans="1:25" x14ac:dyDescent="0.25">
      <c r="A572" t="s">
        <v>1514</v>
      </c>
      <c r="B572">
        <v>42135</v>
      </c>
      <c r="C572" t="str">
        <f t="shared" si="48"/>
        <v>2015</v>
      </c>
      <c r="D572" t="s">
        <v>855</v>
      </c>
      <c r="E572" t="s">
        <v>921</v>
      </c>
      <c r="F572" t="s">
        <v>257</v>
      </c>
      <c r="G572" t="s">
        <v>258</v>
      </c>
      <c r="H572" t="s">
        <v>259</v>
      </c>
      <c r="I572" t="s">
        <v>333</v>
      </c>
      <c r="J572" t="s">
        <v>304</v>
      </c>
      <c r="K572" t="s">
        <v>963</v>
      </c>
      <c r="L572" t="s">
        <v>245</v>
      </c>
      <c r="M572" t="s">
        <v>323</v>
      </c>
      <c r="N572" t="s">
        <v>247</v>
      </c>
      <c r="O572">
        <v>42137</v>
      </c>
      <c r="P572">
        <v>4.1900000000000004</v>
      </c>
      <c r="Q572">
        <v>10.23</v>
      </c>
      <c r="R572">
        <f t="shared" si="49"/>
        <v>6.04</v>
      </c>
      <c r="S572">
        <v>46</v>
      </c>
      <c r="T572">
        <f t="shared" si="50"/>
        <v>470.58000000000004</v>
      </c>
      <c r="U572">
        <v>0.05</v>
      </c>
      <c r="V572">
        <f t="shared" si="51"/>
        <v>23.529000000000003</v>
      </c>
      <c r="W572">
        <f t="shared" si="52"/>
        <v>447.05100000000004</v>
      </c>
      <c r="X572">
        <v>4.68</v>
      </c>
      <c r="Y572">
        <f t="shared" si="53"/>
        <v>451.73100000000005</v>
      </c>
    </row>
    <row r="573" spans="1:25" x14ac:dyDescent="0.25">
      <c r="A573" t="s">
        <v>1515</v>
      </c>
      <c r="B573">
        <v>42135</v>
      </c>
      <c r="C573" t="str">
        <f t="shared" si="48"/>
        <v>2015</v>
      </c>
      <c r="D573" t="s">
        <v>855</v>
      </c>
      <c r="E573" t="s">
        <v>921</v>
      </c>
      <c r="F573" t="s">
        <v>257</v>
      </c>
      <c r="G573" t="s">
        <v>258</v>
      </c>
      <c r="H573" t="s">
        <v>259</v>
      </c>
      <c r="I573" t="s">
        <v>333</v>
      </c>
      <c r="J573" t="s">
        <v>304</v>
      </c>
      <c r="K573" t="s">
        <v>603</v>
      </c>
      <c r="L573" t="s">
        <v>245</v>
      </c>
      <c r="M573" t="s">
        <v>246</v>
      </c>
      <c r="N573" t="s">
        <v>247</v>
      </c>
      <c r="O573">
        <v>42137</v>
      </c>
      <c r="P573">
        <v>3.65</v>
      </c>
      <c r="Q573">
        <v>5.98</v>
      </c>
      <c r="R573">
        <f t="shared" si="49"/>
        <v>2.3300000000000005</v>
      </c>
      <c r="S573">
        <v>4</v>
      </c>
      <c r="T573">
        <f t="shared" si="50"/>
        <v>23.92</v>
      </c>
      <c r="U573">
        <v>7.0000000000000007E-2</v>
      </c>
      <c r="V573">
        <f t="shared" si="51"/>
        <v>1.6744000000000003</v>
      </c>
      <c r="W573">
        <f t="shared" si="52"/>
        <v>22.245600000000003</v>
      </c>
      <c r="X573">
        <v>1.49</v>
      </c>
      <c r="Y573">
        <f t="shared" si="53"/>
        <v>23.735600000000002</v>
      </c>
    </row>
    <row r="574" spans="1:25" x14ac:dyDescent="0.25">
      <c r="A574" t="s">
        <v>1516</v>
      </c>
      <c r="B574">
        <v>42136</v>
      </c>
      <c r="C574" t="str">
        <f t="shared" si="48"/>
        <v>2015</v>
      </c>
      <c r="D574" t="s">
        <v>315</v>
      </c>
      <c r="E574" t="s">
        <v>316</v>
      </c>
      <c r="F574" t="s">
        <v>239</v>
      </c>
      <c r="G574" t="s">
        <v>240</v>
      </c>
      <c r="H574" t="s">
        <v>259</v>
      </c>
      <c r="I574" t="s">
        <v>242</v>
      </c>
      <c r="J574" t="s">
        <v>243</v>
      </c>
      <c r="K574" t="s">
        <v>1105</v>
      </c>
      <c r="L574" t="s">
        <v>245</v>
      </c>
      <c r="M574" t="s">
        <v>253</v>
      </c>
      <c r="N574" t="s">
        <v>247</v>
      </c>
      <c r="O574">
        <v>42138</v>
      </c>
      <c r="P574">
        <v>1.88</v>
      </c>
      <c r="Q574">
        <v>3.14</v>
      </c>
      <c r="R574">
        <f t="shared" si="49"/>
        <v>1.2600000000000002</v>
      </c>
      <c r="S574">
        <v>50</v>
      </c>
      <c r="T574">
        <f t="shared" si="50"/>
        <v>157</v>
      </c>
      <c r="U574">
        <v>0</v>
      </c>
      <c r="V574">
        <f t="shared" si="51"/>
        <v>0</v>
      </c>
      <c r="W574">
        <f t="shared" si="52"/>
        <v>157</v>
      </c>
      <c r="X574">
        <v>1.1399999999999999</v>
      </c>
      <c r="Y574">
        <f t="shared" si="53"/>
        <v>158.13999999999999</v>
      </c>
    </row>
    <row r="575" spans="1:25" x14ac:dyDescent="0.25">
      <c r="A575" t="s">
        <v>1517</v>
      </c>
      <c r="B575">
        <v>42138</v>
      </c>
      <c r="C575" t="str">
        <f t="shared" si="48"/>
        <v>2015</v>
      </c>
      <c r="D575" t="s">
        <v>1518</v>
      </c>
      <c r="E575" t="s">
        <v>546</v>
      </c>
      <c r="F575" t="s">
        <v>257</v>
      </c>
      <c r="G575" t="s">
        <v>258</v>
      </c>
      <c r="H575" t="s">
        <v>259</v>
      </c>
      <c r="I575" t="s">
        <v>260</v>
      </c>
      <c r="J575" t="s">
        <v>304</v>
      </c>
      <c r="K575" t="s">
        <v>582</v>
      </c>
      <c r="L575" t="s">
        <v>245</v>
      </c>
      <c r="M575" t="s">
        <v>253</v>
      </c>
      <c r="N575" t="s">
        <v>263</v>
      </c>
      <c r="O575">
        <v>42138</v>
      </c>
      <c r="P575">
        <v>0.24</v>
      </c>
      <c r="Q575">
        <v>1.26</v>
      </c>
      <c r="R575">
        <f t="shared" si="49"/>
        <v>1.02</v>
      </c>
      <c r="S575">
        <v>35</v>
      </c>
      <c r="T575">
        <f t="shared" si="50"/>
        <v>44.1</v>
      </c>
      <c r="U575">
        <v>0.06</v>
      </c>
      <c r="V575">
        <f t="shared" si="51"/>
        <v>2.6459999999999999</v>
      </c>
      <c r="W575">
        <f t="shared" si="52"/>
        <v>41.454000000000001</v>
      </c>
      <c r="X575">
        <v>0.7</v>
      </c>
      <c r="Y575">
        <f t="shared" si="53"/>
        <v>42.154000000000003</v>
      </c>
    </row>
    <row r="576" spans="1:25" x14ac:dyDescent="0.25">
      <c r="A576" t="s">
        <v>1519</v>
      </c>
      <c r="B576">
        <v>42138</v>
      </c>
      <c r="C576" t="str">
        <f t="shared" si="48"/>
        <v>2015</v>
      </c>
      <c r="D576" t="s">
        <v>1520</v>
      </c>
      <c r="E576" t="s">
        <v>912</v>
      </c>
      <c r="F576" t="s">
        <v>257</v>
      </c>
      <c r="G576" t="s">
        <v>258</v>
      </c>
      <c r="H576" t="s">
        <v>241</v>
      </c>
      <c r="I576" t="s">
        <v>372</v>
      </c>
      <c r="J576" t="s">
        <v>243</v>
      </c>
      <c r="K576" t="s">
        <v>508</v>
      </c>
      <c r="L576" t="s">
        <v>245</v>
      </c>
      <c r="M576" t="s">
        <v>246</v>
      </c>
      <c r="N576" t="s">
        <v>247</v>
      </c>
      <c r="O576">
        <v>42140</v>
      </c>
      <c r="P576">
        <v>178.83</v>
      </c>
      <c r="Q576">
        <v>415.88</v>
      </c>
      <c r="R576">
        <f t="shared" si="49"/>
        <v>237.04999999999998</v>
      </c>
      <c r="S576">
        <v>11</v>
      </c>
      <c r="T576">
        <f t="shared" si="50"/>
        <v>4574.68</v>
      </c>
      <c r="U576">
        <v>0.06</v>
      </c>
      <c r="V576">
        <f t="shared" si="51"/>
        <v>274.48079999999999</v>
      </c>
      <c r="W576">
        <f t="shared" si="52"/>
        <v>4300.1992</v>
      </c>
      <c r="X576">
        <v>11.37</v>
      </c>
      <c r="Y576">
        <f t="shared" si="53"/>
        <v>4311.5691999999999</v>
      </c>
    </row>
    <row r="577" spans="1:25" x14ac:dyDescent="0.25">
      <c r="A577" t="s">
        <v>1521</v>
      </c>
      <c r="B577">
        <v>42139</v>
      </c>
      <c r="C577" t="str">
        <f t="shared" si="48"/>
        <v>2015</v>
      </c>
      <c r="D577" t="s">
        <v>1522</v>
      </c>
      <c r="E577" t="s">
        <v>1523</v>
      </c>
      <c r="F577" t="s">
        <v>257</v>
      </c>
      <c r="G577" t="s">
        <v>258</v>
      </c>
      <c r="H577" t="s">
        <v>241</v>
      </c>
      <c r="I577" t="s">
        <v>309</v>
      </c>
      <c r="J577" t="s">
        <v>243</v>
      </c>
      <c r="K577" t="s">
        <v>676</v>
      </c>
      <c r="L577" t="s">
        <v>245</v>
      </c>
      <c r="M577" t="s">
        <v>323</v>
      </c>
      <c r="N577" t="s">
        <v>247</v>
      </c>
      <c r="O577">
        <v>42141</v>
      </c>
      <c r="P577">
        <v>5.19</v>
      </c>
      <c r="Q577">
        <v>12.98</v>
      </c>
      <c r="R577">
        <f t="shared" si="49"/>
        <v>7.79</v>
      </c>
      <c r="S577">
        <v>23</v>
      </c>
      <c r="T577">
        <f t="shared" si="50"/>
        <v>298.54000000000002</v>
      </c>
      <c r="U577">
        <v>0.01</v>
      </c>
      <c r="V577">
        <f t="shared" si="51"/>
        <v>2.9854000000000003</v>
      </c>
      <c r="W577">
        <f t="shared" si="52"/>
        <v>295.55459999999999</v>
      </c>
      <c r="X577">
        <v>3.14</v>
      </c>
      <c r="Y577">
        <f t="shared" si="53"/>
        <v>298.69459999999998</v>
      </c>
    </row>
    <row r="578" spans="1:25" x14ac:dyDescent="0.25">
      <c r="A578" t="s">
        <v>1524</v>
      </c>
      <c r="B578">
        <v>42141</v>
      </c>
      <c r="C578" t="str">
        <f t="shared" si="48"/>
        <v>2015</v>
      </c>
      <c r="D578" t="s">
        <v>1117</v>
      </c>
      <c r="E578" t="s">
        <v>1118</v>
      </c>
      <c r="F578" t="s">
        <v>257</v>
      </c>
      <c r="G578" t="s">
        <v>258</v>
      </c>
      <c r="H578" t="s">
        <v>241</v>
      </c>
      <c r="I578" t="s">
        <v>284</v>
      </c>
      <c r="J578" t="s">
        <v>294</v>
      </c>
      <c r="K578" t="s">
        <v>475</v>
      </c>
      <c r="L578" t="s">
        <v>245</v>
      </c>
      <c r="M578" t="s">
        <v>246</v>
      </c>
      <c r="N578" t="s">
        <v>247</v>
      </c>
      <c r="O578">
        <v>42144</v>
      </c>
      <c r="P578">
        <v>12.39</v>
      </c>
      <c r="Q578">
        <v>19.98</v>
      </c>
      <c r="R578">
        <f t="shared" si="49"/>
        <v>7.59</v>
      </c>
      <c r="S578">
        <v>33</v>
      </c>
      <c r="T578">
        <f t="shared" si="50"/>
        <v>659.34</v>
      </c>
      <c r="U578">
        <v>0.09</v>
      </c>
      <c r="V578">
        <f t="shared" si="51"/>
        <v>59.340600000000002</v>
      </c>
      <c r="W578">
        <f t="shared" si="52"/>
        <v>599.99940000000004</v>
      </c>
      <c r="X578">
        <v>5.77</v>
      </c>
      <c r="Y578">
        <f t="shared" si="53"/>
        <v>605.76940000000002</v>
      </c>
    </row>
    <row r="579" spans="1:25" x14ac:dyDescent="0.25">
      <c r="A579" t="s">
        <v>1525</v>
      </c>
      <c r="B579">
        <v>42142</v>
      </c>
      <c r="C579" t="str">
        <f t="shared" si="48"/>
        <v>2015</v>
      </c>
      <c r="D579" t="s">
        <v>539</v>
      </c>
      <c r="E579" t="s">
        <v>540</v>
      </c>
      <c r="F579" t="s">
        <v>448</v>
      </c>
      <c r="G579" t="s">
        <v>449</v>
      </c>
      <c r="H579" t="s">
        <v>259</v>
      </c>
      <c r="I579" t="s">
        <v>299</v>
      </c>
      <c r="J579" t="s">
        <v>294</v>
      </c>
      <c r="K579" t="s">
        <v>295</v>
      </c>
      <c r="L579" t="s">
        <v>245</v>
      </c>
      <c r="M579" t="s">
        <v>246</v>
      </c>
      <c r="N579" t="s">
        <v>247</v>
      </c>
      <c r="O579">
        <v>42144</v>
      </c>
      <c r="P579">
        <v>54.29</v>
      </c>
      <c r="Q579">
        <v>90.48</v>
      </c>
      <c r="R579">
        <f t="shared" si="49"/>
        <v>36.190000000000005</v>
      </c>
      <c r="S579">
        <v>11</v>
      </c>
      <c r="T579">
        <f t="shared" si="50"/>
        <v>995.28000000000009</v>
      </c>
      <c r="U579">
        <v>0.04</v>
      </c>
      <c r="V579">
        <f t="shared" si="51"/>
        <v>39.811200000000007</v>
      </c>
      <c r="W579">
        <f t="shared" si="52"/>
        <v>955.4688000000001</v>
      </c>
      <c r="X579">
        <v>19.989999999999998</v>
      </c>
      <c r="Y579">
        <f t="shared" si="53"/>
        <v>975.45880000000011</v>
      </c>
    </row>
    <row r="580" spans="1:25" x14ac:dyDescent="0.25">
      <c r="A580" t="s">
        <v>1526</v>
      </c>
      <c r="B580">
        <v>42142</v>
      </c>
      <c r="C580" t="str">
        <f t="shared" si="48"/>
        <v>2015</v>
      </c>
      <c r="D580" t="s">
        <v>1452</v>
      </c>
      <c r="E580" t="s">
        <v>528</v>
      </c>
      <c r="F580" t="s">
        <v>239</v>
      </c>
      <c r="G580" t="s">
        <v>240</v>
      </c>
      <c r="H580" t="s">
        <v>293</v>
      </c>
      <c r="I580" t="s">
        <v>251</v>
      </c>
      <c r="J580" t="s">
        <v>294</v>
      </c>
      <c r="K580" t="s">
        <v>1249</v>
      </c>
      <c r="L580" t="s">
        <v>245</v>
      </c>
      <c r="M580" t="s">
        <v>246</v>
      </c>
      <c r="N580" t="s">
        <v>247</v>
      </c>
      <c r="O580">
        <v>42142</v>
      </c>
      <c r="P580">
        <v>1.19</v>
      </c>
      <c r="Q580">
        <v>1.98</v>
      </c>
      <c r="R580">
        <f t="shared" si="49"/>
        <v>0.79</v>
      </c>
      <c r="S580">
        <v>29</v>
      </c>
      <c r="T580">
        <f t="shared" si="50"/>
        <v>57.42</v>
      </c>
      <c r="U580">
        <v>0.09</v>
      </c>
      <c r="V580">
        <f t="shared" si="51"/>
        <v>5.1677999999999997</v>
      </c>
      <c r="W580">
        <f t="shared" si="52"/>
        <v>52.252200000000002</v>
      </c>
      <c r="X580">
        <v>4.7699999999999996</v>
      </c>
      <c r="Y580">
        <f t="shared" si="53"/>
        <v>57.022199999999998</v>
      </c>
    </row>
    <row r="581" spans="1:25" x14ac:dyDescent="0.25">
      <c r="A581" t="s">
        <v>1527</v>
      </c>
      <c r="B581">
        <v>42142</v>
      </c>
      <c r="C581" t="str">
        <f t="shared" si="48"/>
        <v>2015</v>
      </c>
      <c r="D581" t="s">
        <v>1528</v>
      </c>
      <c r="E581" t="s">
        <v>341</v>
      </c>
      <c r="F581" t="s">
        <v>257</v>
      </c>
      <c r="G581" t="s">
        <v>258</v>
      </c>
      <c r="H581" t="s">
        <v>259</v>
      </c>
      <c r="I581" t="s">
        <v>342</v>
      </c>
      <c r="J581" t="s">
        <v>279</v>
      </c>
      <c r="K581" t="s">
        <v>488</v>
      </c>
      <c r="L581" t="s">
        <v>268</v>
      </c>
      <c r="M581" t="s">
        <v>323</v>
      </c>
      <c r="N581" t="s">
        <v>247</v>
      </c>
      <c r="O581">
        <v>42149</v>
      </c>
      <c r="P581">
        <v>20.18</v>
      </c>
      <c r="Q581">
        <v>35.409999999999997</v>
      </c>
      <c r="R581">
        <f t="shared" si="49"/>
        <v>15.229999999999997</v>
      </c>
      <c r="S581">
        <v>1</v>
      </c>
      <c r="T581">
        <f t="shared" si="50"/>
        <v>35.409999999999997</v>
      </c>
      <c r="U581">
        <v>0.1</v>
      </c>
      <c r="V581">
        <f t="shared" si="51"/>
        <v>3.5409999999999999</v>
      </c>
      <c r="W581">
        <f t="shared" si="52"/>
        <v>31.868999999999996</v>
      </c>
      <c r="X581">
        <v>1.99</v>
      </c>
      <c r="Y581">
        <f t="shared" si="53"/>
        <v>33.858999999999995</v>
      </c>
    </row>
    <row r="582" spans="1:25" x14ac:dyDescent="0.25">
      <c r="A582" t="s">
        <v>1529</v>
      </c>
      <c r="B582">
        <v>42143</v>
      </c>
      <c r="C582" t="str">
        <f t="shared" ref="C582:C645" si="54">TEXT(B582,"yyyy")</f>
        <v>2015</v>
      </c>
      <c r="D582" t="s">
        <v>525</v>
      </c>
      <c r="E582" t="s">
        <v>432</v>
      </c>
      <c r="F582" t="s">
        <v>257</v>
      </c>
      <c r="G582" t="s">
        <v>258</v>
      </c>
      <c r="H582" t="s">
        <v>259</v>
      </c>
      <c r="I582" t="s">
        <v>333</v>
      </c>
      <c r="J582" t="s">
        <v>261</v>
      </c>
      <c r="K582" t="s">
        <v>625</v>
      </c>
      <c r="L582" t="s">
        <v>245</v>
      </c>
      <c r="M582" t="s">
        <v>246</v>
      </c>
      <c r="N582" t="s">
        <v>247</v>
      </c>
      <c r="O582">
        <v>42144</v>
      </c>
      <c r="P582">
        <v>1.84</v>
      </c>
      <c r="Q582">
        <v>2.88</v>
      </c>
      <c r="R582">
        <f t="shared" ref="R582:R645" si="55">Q582-P582</f>
        <v>1.0399999999999998</v>
      </c>
      <c r="S582">
        <v>16</v>
      </c>
      <c r="T582">
        <f t="shared" ref="T582:T645" si="56">Q582*S582</f>
        <v>46.08</v>
      </c>
      <c r="U582">
        <v>0.05</v>
      </c>
      <c r="V582">
        <f t="shared" ref="V582:V645" si="57">T582*U582</f>
        <v>2.3039999999999998</v>
      </c>
      <c r="W582">
        <f t="shared" ref="W582:W645" si="58">T582-V582</f>
        <v>43.775999999999996</v>
      </c>
      <c r="X582">
        <v>1.49</v>
      </c>
      <c r="Y582">
        <f t="shared" ref="Y582:Y645" si="59">W582+X582</f>
        <v>45.265999999999998</v>
      </c>
    </row>
    <row r="583" spans="1:25" x14ac:dyDescent="0.25">
      <c r="A583" t="s">
        <v>1530</v>
      </c>
      <c r="B583">
        <v>42144</v>
      </c>
      <c r="C583" t="str">
        <f t="shared" si="54"/>
        <v>2015</v>
      </c>
      <c r="D583" t="s">
        <v>1023</v>
      </c>
      <c r="E583" t="s">
        <v>356</v>
      </c>
      <c r="F583" t="s">
        <v>239</v>
      </c>
      <c r="G583" t="s">
        <v>240</v>
      </c>
      <c r="H583" t="s">
        <v>259</v>
      </c>
      <c r="I583" t="s">
        <v>251</v>
      </c>
      <c r="J583" t="s">
        <v>243</v>
      </c>
      <c r="K583" t="s">
        <v>625</v>
      </c>
      <c r="L583" t="s">
        <v>245</v>
      </c>
      <c r="M583" t="s">
        <v>246</v>
      </c>
      <c r="N583" t="s">
        <v>247</v>
      </c>
      <c r="O583">
        <v>42147</v>
      </c>
      <c r="P583">
        <v>1.84</v>
      </c>
      <c r="Q583">
        <v>2.88</v>
      </c>
      <c r="R583">
        <f t="shared" si="55"/>
        <v>1.0399999999999998</v>
      </c>
      <c r="S583">
        <v>26</v>
      </c>
      <c r="T583">
        <f t="shared" si="56"/>
        <v>74.88</v>
      </c>
      <c r="U583">
        <v>0.08</v>
      </c>
      <c r="V583">
        <f t="shared" si="57"/>
        <v>5.9904000000000002</v>
      </c>
      <c r="W583">
        <f t="shared" si="58"/>
        <v>68.889600000000002</v>
      </c>
      <c r="X583">
        <v>1.49</v>
      </c>
      <c r="Y583">
        <f t="shared" si="59"/>
        <v>70.379599999999996</v>
      </c>
    </row>
    <row r="584" spans="1:25" x14ac:dyDescent="0.25">
      <c r="A584" t="s">
        <v>1531</v>
      </c>
      <c r="B584">
        <v>42144</v>
      </c>
      <c r="C584" t="str">
        <f t="shared" si="54"/>
        <v>2015</v>
      </c>
      <c r="D584" t="s">
        <v>821</v>
      </c>
      <c r="E584" t="s">
        <v>250</v>
      </c>
      <c r="F584" t="s">
        <v>239</v>
      </c>
      <c r="G584" t="s">
        <v>240</v>
      </c>
      <c r="H584" t="s">
        <v>241</v>
      </c>
      <c r="I584" t="s">
        <v>251</v>
      </c>
      <c r="J584" t="s">
        <v>261</v>
      </c>
      <c r="K584" t="s">
        <v>488</v>
      </c>
      <c r="L584" t="s">
        <v>268</v>
      </c>
      <c r="M584" t="s">
        <v>323</v>
      </c>
      <c r="N584" t="s">
        <v>247</v>
      </c>
      <c r="O584">
        <v>42146</v>
      </c>
      <c r="P584">
        <v>20.18</v>
      </c>
      <c r="Q584">
        <v>35.409999999999997</v>
      </c>
      <c r="R584">
        <f t="shared" si="55"/>
        <v>15.229999999999997</v>
      </c>
      <c r="S584">
        <v>49</v>
      </c>
      <c r="T584">
        <f t="shared" si="56"/>
        <v>1735.09</v>
      </c>
      <c r="U584">
        <v>0.02</v>
      </c>
      <c r="V584">
        <f t="shared" si="57"/>
        <v>34.701799999999999</v>
      </c>
      <c r="W584">
        <f t="shared" si="58"/>
        <v>1700.3881999999999</v>
      </c>
      <c r="X584">
        <v>1.99</v>
      </c>
      <c r="Y584">
        <f t="shared" si="59"/>
        <v>1702.3781999999999</v>
      </c>
    </row>
    <row r="585" spans="1:25" x14ac:dyDescent="0.25">
      <c r="A585" t="s">
        <v>1532</v>
      </c>
      <c r="B585">
        <v>42144</v>
      </c>
      <c r="C585" t="str">
        <f t="shared" si="54"/>
        <v>2015</v>
      </c>
      <c r="D585" t="s">
        <v>1533</v>
      </c>
      <c r="E585" t="s">
        <v>352</v>
      </c>
      <c r="F585" t="s">
        <v>257</v>
      </c>
      <c r="G585" t="s">
        <v>258</v>
      </c>
      <c r="H585" t="s">
        <v>293</v>
      </c>
      <c r="I585" t="s">
        <v>275</v>
      </c>
      <c r="J585" t="s">
        <v>261</v>
      </c>
      <c r="K585" t="s">
        <v>343</v>
      </c>
      <c r="L585" t="s">
        <v>268</v>
      </c>
      <c r="M585" t="s">
        <v>246</v>
      </c>
      <c r="N585" t="s">
        <v>247</v>
      </c>
      <c r="O585">
        <v>42145</v>
      </c>
      <c r="P585">
        <v>81.59</v>
      </c>
      <c r="Q585">
        <v>159.99</v>
      </c>
      <c r="R585">
        <f t="shared" si="55"/>
        <v>78.400000000000006</v>
      </c>
      <c r="S585">
        <v>19</v>
      </c>
      <c r="T585">
        <f t="shared" si="56"/>
        <v>3039.8100000000004</v>
      </c>
      <c r="U585">
        <v>0.1</v>
      </c>
      <c r="V585">
        <f t="shared" si="57"/>
        <v>303.98100000000005</v>
      </c>
      <c r="W585">
        <f t="shared" si="58"/>
        <v>2735.8290000000002</v>
      </c>
      <c r="X585">
        <v>5.5</v>
      </c>
      <c r="Y585">
        <f t="shared" si="59"/>
        <v>2741.3290000000002</v>
      </c>
    </row>
    <row r="586" spans="1:25" x14ac:dyDescent="0.25">
      <c r="A586" t="s">
        <v>1534</v>
      </c>
      <c r="B586">
        <v>42146</v>
      </c>
      <c r="C586" t="str">
        <f t="shared" si="54"/>
        <v>2015</v>
      </c>
      <c r="D586" t="s">
        <v>828</v>
      </c>
      <c r="E586" t="s">
        <v>829</v>
      </c>
      <c r="F586" t="s">
        <v>448</v>
      </c>
      <c r="G586" t="s">
        <v>449</v>
      </c>
      <c r="H586" t="s">
        <v>259</v>
      </c>
      <c r="I586" t="s">
        <v>381</v>
      </c>
      <c r="J586" t="s">
        <v>261</v>
      </c>
      <c r="K586" t="s">
        <v>888</v>
      </c>
      <c r="L586" t="s">
        <v>245</v>
      </c>
      <c r="M586" t="s">
        <v>253</v>
      </c>
      <c r="N586" t="s">
        <v>247</v>
      </c>
      <c r="O586">
        <v>42148</v>
      </c>
      <c r="P586">
        <v>2.31</v>
      </c>
      <c r="Q586">
        <v>3.78</v>
      </c>
      <c r="R586">
        <f t="shared" si="55"/>
        <v>1.4699999999999998</v>
      </c>
      <c r="S586">
        <v>19</v>
      </c>
      <c r="T586">
        <f t="shared" si="56"/>
        <v>71.819999999999993</v>
      </c>
      <c r="U586">
        <v>0.03</v>
      </c>
      <c r="V586">
        <f t="shared" si="57"/>
        <v>2.1545999999999998</v>
      </c>
      <c r="W586">
        <f t="shared" si="58"/>
        <v>69.665399999999991</v>
      </c>
      <c r="X586">
        <v>0.71</v>
      </c>
      <c r="Y586">
        <f t="shared" si="59"/>
        <v>70.375399999999985</v>
      </c>
    </row>
    <row r="587" spans="1:25" x14ac:dyDescent="0.25">
      <c r="A587" t="s">
        <v>1535</v>
      </c>
      <c r="B587">
        <v>42148</v>
      </c>
      <c r="C587" t="str">
        <f t="shared" si="54"/>
        <v>2015</v>
      </c>
      <c r="D587" t="s">
        <v>1310</v>
      </c>
      <c r="E587" t="s">
        <v>332</v>
      </c>
      <c r="F587" t="s">
        <v>257</v>
      </c>
      <c r="G587" t="s">
        <v>258</v>
      </c>
      <c r="H587" t="s">
        <v>259</v>
      </c>
      <c r="I587" t="s">
        <v>333</v>
      </c>
      <c r="J587" t="s">
        <v>304</v>
      </c>
      <c r="K587" t="s">
        <v>276</v>
      </c>
      <c r="L587" t="s">
        <v>245</v>
      </c>
      <c r="M587" t="s">
        <v>253</v>
      </c>
      <c r="N587" t="s">
        <v>247</v>
      </c>
      <c r="O587">
        <v>42149</v>
      </c>
      <c r="P587">
        <v>0.9</v>
      </c>
      <c r="Q587">
        <v>2.1</v>
      </c>
      <c r="R587">
        <f t="shared" si="55"/>
        <v>1.2000000000000002</v>
      </c>
      <c r="S587">
        <v>17</v>
      </c>
      <c r="T587">
        <f t="shared" si="56"/>
        <v>35.700000000000003</v>
      </c>
      <c r="U587">
        <v>0.09</v>
      </c>
      <c r="V587">
        <f t="shared" si="57"/>
        <v>3.2130000000000001</v>
      </c>
      <c r="W587">
        <f t="shared" si="58"/>
        <v>32.487000000000002</v>
      </c>
      <c r="X587">
        <v>0.7</v>
      </c>
      <c r="Y587">
        <f t="shared" si="59"/>
        <v>33.187000000000005</v>
      </c>
    </row>
    <row r="588" spans="1:25" x14ac:dyDescent="0.25">
      <c r="A588" t="s">
        <v>1536</v>
      </c>
      <c r="B588">
        <v>42148</v>
      </c>
      <c r="C588" t="str">
        <f t="shared" si="54"/>
        <v>2015</v>
      </c>
      <c r="D588" t="s">
        <v>1135</v>
      </c>
      <c r="E588" t="s">
        <v>528</v>
      </c>
      <c r="F588" t="s">
        <v>239</v>
      </c>
      <c r="G588" t="s">
        <v>240</v>
      </c>
      <c r="H588" t="s">
        <v>274</v>
      </c>
      <c r="I588" t="s">
        <v>251</v>
      </c>
      <c r="J588" t="s">
        <v>279</v>
      </c>
      <c r="K588" t="s">
        <v>435</v>
      </c>
      <c r="L588" t="s">
        <v>245</v>
      </c>
      <c r="M588" t="s">
        <v>253</v>
      </c>
      <c r="N588" t="s">
        <v>247</v>
      </c>
      <c r="O588">
        <v>42152</v>
      </c>
      <c r="P588">
        <v>3.75</v>
      </c>
      <c r="Q588">
        <v>7.08</v>
      </c>
      <c r="R588">
        <f t="shared" si="55"/>
        <v>3.33</v>
      </c>
      <c r="S588">
        <v>49</v>
      </c>
      <c r="T588">
        <f t="shared" si="56"/>
        <v>346.92</v>
      </c>
      <c r="U588">
        <v>0</v>
      </c>
      <c r="V588">
        <f t="shared" si="57"/>
        <v>0</v>
      </c>
      <c r="W588">
        <f t="shared" si="58"/>
        <v>346.92</v>
      </c>
      <c r="X588">
        <v>2.35</v>
      </c>
      <c r="Y588">
        <f t="shared" si="59"/>
        <v>349.27000000000004</v>
      </c>
    </row>
    <row r="589" spans="1:25" x14ac:dyDescent="0.25">
      <c r="A589" t="s">
        <v>1537</v>
      </c>
      <c r="B589">
        <v>42150</v>
      </c>
      <c r="C589" t="str">
        <f t="shared" si="54"/>
        <v>2015</v>
      </c>
      <c r="D589" t="s">
        <v>1538</v>
      </c>
      <c r="E589" t="s">
        <v>1539</v>
      </c>
      <c r="F589" t="s">
        <v>239</v>
      </c>
      <c r="G589" t="s">
        <v>240</v>
      </c>
      <c r="H589" t="s">
        <v>259</v>
      </c>
      <c r="I589" t="s">
        <v>242</v>
      </c>
      <c r="J589" t="s">
        <v>261</v>
      </c>
      <c r="K589" t="s">
        <v>280</v>
      </c>
      <c r="L589" t="s">
        <v>245</v>
      </c>
      <c r="M589" t="s">
        <v>253</v>
      </c>
      <c r="N589" t="s">
        <v>247</v>
      </c>
      <c r="O589">
        <v>42152</v>
      </c>
      <c r="P589">
        <v>1.0900000000000001</v>
      </c>
      <c r="Q589">
        <v>2.6</v>
      </c>
      <c r="R589">
        <f t="shared" si="55"/>
        <v>1.51</v>
      </c>
      <c r="S589">
        <v>8</v>
      </c>
      <c r="T589">
        <f t="shared" si="56"/>
        <v>20.8</v>
      </c>
      <c r="U589">
        <v>0.04</v>
      </c>
      <c r="V589">
        <f t="shared" si="57"/>
        <v>0.83200000000000007</v>
      </c>
      <c r="W589">
        <f t="shared" si="58"/>
        <v>19.968</v>
      </c>
      <c r="X589">
        <v>2.4</v>
      </c>
      <c r="Y589">
        <f t="shared" si="59"/>
        <v>22.367999999999999</v>
      </c>
    </row>
    <row r="590" spans="1:25" x14ac:dyDescent="0.25">
      <c r="A590" t="s">
        <v>1540</v>
      </c>
      <c r="B590">
        <v>42151</v>
      </c>
      <c r="C590" t="str">
        <f t="shared" si="54"/>
        <v>2015</v>
      </c>
      <c r="D590" t="s">
        <v>379</v>
      </c>
      <c r="E590" t="s">
        <v>380</v>
      </c>
      <c r="F590" t="s">
        <v>257</v>
      </c>
      <c r="G590" t="s">
        <v>258</v>
      </c>
      <c r="H590" t="s">
        <v>293</v>
      </c>
      <c r="I590" t="s">
        <v>381</v>
      </c>
      <c r="J590" t="s">
        <v>294</v>
      </c>
      <c r="K590" t="s">
        <v>373</v>
      </c>
      <c r="L590" t="s">
        <v>268</v>
      </c>
      <c r="M590" t="s">
        <v>246</v>
      </c>
      <c r="N590" t="s">
        <v>247</v>
      </c>
      <c r="O590">
        <v>42153</v>
      </c>
      <c r="P590">
        <v>6.39</v>
      </c>
      <c r="Q590">
        <v>19.98</v>
      </c>
      <c r="R590">
        <f t="shared" si="55"/>
        <v>13.59</v>
      </c>
      <c r="S590">
        <v>7</v>
      </c>
      <c r="T590">
        <f t="shared" si="56"/>
        <v>139.86000000000001</v>
      </c>
      <c r="U590">
        <v>0.09</v>
      </c>
      <c r="V590">
        <f t="shared" si="57"/>
        <v>12.587400000000001</v>
      </c>
      <c r="W590">
        <f t="shared" si="58"/>
        <v>127.27260000000001</v>
      </c>
      <c r="X590">
        <v>4</v>
      </c>
      <c r="Y590">
        <f t="shared" si="59"/>
        <v>131.27260000000001</v>
      </c>
    </row>
    <row r="591" spans="1:25" x14ac:dyDescent="0.25">
      <c r="A591" t="s">
        <v>1541</v>
      </c>
      <c r="B591">
        <v>42152</v>
      </c>
      <c r="C591" t="str">
        <f t="shared" si="54"/>
        <v>2015</v>
      </c>
      <c r="D591" t="s">
        <v>398</v>
      </c>
      <c r="E591" t="s">
        <v>308</v>
      </c>
      <c r="F591" t="s">
        <v>257</v>
      </c>
      <c r="G591" t="s">
        <v>258</v>
      </c>
      <c r="H591" t="s">
        <v>259</v>
      </c>
      <c r="I591" t="s">
        <v>309</v>
      </c>
      <c r="J591" t="s">
        <v>294</v>
      </c>
      <c r="K591" t="s">
        <v>280</v>
      </c>
      <c r="L591" t="s">
        <v>245</v>
      </c>
      <c r="M591" t="s">
        <v>253</v>
      </c>
      <c r="N591" t="s">
        <v>263</v>
      </c>
      <c r="O591">
        <v>42153</v>
      </c>
      <c r="P591">
        <v>1.0900000000000001</v>
      </c>
      <c r="Q591">
        <v>2.6</v>
      </c>
      <c r="R591">
        <f t="shared" si="55"/>
        <v>1.51</v>
      </c>
      <c r="S591">
        <v>42</v>
      </c>
      <c r="T591">
        <f t="shared" si="56"/>
        <v>109.2</v>
      </c>
      <c r="U591">
        <v>0.05</v>
      </c>
      <c r="V591">
        <f t="shared" si="57"/>
        <v>5.4600000000000009</v>
      </c>
      <c r="W591">
        <f t="shared" si="58"/>
        <v>103.74000000000001</v>
      </c>
      <c r="X591">
        <v>2.4</v>
      </c>
      <c r="Y591">
        <f t="shared" si="59"/>
        <v>106.14000000000001</v>
      </c>
    </row>
    <row r="592" spans="1:25" x14ac:dyDescent="0.25">
      <c r="A592" t="s">
        <v>1542</v>
      </c>
      <c r="B592">
        <v>42153</v>
      </c>
      <c r="C592" t="str">
        <f t="shared" si="54"/>
        <v>2015</v>
      </c>
      <c r="D592" t="s">
        <v>1501</v>
      </c>
      <c r="E592" t="s">
        <v>359</v>
      </c>
      <c r="F592" t="s">
        <v>239</v>
      </c>
      <c r="G592" t="s">
        <v>240</v>
      </c>
      <c r="H592" t="s">
        <v>259</v>
      </c>
      <c r="I592" t="s">
        <v>251</v>
      </c>
      <c r="J592" t="s">
        <v>243</v>
      </c>
      <c r="K592" t="s">
        <v>1119</v>
      </c>
      <c r="L592" t="s">
        <v>245</v>
      </c>
      <c r="M592" t="s">
        <v>246</v>
      </c>
      <c r="N592" t="s">
        <v>247</v>
      </c>
      <c r="O592">
        <v>42155</v>
      </c>
      <c r="P592">
        <v>1.84</v>
      </c>
      <c r="Q592">
        <v>2.88</v>
      </c>
      <c r="R592">
        <f t="shared" si="55"/>
        <v>1.0399999999999998</v>
      </c>
      <c r="S592">
        <v>24</v>
      </c>
      <c r="T592">
        <f t="shared" si="56"/>
        <v>69.12</v>
      </c>
      <c r="U592">
        <v>7.0000000000000007E-2</v>
      </c>
      <c r="V592">
        <f t="shared" si="57"/>
        <v>4.8384000000000009</v>
      </c>
      <c r="W592">
        <f t="shared" si="58"/>
        <v>64.281599999999997</v>
      </c>
      <c r="X592">
        <v>0.99</v>
      </c>
      <c r="Y592">
        <f t="shared" si="59"/>
        <v>65.271599999999992</v>
      </c>
    </row>
    <row r="593" spans="1:25" x14ac:dyDescent="0.25">
      <c r="A593" t="s">
        <v>1543</v>
      </c>
      <c r="B593">
        <v>42155</v>
      </c>
      <c r="C593" t="str">
        <f t="shared" si="54"/>
        <v>2015</v>
      </c>
      <c r="D593" t="s">
        <v>1544</v>
      </c>
      <c r="E593" t="s">
        <v>376</v>
      </c>
      <c r="F593" t="s">
        <v>239</v>
      </c>
      <c r="G593" t="s">
        <v>240</v>
      </c>
      <c r="H593" t="s">
        <v>259</v>
      </c>
      <c r="I593" t="s">
        <v>242</v>
      </c>
      <c r="J593" t="s">
        <v>294</v>
      </c>
      <c r="K593" t="s">
        <v>413</v>
      </c>
      <c r="L593" t="s">
        <v>268</v>
      </c>
      <c r="M593" t="s">
        <v>414</v>
      </c>
      <c r="N593" t="s">
        <v>263</v>
      </c>
      <c r="O593">
        <v>42157</v>
      </c>
      <c r="P593">
        <v>8.82</v>
      </c>
      <c r="Q593">
        <v>20.99</v>
      </c>
      <c r="R593">
        <f t="shared" si="55"/>
        <v>12.169999999999998</v>
      </c>
      <c r="S593">
        <v>18</v>
      </c>
      <c r="T593">
        <f t="shared" si="56"/>
        <v>377.82</v>
      </c>
      <c r="U593">
        <v>0</v>
      </c>
      <c r="V593">
        <f t="shared" si="57"/>
        <v>0</v>
      </c>
      <c r="W593">
        <f t="shared" si="58"/>
        <v>377.82</v>
      </c>
      <c r="X593">
        <v>4.8099999999999996</v>
      </c>
      <c r="Y593">
        <f t="shared" si="59"/>
        <v>382.63</v>
      </c>
    </row>
    <row r="594" spans="1:25" x14ac:dyDescent="0.25">
      <c r="A594" t="s">
        <v>1545</v>
      </c>
      <c r="B594">
        <v>42155</v>
      </c>
      <c r="C594" t="str">
        <f t="shared" si="54"/>
        <v>2015</v>
      </c>
      <c r="D594" t="s">
        <v>1284</v>
      </c>
      <c r="E594" t="s">
        <v>1001</v>
      </c>
      <c r="F594" t="s">
        <v>239</v>
      </c>
      <c r="G594" t="s">
        <v>240</v>
      </c>
      <c r="H594" t="s">
        <v>274</v>
      </c>
      <c r="I594" t="s">
        <v>251</v>
      </c>
      <c r="J594" t="s">
        <v>304</v>
      </c>
      <c r="K594" t="s">
        <v>403</v>
      </c>
      <c r="L594" t="s">
        <v>268</v>
      </c>
      <c r="M594" t="s">
        <v>323</v>
      </c>
      <c r="N594" t="s">
        <v>247</v>
      </c>
      <c r="O594">
        <v>42156</v>
      </c>
      <c r="P594">
        <v>1.87</v>
      </c>
      <c r="Q594">
        <v>8.1199999999999992</v>
      </c>
      <c r="R594">
        <f t="shared" si="55"/>
        <v>6.2499999999999991</v>
      </c>
      <c r="S594">
        <v>3</v>
      </c>
      <c r="T594">
        <f t="shared" si="56"/>
        <v>24.36</v>
      </c>
      <c r="U594">
        <v>0.03</v>
      </c>
      <c r="V594">
        <f t="shared" si="57"/>
        <v>0.73080000000000001</v>
      </c>
      <c r="W594">
        <f t="shared" si="58"/>
        <v>23.629200000000001</v>
      </c>
      <c r="X594">
        <v>2.83</v>
      </c>
      <c r="Y594">
        <f t="shared" si="59"/>
        <v>26.459200000000003</v>
      </c>
    </row>
    <row r="595" spans="1:25" x14ac:dyDescent="0.25">
      <c r="A595" t="s">
        <v>1546</v>
      </c>
      <c r="B595">
        <v>42155</v>
      </c>
      <c r="C595" t="str">
        <f t="shared" si="54"/>
        <v>2015</v>
      </c>
      <c r="D595" t="s">
        <v>1547</v>
      </c>
      <c r="E595" t="s">
        <v>709</v>
      </c>
      <c r="F595" t="s">
        <v>257</v>
      </c>
      <c r="G595" t="s">
        <v>258</v>
      </c>
      <c r="H595" t="s">
        <v>241</v>
      </c>
      <c r="I595" t="s">
        <v>275</v>
      </c>
      <c r="J595" t="s">
        <v>279</v>
      </c>
      <c r="K595" t="s">
        <v>734</v>
      </c>
      <c r="L595" t="s">
        <v>245</v>
      </c>
      <c r="M595" t="s">
        <v>246</v>
      </c>
      <c r="N595" t="s">
        <v>247</v>
      </c>
      <c r="O595">
        <v>42160</v>
      </c>
      <c r="P595">
        <v>14.95</v>
      </c>
      <c r="Q595">
        <v>34.76</v>
      </c>
      <c r="R595">
        <f t="shared" si="55"/>
        <v>19.809999999999999</v>
      </c>
      <c r="S595">
        <v>43</v>
      </c>
      <c r="T595">
        <f t="shared" si="56"/>
        <v>1494.6799999999998</v>
      </c>
      <c r="U595">
        <v>0.08</v>
      </c>
      <c r="V595">
        <f t="shared" si="57"/>
        <v>119.57439999999998</v>
      </c>
      <c r="W595">
        <f t="shared" si="58"/>
        <v>1375.1055999999999</v>
      </c>
      <c r="X595">
        <v>8.2200000000000006</v>
      </c>
      <c r="Y595">
        <f t="shared" si="59"/>
        <v>1383.3255999999999</v>
      </c>
    </row>
    <row r="596" spans="1:25" x14ac:dyDescent="0.25">
      <c r="A596" t="s">
        <v>1548</v>
      </c>
      <c r="B596">
        <v>42156</v>
      </c>
      <c r="C596" t="str">
        <f t="shared" si="54"/>
        <v>2015</v>
      </c>
      <c r="D596" t="s">
        <v>1225</v>
      </c>
      <c r="E596" t="s">
        <v>420</v>
      </c>
      <c r="F596" t="s">
        <v>239</v>
      </c>
      <c r="G596" t="s">
        <v>240</v>
      </c>
      <c r="H596" t="s">
        <v>259</v>
      </c>
      <c r="I596" t="s">
        <v>251</v>
      </c>
      <c r="J596" t="s">
        <v>279</v>
      </c>
      <c r="K596" t="s">
        <v>963</v>
      </c>
      <c r="L596" t="s">
        <v>245</v>
      </c>
      <c r="M596" t="s">
        <v>323</v>
      </c>
      <c r="N596" t="s">
        <v>247</v>
      </c>
      <c r="O596">
        <v>42161</v>
      </c>
      <c r="P596">
        <v>4.1900000000000004</v>
      </c>
      <c r="Q596">
        <v>10.23</v>
      </c>
      <c r="R596">
        <f t="shared" si="55"/>
        <v>6.04</v>
      </c>
      <c r="S596">
        <v>35</v>
      </c>
      <c r="T596">
        <f t="shared" si="56"/>
        <v>358.05</v>
      </c>
      <c r="U596">
        <v>0.01</v>
      </c>
      <c r="V596">
        <f t="shared" si="57"/>
        <v>3.5805000000000002</v>
      </c>
      <c r="W596">
        <f t="shared" si="58"/>
        <v>354.46950000000004</v>
      </c>
      <c r="X596">
        <v>4.68</v>
      </c>
      <c r="Y596">
        <f t="shared" si="59"/>
        <v>359.14950000000005</v>
      </c>
    </row>
    <row r="597" spans="1:25" x14ac:dyDescent="0.25">
      <c r="A597" t="s">
        <v>1549</v>
      </c>
      <c r="B597">
        <v>42163</v>
      </c>
      <c r="C597" t="str">
        <f t="shared" si="54"/>
        <v>2015</v>
      </c>
      <c r="D597" t="s">
        <v>1550</v>
      </c>
      <c r="E597" t="s">
        <v>1551</v>
      </c>
      <c r="F597" t="s">
        <v>257</v>
      </c>
      <c r="G597" t="s">
        <v>258</v>
      </c>
      <c r="H597" t="s">
        <v>274</v>
      </c>
      <c r="I597" t="s">
        <v>309</v>
      </c>
      <c r="J597" t="s">
        <v>261</v>
      </c>
      <c r="K597" t="s">
        <v>761</v>
      </c>
      <c r="L597" t="s">
        <v>268</v>
      </c>
      <c r="M597" t="s">
        <v>246</v>
      </c>
      <c r="N597" t="s">
        <v>247</v>
      </c>
      <c r="O597">
        <v>42165</v>
      </c>
      <c r="P597">
        <v>62.4</v>
      </c>
      <c r="Q597">
        <v>155.99</v>
      </c>
      <c r="R597">
        <f t="shared" si="55"/>
        <v>93.59</v>
      </c>
      <c r="S597">
        <v>21</v>
      </c>
      <c r="T597">
        <f t="shared" si="56"/>
        <v>3275.79</v>
      </c>
      <c r="U597">
        <v>0.08</v>
      </c>
      <c r="V597">
        <f t="shared" si="57"/>
        <v>262.06319999999999</v>
      </c>
      <c r="W597">
        <f t="shared" si="58"/>
        <v>3013.7267999999999</v>
      </c>
      <c r="X597">
        <v>8.08</v>
      </c>
      <c r="Y597">
        <f t="shared" si="59"/>
        <v>3021.8067999999998</v>
      </c>
    </row>
    <row r="598" spans="1:25" x14ac:dyDescent="0.25">
      <c r="A598" t="s">
        <v>1552</v>
      </c>
      <c r="B598">
        <v>42163</v>
      </c>
      <c r="C598" t="str">
        <f t="shared" si="54"/>
        <v>2015</v>
      </c>
      <c r="D598" t="s">
        <v>379</v>
      </c>
      <c r="E598" t="s">
        <v>380</v>
      </c>
      <c r="F598" t="s">
        <v>257</v>
      </c>
      <c r="G598" t="s">
        <v>258</v>
      </c>
      <c r="H598" t="s">
        <v>241</v>
      </c>
      <c r="I598" t="s">
        <v>381</v>
      </c>
      <c r="J598" t="s">
        <v>294</v>
      </c>
      <c r="K598" t="s">
        <v>939</v>
      </c>
      <c r="L598" t="s">
        <v>268</v>
      </c>
      <c r="M598" t="s">
        <v>647</v>
      </c>
      <c r="N598" t="s">
        <v>247</v>
      </c>
      <c r="O598">
        <v>42164</v>
      </c>
      <c r="P598">
        <v>377.99</v>
      </c>
      <c r="Q598">
        <v>599.99</v>
      </c>
      <c r="R598">
        <f t="shared" si="55"/>
        <v>222</v>
      </c>
      <c r="S598">
        <v>41</v>
      </c>
      <c r="T598">
        <f t="shared" si="56"/>
        <v>24599.59</v>
      </c>
      <c r="U598">
        <v>0.09</v>
      </c>
      <c r="V598">
        <f t="shared" si="57"/>
        <v>2213.9630999999999</v>
      </c>
      <c r="W598">
        <f t="shared" si="58"/>
        <v>22385.626899999999</v>
      </c>
      <c r="X598">
        <v>24.49</v>
      </c>
      <c r="Y598">
        <f t="shared" si="59"/>
        <v>22410.116900000001</v>
      </c>
    </row>
    <row r="599" spans="1:25" x14ac:dyDescent="0.25">
      <c r="A599" t="s">
        <v>1553</v>
      </c>
      <c r="B599">
        <v>42165</v>
      </c>
      <c r="C599" t="str">
        <f t="shared" si="54"/>
        <v>2015</v>
      </c>
      <c r="D599" t="s">
        <v>1554</v>
      </c>
      <c r="E599" t="s">
        <v>1484</v>
      </c>
      <c r="F599" t="s">
        <v>257</v>
      </c>
      <c r="G599" t="s">
        <v>258</v>
      </c>
      <c r="H599" t="s">
        <v>259</v>
      </c>
      <c r="I599" t="s">
        <v>492</v>
      </c>
      <c r="J599" t="s">
        <v>261</v>
      </c>
      <c r="K599" t="s">
        <v>285</v>
      </c>
      <c r="L599" t="s">
        <v>245</v>
      </c>
      <c r="M599" t="s">
        <v>246</v>
      </c>
      <c r="N599" t="s">
        <v>247</v>
      </c>
      <c r="O599">
        <v>42167</v>
      </c>
      <c r="P599">
        <v>99.39</v>
      </c>
      <c r="Q599">
        <v>162.93</v>
      </c>
      <c r="R599">
        <f t="shared" si="55"/>
        <v>63.540000000000006</v>
      </c>
      <c r="S599">
        <v>36</v>
      </c>
      <c r="T599">
        <f t="shared" si="56"/>
        <v>5865.4800000000005</v>
      </c>
      <c r="U599">
        <v>0.09</v>
      </c>
      <c r="V599">
        <f t="shared" si="57"/>
        <v>527.89319999999998</v>
      </c>
      <c r="W599">
        <f t="shared" si="58"/>
        <v>5337.5868000000009</v>
      </c>
      <c r="X599">
        <v>19.989999999999998</v>
      </c>
      <c r="Y599">
        <f t="shared" si="59"/>
        <v>5357.5768000000007</v>
      </c>
    </row>
    <row r="600" spans="1:25" x14ac:dyDescent="0.25">
      <c r="A600" t="s">
        <v>1555</v>
      </c>
      <c r="B600">
        <v>42165</v>
      </c>
      <c r="C600" t="str">
        <f t="shared" si="54"/>
        <v>2015</v>
      </c>
      <c r="D600" t="s">
        <v>521</v>
      </c>
      <c r="E600" t="s">
        <v>522</v>
      </c>
      <c r="F600" t="s">
        <v>239</v>
      </c>
      <c r="G600" t="s">
        <v>240</v>
      </c>
      <c r="H600" t="s">
        <v>259</v>
      </c>
      <c r="I600" t="s">
        <v>251</v>
      </c>
      <c r="J600" t="s">
        <v>279</v>
      </c>
      <c r="K600" t="s">
        <v>349</v>
      </c>
      <c r="L600" t="s">
        <v>245</v>
      </c>
      <c r="M600" t="s">
        <v>246</v>
      </c>
      <c r="N600" t="s">
        <v>247</v>
      </c>
      <c r="O600">
        <v>42169</v>
      </c>
      <c r="P600">
        <v>3.52</v>
      </c>
      <c r="Q600">
        <v>5.68</v>
      </c>
      <c r="R600">
        <f t="shared" si="55"/>
        <v>2.1599999999999997</v>
      </c>
      <c r="S600">
        <v>8</v>
      </c>
      <c r="T600">
        <f t="shared" si="56"/>
        <v>45.44</v>
      </c>
      <c r="U600">
        <v>0.05</v>
      </c>
      <c r="V600">
        <f t="shared" si="57"/>
        <v>2.2719999999999998</v>
      </c>
      <c r="W600">
        <f t="shared" si="58"/>
        <v>43.167999999999999</v>
      </c>
      <c r="X600">
        <v>1.39</v>
      </c>
      <c r="Y600">
        <f t="shared" si="59"/>
        <v>44.558</v>
      </c>
    </row>
    <row r="601" spans="1:25" x14ac:dyDescent="0.25">
      <c r="A601" t="s">
        <v>1556</v>
      </c>
      <c r="B601">
        <v>42166</v>
      </c>
      <c r="C601" t="str">
        <f t="shared" si="54"/>
        <v>2015</v>
      </c>
      <c r="D601" t="s">
        <v>1557</v>
      </c>
      <c r="E601" t="s">
        <v>1523</v>
      </c>
      <c r="F601" t="s">
        <v>257</v>
      </c>
      <c r="G601" t="s">
        <v>258</v>
      </c>
      <c r="H601" t="s">
        <v>274</v>
      </c>
      <c r="I601" t="s">
        <v>309</v>
      </c>
      <c r="J601" t="s">
        <v>279</v>
      </c>
      <c r="K601" t="s">
        <v>822</v>
      </c>
      <c r="L601" t="s">
        <v>245</v>
      </c>
      <c r="M601" t="s">
        <v>323</v>
      </c>
      <c r="N601" t="s">
        <v>247</v>
      </c>
      <c r="O601">
        <v>42166</v>
      </c>
      <c r="P601">
        <v>3.51</v>
      </c>
      <c r="Q601">
        <v>8.57</v>
      </c>
      <c r="R601">
        <f t="shared" si="55"/>
        <v>5.0600000000000005</v>
      </c>
      <c r="S601">
        <v>22</v>
      </c>
      <c r="T601">
        <f t="shared" si="56"/>
        <v>188.54000000000002</v>
      </c>
      <c r="U601">
        <v>0.1</v>
      </c>
      <c r="V601">
        <f t="shared" si="57"/>
        <v>18.854000000000003</v>
      </c>
      <c r="W601">
        <f t="shared" si="58"/>
        <v>169.68600000000001</v>
      </c>
      <c r="X601">
        <v>6.14</v>
      </c>
      <c r="Y601">
        <f t="shared" si="59"/>
        <v>175.82599999999999</v>
      </c>
    </row>
    <row r="602" spans="1:25" x14ac:dyDescent="0.25">
      <c r="A602" t="s">
        <v>1558</v>
      </c>
      <c r="B602">
        <v>42166</v>
      </c>
      <c r="C602" t="str">
        <f t="shared" si="54"/>
        <v>2015</v>
      </c>
      <c r="D602" t="s">
        <v>1343</v>
      </c>
      <c r="E602" t="s">
        <v>288</v>
      </c>
      <c r="F602" t="s">
        <v>257</v>
      </c>
      <c r="G602" t="s">
        <v>258</v>
      </c>
      <c r="H602" t="s">
        <v>274</v>
      </c>
      <c r="I602" t="s">
        <v>284</v>
      </c>
      <c r="J602" t="s">
        <v>243</v>
      </c>
      <c r="K602" t="s">
        <v>849</v>
      </c>
      <c r="L602" t="s">
        <v>245</v>
      </c>
      <c r="M602" t="s">
        <v>253</v>
      </c>
      <c r="N602" t="s">
        <v>263</v>
      </c>
      <c r="O602">
        <v>42168</v>
      </c>
      <c r="P602">
        <v>0.93</v>
      </c>
      <c r="Q602">
        <v>1.6</v>
      </c>
      <c r="R602">
        <f t="shared" si="55"/>
        <v>0.67</v>
      </c>
      <c r="S602">
        <v>24</v>
      </c>
      <c r="T602">
        <f t="shared" si="56"/>
        <v>38.400000000000006</v>
      </c>
      <c r="U602">
        <v>0.04</v>
      </c>
      <c r="V602">
        <f t="shared" si="57"/>
        <v>1.5360000000000003</v>
      </c>
      <c r="W602">
        <f t="shared" si="58"/>
        <v>36.864000000000004</v>
      </c>
      <c r="X602">
        <v>1.29</v>
      </c>
      <c r="Y602">
        <f t="shared" si="59"/>
        <v>38.154000000000003</v>
      </c>
    </row>
    <row r="603" spans="1:25" x14ac:dyDescent="0.25">
      <c r="A603" t="s">
        <v>1559</v>
      </c>
      <c r="B603">
        <v>42168</v>
      </c>
      <c r="C603" t="str">
        <f t="shared" si="54"/>
        <v>2015</v>
      </c>
      <c r="D603" t="s">
        <v>596</v>
      </c>
      <c r="E603" t="s">
        <v>352</v>
      </c>
      <c r="F603" t="s">
        <v>257</v>
      </c>
      <c r="G603" t="s">
        <v>258</v>
      </c>
      <c r="H603" t="s">
        <v>259</v>
      </c>
      <c r="I603" t="s">
        <v>275</v>
      </c>
      <c r="J603" t="s">
        <v>294</v>
      </c>
      <c r="K603" t="s">
        <v>439</v>
      </c>
      <c r="L603" t="s">
        <v>440</v>
      </c>
      <c r="M603" t="s">
        <v>323</v>
      </c>
      <c r="N603" t="s">
        <v>247</v>
      </c>
      <c r="O603">
        <v>42171</v>
      </c>
      <c r="P603">
        <v>5.5</v>
      </c>
      <c r="Q603">
        <v>12.22</v>
      </c>
      <c r="R603">
        <f t="shared" si="55"/>
        <v>6.7200000000000006</v>
      </c>
      <c r="S603">
        <v>8</v>
      </c>
      <c r="T603">
        <f t="shared" si="56"/>
        <v>97.76</v>
      </c>
      <c r="U603">
        <v>0.1</v>
      </c>
      <c r="V603">
        <f t="shared" si="57"/>
        <v>9.7760000000000016</v>
      </c>
      <c r="W603">
        <f t="shared" si="58"/>
        <v>87.984000000000009</v>
      </c>
      <c r="X603">
        <v>2.85</v>
      </c>
      <c r="Y603">
        <f t="shared" si="59"/>
        <v>90.834000000000003</v>
      </c>
    </row>
    <row r="604" spans="1:25" x14ac:dyDescent="0.25">
      <c r="A604" t="s">
        <v>1560</v>
      </c>
      <c r="B604">
        <v>42169</v>
      </c>
      <c r="C604" t="str">
        <f t="shared" si="54"/>
        <v>2015</v>
      </c>
      <c r="D604" t="s">
        <v>1561</v>
      </c>
      <c r="E604" t="s">
        <v>507</v>
      </c>
      <c r="F604" t="s">
        <v>239</v>
      </c>
      <c r="G604" t="s">
        <v>240</v>
      </c>
      <c r="H604" t="s">
        <v>241</v>
      </c>
      <c r="I604" t="s">
        <v>251</v>
      </c>
      <c r="J604" t="s">
        <v>243</v>
      </c>
      <c r="K604" t="s">
        <v>578</v>
      </c>
      <c r="L604" t="s">
        <v>245</v>
      </c>
      <c r="M604" t="s">
        <v>253</v>
      </c>
      <c r="N604" t="s">
        <v>247</v>
      </c>
      <c r="O604">
        <v>42170</v>
      </c>
      <c r="P604">
        <v>1.31</v>
      </c>
      <c r="Q604">
        <v>2.84</v>
      </c>
      <c r="R604">
        <f t="shared" si="55"/>
        <v>1.5299999999999998</v>
      </c>
      <c r="S604">
        <v>23</v>
      </c>
      <c r="T604">
        <f t="shared" si="56"/>
        <v>65.319999999999993</v>
      </c>
      <c r="U604">
        <v>0.06</v>
      </c>
      <c r="V604">
        <f t="shared" si="57"/>
        <v>3.9191999999999996</v>
      </c>
      <c r="W604">
        <f t="shared" si="58"/>
        <v>61.400799999999997</v>
      </c>
      <c r="X604">
        <v>0.93</v>
      </c>
      <c r="Y604">
        <f t="shared" si="59"/>
        <v>62.330799999999996</v>
      </c>
    </row>
    <row r="605" spans="1:25" x14ac:dyDescent="0.25">
      <c r="A605" t="s">
        <v>1562</v>
      </c>
      <c r="B605">
        <v>42175</v>
      </c>
      <c r="C605" t="str">
        <f t="shared" si="54"/>
        <v>2015</v>
      </c>
      <c r="D605" t="s">
        <v>1563</v>
      </c>
      <c r="E605" t="s">
        <v>528</v>
      </c>
      <c r="F605" t="s">
        <v>239</v>
      </c>
      <c r="G605" t="s">
        <v>240</v>
      </c>
      <c r="H605" t="s">
        <v>293</v>
      </c>
      <c r="I605" t="s">
        <v>251</v>
      </c>
      <c r="J605" t="s">
        <v>294</v>
      </c>
      <c r="K605" t="s">
        <v>329</v>
      </c>
      <c r="L605" t="s">
        <v>245</v>
      </c>
      <c r="M605" t="s">
        <v>246</v>
      </c>
      <c r="N605" t="s">
        <v>247</v>
      </c>
      <c r="O605">
        <v>42177</v>
      </c>
      <c r="P605">
        <v>4.59</v>
      </c>
      <c r="Q605">
        <v>7.28</v>
      </c>
      <c r="R605">
        <f t="shared" si="55"/>
        <v>2.6900000000000004</v>
      </c>
      <c r="S605">
        <v>16</v>
      </c>
      <c r="T605">
        <f t="shared" si="56"/>
        <v>116.48</v>
      </c>
      <c r="U605">
        <v>7.0000000000000007E-2</v>
      </c>
      <c r="V605">
        <f t="shared" si="57"/>
        <v>8.1536000000000008</v>
      </c>
      <c r="W605">
        <f t="shared" si="58"/>
        <v>108.32640000000001</v>
      </c>
      <c r="X605">
        <v>11.15</v>
      </c>
      <c r="Y605">
        <f t="shared" si="59"/>
        <v>119.47640000000001</v>
      </c>
    </row>
    <row r="606" spans="1:25" x14ac:dyDescent="0.25">
      <c r="A606" t="s">
        <v>1564</v>
      </c>
      <c r="B606">
        <v>42176</v>
      </c>
      <c r="C606" t="str">
        <f t="shared" si="54"/>
        <v>2015</v>
      </c>
      <c r="D606" t="s">
        <v>1565</v>
      </c>
      <c r="E606" t="s">
        <v>409</v>
      </c>
      <c r="F606" t="s">
        <v>257</v>
      </c>
      <c r="G606" t="s">
        <v>258</v>
      </c>
      <c r="H606" t="s">
        <v>259</v>
      </c>
      <c r="I606" t="s">
        <v>342</v>
      </c>
      <c r="J606" t="s">
        <v>304</v>
      </c>
      <c r="K606" t="s">
        <v>472</v>
      </c>
      <c r="L606" t="s">
        <v>245</v>
      </c>
      <c r="M606" t="s">
        <v>246</v>
      </c>
      <c r="N606" t="s">
        <v>247</v>
      </c>
      <c r="O606">
        <v>42178</v>
      </c>
      <c r="P606">
        <v>2.25</v>
      </c>
      <c r="Q606">
        <v>3.69</v>
      </c>
      <c r="R606">
        <f t="shared" si="55"/>
        <v>1.44</v>
      </c>
      <c r="S606">
        <v>42</v>
      </c>
      <c r="T606">
        <f t="shared" si="56"/>
        <v>154.97999999999999</v>
      </c>
      <c r="U606">
        <v>0.06</v>
      </c>
      <c r="V606">
        <f t="shared" si="57"/>
        <v>9.2987999999999982</v>
      </c>
      <c r="W606">
        <f t="shared" si="58"/>
        <v>145.68119999999999</v>
      </c>
      <c r="X606">
        <v>2.5</v>
      </c>
      <c r="Y606">
        <f t="shared" si="59"/>
        <v>148.18119999999999</v>
      </c>
    </row>
    <row r="607" spans="1:25" x14ac:dyDescent="0.25">
      <c r="A607" t="s">
        <v>1566</v>
      </c>
      <c r="B607">
        <v>42180</v>
      </c>
      <c r="C607" t="str">
        <f t="shared" si="54"/>
        <v>2015</v>
      </c>
      <c r="D607" t="s">
        <v>874</v>
      </c>
      <c r="E607" t="s">
        <v>438</v>
      </c>
      <c r="F607" t="s">
        <v>257</v>
      </c>
      <c r="G607" t="s">
        <v>258</v>
      </c>
      <c r="H607" t="s">
        <v>241</v>
      </c>
      <c r="I607" t="s">
        <v>309</v>
      </c>
      <c r="J607" t="s">
        <v>304</v>
      </c>
      <c r="K607" t="s">
        <v>280</v>
      </c>
      <c r="L607" t="s">
        <v>245</v>
      </c>
      <c r="M607" t="s">
        <v>253</v>
      </c>
      <c r="N607" t="s">
        <v>247</v>
      </c>
      <c r="O607">
        <v>42180</v>
      </c>
      <c r="P607">
        <v>1.0900000000000001</v>
      </c>
      <c r="Q607">
        <v>2.6</v>
      </c>
      <c r="R607">
        <f t="shared" si="55"/>
        <v>1.51</v>
      </c>
      <c r="S607">
        <v>26</v>
      </c>
      <c r="T607">
        <f t="shared" si="56"/>
        <v>67.600000000000009</v>
      </c>
      <c r="U607">
        <v>0.08</v>
      </c>
      <c r="V607">
        <f t="shared" si="57"/>
        <v>5.4080000000000004</v>
      </c>
      <c r="W607">
        <f t="shared" si="58"/>
        <v>62.192000000000007</v>
      </c>
      <c r="X607">
        <v>2.4</v>
      </c>
      <c r="Y607">
        <f t="shared" si="59"/>
        <v>64.592000000000013</v>
      </c>
    </row>
    <row r="608" spans="1:25" x14ac:dyDescent="0.25">
      <c r="A608" t="s">
        <v>1567</v>
      </c>
      <c r="B608">
        <v>42180</v>
      </c>
      <c r="C608" t="str">
        <f t="shared" si="54"/>
        <v>2015</v>
      </c>
      <c r="D608" t="s">
        <v>874</v>
      </c>
      <c r="E608" t="s">
        <v>438</v>
      </c>
      <c r="F608" t="s">
        <v>257</v>
      </c>
      <c r="G608" t="s">
        <v>258</v>
      </c>
      <c r="H608" t="s">
        <v>241</v>
      </c>
      <c r="I608" t="s">
        <v>309</v>
      </c>
      <c r="J608" t="s">
        <v>304</v>
      </c>
      <c r="K608" t="s">
        <v>714</v>
      </c>
      <c r="L608" t="s">
        <v>268</v>
      </c>
      <c r="M608" t="s">
        <v>246</v>
      </c>
      <c r="N608" t="s">
        <v>247</v>
      </c>
      <c r="O608">
        <v>42182</v>
      </c>
      <c r="P608">
        <v>42.11</v>
      </c>
      <c r="Q608">
        <v>80.98</v>
      </c>
      <c r="R608">
        <f t="shared" si="55"/>
        <v>38.870000000000005</v>
      </c>
      <c r="S608">
        <v>34</v>
      </c>
      <c r="T608">
        <f t="shared" si="56"/>
        <v>2753.32</v>
      </c>
      <c r="U608">
        <v>0.02</v>
      </c>
      <c r="V608">
        <f t="shared" si="57"/>
        <v>55.066400000000002</v>
      </c>
      <c r="W608">
        <f t="shared" si="58"/>
        <v>2698.2536</v>
      </c>
      <c r="X608">
        <v>7.18</v>
      </c>
      <c r="Y608">
        <f t="shared" si="59"/>
        <v>2705.4335999999998</v>
      </c>
    </row>
    <row r="609" spans="1:25" x14ac:dyDescent="0.25">
      <c r="A609" t="s">
        <v>1568</v>
      </c>
      <c r="B609">
        <v>42180</v>
      </c>
      <c r="C609" t="str">
        <f t="shared" si="54"/>
        <v>2015</v>
      </c>
      <c r="D609" t="s">
        <v>1569</v>
      </c>
      <c r="E609" t="s">
        <v>564</v>
      </c>
      <c r="F609" t="s">
        <v>257</v>
      </c>
      <c r="G609" t="s">
        <v>258</v>
      </c>
      <c r="H609" t="s">
        <v>274</v>
      </c>
      <c r="I609" t="s">
        <v>333</v>
      </c>
      <c r="J609" t="s">
        <v>243</v>
      </c>
      <c r="K609" t="s">
        <v>453</v>
      </c>
      <c r="L609" t="s">
        <v>245</v>
      </c>
      <c r="M609" t="s">
        <v>246</v>
      </c>
      <c r="N609" t="s">
        <v>263</v>
      </c>
      <c r="O609">
        <v>42181</v>
      </c>
      <c r="P609">
        <v>1.18</v>
      </c>
      <c r="Q609">
        <v>1.88</v>
      </c>
      <c r="R609">
        <f t="shared" si="55"/>
        <v>0.7</v>
      </c>
      <c r="S609">
        <v>5</v>
      </c>
      <c r="T609">
        <f t="shared" si="56"/>
        <v>9.3999999999999986</v>
      </c>
      <c r="U609">
        <v>0.08</v>
      </c>
      <c r="V609">
        <f t="shared" si="57"/>
        <v>0.75199999999999989</v>
      </c>
      <c r="W609">
        <f t="shared" si="58"/>
        <v>8.6479999999999979</v>
      </c>
      <c r="X609">
        <v>1.49</v>
      </c>
      <c r="Y609">
        <f t="shared" si="59"/>
        <v>10.137999999999998</v>
      </c>
    </row>
    <row r="610" spans="1:25" x14ac:dyDescent="0.25">
      <c r="A610" t="s">
        <v>1570</v>
      </c>
      <c r="B610">
        <v>42182</v>
      </c>
      <c r="C610" t="str">
        <f t="shared" si="54"/>
        <v>2015</v>
      </c>
      <c r="D610" t="s">
        <v>1571</v>
      </c>
      <c r="E610" t="s">
        <v>528</v>
      </c>
      <c r="F610" t="s">
        <v>239</v>
      </c>
      <c r="G610" t="s">
        <v>240</v>
      </c>
      <c r="H610" t="s">
        <v>259</v>
      </c>
      <c r="I610" t="s">
        <v>251</v>
      </c>
      <c r="J610" t="s">
        <v>304</v>
      </c>
      <c r="K610" t="s">
        <v>603</v>
      </c>
      <c r="L610" t="s">
        <v>245</v>
      </c>
      <c r="M610" t="s">
        <v>246</v>
      </c>
      <c r="N610" t="s">
        <v>247</v>
      </c>
      <c r="O610">
        <v>42184</v>
      </c>
      <c r="P610">
        <v>3.65</v>
      </c>
      <c r="Q610">
        <v>5.98</v>
      </c>
      <c r="R610">
        <f t="shared" si="55"/>
        <v>2.3300000000000005</v>
      </c>
      <c r="S610">
        <v>50</v>
      </c>
      <c r="T610">
        <f t="shared" si="56"/>
        <v>299</v>
      </c>
      <c r="U610">
        <v>0.02</v>
      </c>
      <c r="V610">
        <f t="shared" si="57"/>
        <v>5.98</v>
      </c>
      <c r="W610">
        <f t="shared" si="58"/>
        <v>293.02</v>
      </c>
      <c r="X610">
        <v>1.49</v>
      </c>
      <c r="Y610">
        <f t="shared" si="59"/>
        <v>294.51</v>
      </c>
    </row>
    <row r="611" spans="1:25" x14ac:dyDescent="0.25">
      <c r="A611" t="s">
        <v>1572</v>
      </c>
      <c r="B611">
        <v>42182</v>
      </c>
      <c r="C611" t="str">
        <f t="shared" si="54"/>
        <v>2015</v>
      </c>
      <c r="D611" t="s">
        <v>1573</v>
      </c>
      <c r="E611" t="s">
        <v>320</v>
      </c>
      <c r="F611" t="s">
        <v>239</v>
      </c>
      <c r="G611" t="s">
        <v>240</v>
      </c>
      <c r="H611" t="s">
        <v>259</v>
      </c>
      <c r="I611" t="s">
        <v>251</v>
      </c>
      <c r="J611" t="s">
        <v>243</v>
      </c>
      <c r="K611" t="s">
        <v>630</v>
      </c>
      <c r="L611" t="s">
        <v>245</v>
      </c>
      <c r="M611" t="s">
        <v>253</v>
      </c>
      <c r="N611" t="s">
        <v>247</v>
      </c>
      <c r="O611">
        <v>42182</v>
      </c>
      <c r="P611">
        <v>1.53</v>
      </c>
      <c r="Q611">
        <v>2.78</v>
      </c>
      <c r="R611">
        <f t="shared" si="55"/>
        <v>1.2499999999999998</v>
      </c>
      <c r="S611">
        <v>44</v>
      </c>
      <c r="T611">
        <f t="shared" si="56"/>
        <v>122.32</v>
      </c>
      <c r="U611">
        <v>7.0000000000000007E-2</v>
      </c>
      <c r="V611">
        <f t="shared" si="57"/>
        <v>8.5624000000000002</v>
      </c>
      <c r="W611">
        <f t="shared" si="58"/>
        <v>113.7576</v>
      </c>
      <c r="X611">
        <v>1.34</v>
      </c>
      <c r="Y611">
        <f t="shared" si="59"/>
        <v>115.0976</v>
      </c>
    </row>
    <row r="612" spans="1:25" x14ac:dyDescent="0.25">
      <c r="A612" t="s">
        <v>1574</v>
      </c>
      <c r="B612">
        <v>42182</v>
      </c>
      <c r="C612" t="str">
        <f t="shared" si="54"/>
        <v>2015</v>
      </c>
      <c r="D612" t="s">
        <v>1547</v>
      </c>
      <c r="E612" t="s">
        <v>709</v>
      </c>
      <c r="F612" t="s">
        <v>257</v>
      </c>
      <c r="G612" t="s">
        <v>258</v>
      </c>
      <c r="H612" t="s">
        <v>259</v>
      </c>
      <c r="I612" t="s">
        <v>275</v>
      </c>
      <c r="J612" t="s">
        <v>294</v>
      </c>
      <c r="K612" t="s">
        <v>661</v>
      </c>
      <c r="L612" t="s">
        <v>245</v>
      </c>
      <c r="M612" t="s">
        <v>246</v>
      </c>
      <c r="N612" t="s">
        <v>247</v>
      </c>
      <c r="O612">
        <v>42184</v>
      </c>
      <c r="P612">
        <v>2.1800000000000002</v>
      </c>
      <c r="Q612">
        <v>3.52</v>
      </c>
      <c r="R612">
        <f t="shared" si="55"/>
        <v>1.3399999999999999</v>
      </c>
      <c r="S612">
        <v>1</v>
      </c>
      <c r="T612">
        <f t="shared" si="56"/>
        <v>3.52</v>
      </c>
      <c r="U612">
        <v>0.04</v>
      </c>
      <c r="V612">
        <f t="shared" si="57"/>
        <v>0.14080000000000001</v>
      </c>
      <c r="W612">
        <f t="shared" si="58"/>
        <v>3.3792</v>
      </c>
      <c r="X612">
        <v>6.83</v>
      </c>
      <c r="Y612">
        <f t="shared" si="59"/>
        <v>10.209199999999999</v>
      </c>
    </row>
    <row r="613" spans="1:25" x14ac:dyDescent="0.25">
      <c r="A613" t="s">
        <v>1575</v>
      </c>
      <c r="B613">
        <v>42183</v>
      </c>
      <c r="C613" t="str">
        <f t="shared" si="54"/>
        <v>2015</v>
      </c>
      <c r="D613" t="s">
        <v>869</v>
      </c>
      <c r="E613" t="s">
        <v>393</v>
      </c>
      <c r="F613" t="s">
        <v>257</v>
      </c>
      <c r="G613" t="s">
        <v>258</v>
      </c>
      <c r="H613" t="s">
        <v>293</v>
      </c>
      <c r="I613" t="s">
        <v>342</v>
      </c>
      <c r="J613" t="s">
        <v>304</v>
      </c>
      <c r="K613" t="s">
        <v>688</v>
      </c>
      <c r="L613" t="s">
        <v>245</v>
      </c>
      <c r="M613" t="s">
        <v>246</v>
      </c>
      <c r="N613" t="s">
        <v>263</v>
      </c>
      <c r="O613">
        <v>42185</v>
      </c>
      <c r="P613">
        <v>2.4500000000000002</v>
      </c>
      <c r="Q613">
        <v>3.89</v>
      </c>
      <c r="R613">
        <f t="shared" si="55"/>
        <v>1.44</v>
      </c>
      <c r="S613">
        <v>32</v>
      </c>
      <c r="T613">
        <f t="shared" si="56"/>
        <v>124.48</v>
      </c>
      <c r="U613">
        <v>0.1</v>
      </c>
      <c r="V613">
        <f t="shared" si="57"/>
        <v>12.448</v>
      </c>
      <c r="W613">
        <f t="shared" si="58"/>
        <v>112.03200000000001</v>
      </c>
      <c r="X613">
        <v>7.01</v>
      </c>
      <c r="Y613">
        <f t="shared" si="59"/>
        <v>119.04200000000002</v>
      </c>
    </row>
    <row r="614" spans="1:25" x14ac:dyDescent="0.25">
      <c r="A614" t="s">
        <v>1576</v>
      </c>
      <c r="B614">
        <v>42183</v>
      </c>
      <c r="C614" t="str">
        <f t="shared" si="54"/>
        <v>2015</v>
      </c>
      <c r="D614" t="s">
        <v>1577</v>
      </c>
      <c r="E614" t="s">
        <v>346</v>
      </c>
      <c r="F614" t="s">
        <v>257</v>
      </c>
      <c r="G614" t="s">
        <v>258</v>
      </c>
      <c r="H614" t="s">
        <v>259</v>
      </c>
      <c r="I614" t="s">
        <v>309</v>
      </c>
      <c r="J614" t="s">
        <v>294</v>
      </c>
      <c r="K614" t="s">
        <v>598</v>
      </c>
      <c r="L614" t="s">
        <v>268</v>
      </c>
      <c r="M614" t="s">
        <v>246</v>
      </c>
      <c r="N614" t="s">
        <v>247</v>
      </c>
      <c r="O614">
        <v>42184</v>
      </c>
      <c r="P614">
        <v>6.51</v>
      </c>
      <c r="Q614">
        <v>30.98</v>
      </c>
      <c r="R614">
        <f t="shared" si="55"/>
        <v>24.47</v>
      </c>
      <c r="S614">
        <v>6</v>
      </c>
      <c r="T614">
        <f t="shared" si="56"/>
        <v>185.88</v>
      </c>
      <c r="U614">
        <v>0.01</v>
      </c>
      <c r="V614">
        <f t="shared" si="57"/>
        <v>1.8588</v>
      </c>
      <c r="W614">
        <f t="shared" si="58"/>
        <v>184.02119999999999</v>
      </c>
      <c r="X614">
        <v>6.5</v>
      </c>
      <c r="Y614">
        <f t="shared" si="59"/>
        <v>190.52119999999999</v>
      </c>
    </row>
    <row r="615" spans="1:25" x14ac:dyDescent="0.25">
      <c r="A615" t="s">
        <v>1578</v>
      </c>
      <c r="B615">
        <v>42184</v>
      </c>
      <c r="C615" t="str">
        <f t="shared" si="54"/>
        <v>2015</v>
      </c>
      <c r="D615" t="s">
        <v>1579</v>
      </c>
      <c r="E615" t="s">
        <v>1479</v>
      </c>
      <c r="F615" t="s">
        <v>257</v>
      </c>
      <c r="G615" t="s">
        <v>258</v>
      </c>
      <c r="H615" t="s">
        <v>241</v>
      </c>
      <c r="I615" t="s">
        <v>309</v>
      </c>
      <c r="J615" t="s">
        <v>279</v>
      </c>
      <c r="K615" t="s">
        <v>1119</v>
      </c>
      <c r="L615" t="s">
        <v>245</v>
      </c>
      <c r="M615" t="s">
        <v>246</v>
      </c>
      <c r="N615" t="s">
        <v>247</v>
      </c>
      <c r="O615">
        <v>42188</v>
      </c>
      <c r="P615">
        <v>1.84</v>
      </c>
      <c r="Q615">
        <v>2.88</v>
      </c>
      <c r="R615">
        <f t="shared" si="55"/>
        <v>1.0399999999999998</v>
      </c>
      <c r="S615">
        <v>49</v>
      </c>
      <c r="T615">
        <f t="shared" si="56"/>
        <v>141.12</v>
      </c>
      <c r="U615">
        <v>0.01</v>
      </c>
      <c r="V615">
        <f t="shared" si="57"/>
        <v>1.4112</v>
      </c>
      <c r="W615">
        <f t="shared" si="58"/>
        <v>139.7088</v>
      </c>
      <c r="X615">
        <v>0.99</v>
      </c>
      <c r="Y615">
        <f t="shared" si="59"/>
        <v>140.69880000000001</v>
      </c>
    </row>
    <row r="616" spans="1:25" x14ac:dyDescent="0.25">
      <c r="A616" t="s">
        <v>1580</v>
      </c>
      <c r="B616">
        <v>42187</v>
      </c>
      <c r="C616" t="str">
        <f t="shared" si="54"/>
        <v>2015</v>
      </c>
      <c r="D616" t="s">
        <v>1581</v>
      </c>
      <c r="E616" t="s">
        <v>393</v>
      </c>
      <c r="F616" t="s">
        <v>257</v>
      </c>
      <c r="G616" t="s">
        <v>258</v>
      </c>
      <c r="H616" t="s">
        <v>241</v>
      </c>
      <c r="I616" t="s">
        <v>342</v>
      </c>
      <c r="J616" t="s">
        <v>261</v>
      </c>
      <c r="K616" t="s">
        <v>537</v>
      </c>
      <c r="L616" t="s">
        <v>245</v>
      </c>
      <c r="M616" t="s">
        <v>253</v>
      </c>
      <c r="N616" t="s">
        <v>247</v>
      </c>
      <c r="O616">
        <v>42189</v>
      </c>
      <c r="P616">
        <v>11.11</v>
      </c>
      <c r="Q616">
        <v>19.84</v>
      </c>
      <c r="R616">
        <f t="shared" si="55"/>
        <v>8.73</v>
      </c>
      <c r="S616">
        <v>1</v>
      </c>
      <c r="T616">
        <f t="shared" si="56"/>
        <v>19.84</v>
      </c>
      <c r="U616">
        <v>0.05</v>
      </c>
      <c r="V616">
        <f t="shared" si="57"/>
        <v>0.99199999999999999</v>
      </c>
      <c r="W616">
        <f t="shared" si="58"/>
        <v>18.847999999999999</v>
      </c>
      <c r="X616">
        <v>4.0999999999999996</v>
      </c>
      <c r="Y616">
        <f t="shared" si="59"/>
        <v>22.948</v>
      </c>
    </row>
    <row r="617" spans="1:25" x14ac:dyDescent="0.25">
      <c r="A617" t="s">
        <v>1582</v>
      </c>
      <c r="B617">
        <v>42189</v>
      </c>
      <c r="C617" t="str">
        <f t="shared" si="54"/>
        <v>2015</v>
      </c>
      <c r="D617" t="s">
        <v>1583</v>
      </c>
      <c r="E617" t="s">
        <v>1584</v>
      </c>
      <c r="F617" t="s">
        <v>257</v>
      </c>
      <c r="G617" t="s">
        <v>258</v>
      </c>
      <c r="H617" t="s">
        <v>259</v>
      </c>
      <c r="I617" t="s">
        <v>333</v>
      </c>
      <c r="J617" t="s">
        <v>294</v>
      </c>
      <c r="K617" t="s">
        <v>836</v>
      </c>
      <c r="L617" t="s">
        <v>440</v>
      </c>
      <c r="M617" t="s">
        <v>323</v>
      </c>
      <c r="N617" t="s">
        <v>247</v>
      </c>
      <c r="O617">
        <v>42189</v>
      </c>
      <c r="P617">
        <v>11.38</v>
      </c>
      <c r="Q617">
        <v>18.649999999999999</v>
      </c>
      <c r="R617">
        <f t="shared" si="55"/>
        <v>7.2699999999999978</v>
      </c>
      <c r="S617">
        <v>44</v>
      </c>
      <c r="T617">
        <f t="shared" si="56"/>
        <v>820.59999999999991</v>
      </c>
      <c r="U617">
        <v>0.03</v>
      </c>
      <c r="V617">
        <f t="shared" si="57"/>
        <v>24.617999999999995</v>
      </c>
      <c r="W617">
        <f t="shared" si="58"/>
        <v>795.98199999999997</v>
      </c>
      <c r="X617">
        <v>3.77</v>
      </c>
      <c r="Y617">
        <f t="shared" si="59"/>
        <v>799.75199999999995</v>
      </c>
    </row>
    <row r="618" spans="1:25" x14ac:dyDescent="0.25">
      <c r="A618" t="s">
        <v>1585</v>
      </c>
      <c r="B618">
        <v>42189</v>
      </c>
      <c r="C618" t="str">
        <f t="shared" si="54"/>
        <v>2015</v>
      </c>
      <c r="D618" t="s">
        <v>1538</v>
      </c>
      <c r="E618" t="s">
        <v>1539</v>
      </c>
      <c r="F618" t="s">
        <v>239</v>
      </c>
      <c r="G618" t="s">
        <v>240</v>
      </c>
      <c r="H618" t="s">
        <v>259</v>
      </c>
      <c r="I618" t="s">
        <v>242</v>
      </c>
      <c r="J618" t="s">
        <v>243</v>
      </c>
      <c r="K618" t="s">
        <v>570</v>
      </c>
      <c r="L618" t="s">
        <v>245</v>
      </c>
      <c r="M618" t="s">
        <v>246</v>
      </c>
      <c r="N618" t="s">
        <v>247</v>
      </c>
      <c r="O618">
        <v>42190</v>
      </c>
      <c r="P618">
        <v>2.74</v>
      </c>
      <c r="Q618">
        <v>4.49</v>
      </c>
      <c r="R618">
        <f t="shared" si="55"/>
        <v>1.75</v>
      </c>
      <c r="S618">
        <v>15</v>
      </c>
      <c r="T618">
        <f t="shared" si="56"/>
        <v>67.350000000000009</v>
      </c>
      <c r="U618">
        <v>0.05</v>
      </c>
      <c r="V618">
        <f t="shared" si="57"/>
        <v>3.3675000000000006</v>
      </c>
      <c r="W618">
        <f t="shared" si="58"/>
        <v>63.982500000000009</v>
      </c>
      <c r="X618">
        <v>1.49</v>
      </c>
      <c r="Y618">
        <f t="shared" si="59"/>
        <v>65.472500000000011</v>
      </c>
    </row>
    <row r="619" spans="1:25" x14ac:dyDescent="0.25">
      <c r="A619" t="s">
        <v>1586</v>
      </c>
      <c r="B619">
        <v>42190</v>
      </c>
      <c r="C619" t="str">
        <f t="shared" si="54"/>
        <v>2015</v>
      </c>
      <c r="D619" t="s">
        <v>848</v>
      </c>
      <c r="E619" t="s">
        <v>402</v>
      </c>
      <c r="F619" t="s">
        <v>257</v>
      </c>
      <c r="G619" t="s">
        <v>258</v>
      </c>
      <c r="H619" t="s">
        <v>241</v>
      </c>
      <c r="I619" t="s">
        <v>333</v>
      </c>
      <c r="J619" t="s">
        <v>261</v>
      </c>
      <c r="K619" t="s">
        <v>413</v>
      </c>
      <c r="L619" t="s">
        <v>268</v>
      </c>
      <c r="M619" t="s">
        <v>414</v>
      </c>
      <c r="N619" t="s">
        <v>247</v>
      </c>
      <c r="O619">
        <v>42192</v>
      </c>
      <c r="P619">
        <v>8.82</v>
      </c>
      <c r="Q619">
        <v>20.99</v>
      </c>
      <c r="R619">
        <f t="shared" si="55"/>
        <v>12.169999999999998</v>
      </c>
      <c r="S619">
        <v>49</v>
      </c>
      <c r="T619">
        <f t="shared" si="56"/>
        <v>1028.51</v>
      </c>
      <c r="U619">
        <v>0.06</v>
      </c>
      <c r="V619">
        <f t="shared" si="57"/>
        <v>61.710599999999999</v>
      </c>
      <c r="W619">
        <f t="shared" si="58"/>
        <v>966.79939999999999</v>
      </c>
      <c r="X619">
        <v>4.8099999999999996</v>
      </c>
      <c r="Y619">
        <f t="shared" si="59"/>
        <v>971.60939999999994</v>
      </c>
    </row>
    <row r="620" spans="1:25" x14ac:dyDescent="0.25">
      <c r="A620" t="s">
        <v>1587</v>
      </c>
      <c r="B620">
        <v>42194</v>
      </c>
      <c r="C620" t="str">
        <f t="shared" si="54"/>
        <v>2015</v>
      </c>
      <c r="D620" t="s">
        <v>1444</v>
      </c>
      <c r="E620" t="s">
        <v>328</v>
      </c>
      <c r="F620" t="s">
        <v>257</v>
      </c>
      <c r="G620" t="s">
        <v>258</v>
      </c>
      <c r="H620" t="s">
        <v>241</v>
      </c>
      <c r="I620" t="s">
        <v>299</v>
      </c>
      <c r="J620" t="s">
        <v>294</v>
      </c>
      <c r="K620" t="s">
        <v>668</v>
      </c>
      <c r="L620" t="s">
        <v>440</v>
      </c>
      <c r="M620" t="s">
        <v>647</v>
      </c>
      <c r="N620" t="s">
        <v>247</v>
      </c>
      <c r="O620">
        <v>42195</v>
      </c>
      <c r="P620">
        <v>56.16</v>
      </c>
      <c r="Q620">
        <v>136.97999999999999</v>
      </c>
      <c r="R620">
        <f t="shared" si="55"/>
        <v>80.819999999999993</v>
      </c>
      <c r="S620">
        <v>7</v>
      </c>
      <c r="T620">
        <f t="shared" si="56"/>
        <v>958.8599999999999</v>
      </c>
      <c r="U620">
        <v>0.02</v>
      </c>
      <c r="V620">
        <f t="shared" si="57"/>
        <v>19.177199999999999</v>
      </c>
      <c r="W620">
        <f t="shared" si="58"/>
        <v>939.68279999999993</v>
      </c>
      <c r="X620">
        <v>24.49</v>
      </c>
      <c r="Y620">
        <f t="shared" si="59"/>
        <v>964.17279999999994</v>
      </c>
    </row>
    <row r="621" spans="1:25" x14ac:dyDescent="0.25">
      <c r="A621" t="s">
        <v>1588</v>
      </c>
      <c r="B621">
        <v>42196</v>
      </c>
      <c r="C621" t="str">
        <f t="shared" si="54"/>
        <v>2015</v>
      </c>
      <c r="D621" t="s">
        <v>1337</v>
      </c>
      <c r="E621" t="s">
        <v>1338</v>
      </c>
      <c r="F621" t="s">
        <v>257</v>
      </c>
      <c r="G621" t="s">
        <v>258</v>
      </c>
      <c r="H621" t="s">
        <v>293</v>
      </c>
      <c r="I621" t="s">
        <v>372</v>
      </c>
      <c r="J621" t="s">
        <v>304</v>
      </c>
      <c r="K621" t="s">
        <v>1293</v>
      </c>
      <c r="L621" t="s">
        <v>245</v>
      </c>
      <c r="M621" t="s">
        <v>253</v>
      </c>
      <c r="N621" t="s">
        <v>247</v>
      </c>
      <c r="O621">
        <v>42198</v>
      </c>
      <c r="P621">
        <v>0.94</v>
      </c>
      <c r="Q621">
        <v>1.88</v>
      </c>
      <c r="R621">
        <f t="shared" si="55"/>
        <v>0.94</v>
      </c>
      <c r="S621">
        <v>22</v>
      </c>
      <c r="T621">
        <f t="shared" si="56"/>
        <v>41.36</v>
      </c>
      <c r="U621">
        <v>7.0000000000000007E-2</v>
      </c>
      <c r="V621">
        <f t="shared" si="57"/>
        <v>2.8952000000000004</v>
      </c>
      <c r="W621">
        <f t="shared" si="58"/>
        <v>38.464799999999997</v>
      </c>
      <c r="X621">
        <v>0.79</v>
      </c>
      <c r="Y621">
        <f t="shared" si="59"/>
        <v>39.254799999999996</v>
      </c>
    </row>
    <row r="622" spans="1:25" x14ac:dyDescent="0.25">
      <c r="A622" t="s">
        <v>1589</v>
      </c>
      <c r="B622">
        <v>42197</v>
      </c>
      <c r="C622" t="str">
        <f t="shared" si="54"/>
        <v>2015</v>
      </c>
      <c r="D622" t="s">
        <v>1590</v>
      </c>
      <c r="E622" t="s">
        <v>912</v>
      </c>
      <c r="F622" t="s">
        <v>257</v>
      </c>
      <c r="G622" t="s">
        <v>258</v>
      </c>
      <c r="H622" t="s">
        <v>241</v>
      </c>
      <c r="I622" t="s">
        <v>372</v>
      </c>
      <c r="J622" t="s">
        <v>279</v>
      </c>
      <c r="K622" t="s">
        <v>779</v>
      </c>
      <c r="L622" t="s">
        <v>245</v>
      </c>
      <c r="M622" t="s">
        <v>246</v>
      </c>
      <c r="N622" t="s">
        <v>247</v>
      </c>
      <c r="O622">
        <v>42199</v>
      </c>
      <c r="P622">
        <v>11.04</v>
      </c>
      <c r="Q622">
        <v>16.98</v>
      </c>
      <c r="R622">
        <f t="shared" si="55"/>
        <v>5.9400000000000013</v>
      </c>
      <c r="S622">
        <v>1</v>
      </c>
      <c r="T622">
        <f t="shared" si="56"/>
        <v>16.98</v>
      </c>
      <c r="U622">
        <v>0.03</v>
      </c>
      <c r="V622">
        <f t="shared" si="57"/>
        <v>0.50939999999999996</v>
      </c>
      <c r="W622">
        <f t="shared" si="58"/>
        <v>16.470600000000001</v>
      </c>
      <c r="X622">
        <v>12.39</v>
      </c>
      <c r="Y622">
        <f t="shared" si="59"/>
        <v>28.860600000000002</v>
      </c>
    </row>
    <row r="623" spans="1:25" x14ac:dyDescent="0.25">
      <c r="A623" t="s">
        <v>1591</v>
      </c>
      <c r="B623">
        <v>42199</v>
      </c>
      <c r="C623" t="str">
        <f t="shared" si="54"/>
        <v>2015</v>
      </c>
      <c r="D623" t="s">
        <v>481</v>
      </c>
      <c r="E623" t="s">
        <v>332</v>
      </c>
      <c r="F623" t="s">
        <v>257</v>
      </c>
      <c r="G623" t="s">
        <v>258</v>
      </c>
      <c r="H623" t="s">
        <v>293</v>
      </c>
      <c r="I623" t="s">
        <v>333</v>
      </c>
      <c r="J623" t="s">
        <v>279</v>
      </c>
      <c r="K623" t="s">
        <v>485</v>
      </c>
      <c r="L623" t="s">
        <v>245</v>
      </c>
      <c r="M623" t="s">
        <v>253</v>
      </c>
      <c r="N623" t="s">
        <v>263</v>
      </c>
      <c r="O623">
        <v>42204</v>
      </c>
      <c r="P623">
        <v>3.48</v>
      </c>
      <c r="Q623">
        <v>5.43</v>
      </c>
      <c r="R623">
        <f t="shared" si="55"/>
        <v>1.9499999999999997</v>
      </c>
      <c r="S623">
        <v>48</v>
      </c>
      <c r="T623">
        <f t="shared" si="56"/>
        <v>260.64</v>
      </c>
      <c r="U623">
        <v>0.05</v>
      </c>
      <c r="V623">
        <f t="shared" si="57"/>
        <v>13.032</v>
      </c>
      <c r="W623">
        <f t="shared" si="58"/>
        <v>247.60799999999998</v>
      </c>
      <c r="X623">
        <v>0.95</v>
      </c>
      <c r="Y623">
        <f t="shared" si="59"/>
        <v>248.55799999999996</v>
      </c>
    </row>
    <row r="624" spans="1:25" x14ac:dyDescent="0.25">
      <c r="A624" t="s">
        <v>1592</v>
      </c>
      <c r="B624">
        <v>42200</v>
      </c>
      <c r="C624" t="str">
        <f t="shared" si="54"/>
        <v>2015</v>
      </c>
      <c r="D624" t="s">
        <v>1593</v>
      </c>
      <c r="E624" t="s">
        <v>371</v>
      </c>
      <c r="F624" t="s">
        <v>257</v>
      </c>
      <c r="G624" t="s">
        <v>258</v>
      </c>
      <c r="H624" t="s">
        <v>274</v>
      </c>
      <c r="I624" t="s">
        <v>284</v>
      </c>
      <c r="J624" t="s">
        <v>279</v>
      </c>
      <c r="K624" t="s">
        <v>803</v>
      </c>
      <c r="L624" t="s">
        <v>245</v>
      </c>
      <c r="M624" t="s">
        <v>253</v>
      </c>
      <c r="N624" t="s">
        <v>247</v>
      </c>
      <c r="O624">
        <v>42204</v>
      </c>
      <c r="P624">
        <v>5.22</v>
      </c>
      <c r="Q624">
        <v>9.85</v>
      </c>
      <c r="R624">
        <f t="shared" si="55"/>
        <v>4.63</v>
      </c>
      <c r="S624">
        <v>21</v>
      </c>
      <c r="T624">
        <f t="shared" si="56"/>
        <v>206.85</v>
      </c>
      <c r="U624">
        <v>0.1</v>
      </c>
      <c r="V624">
        <f t="shared" si="57"/>
        <v>20.685000000000002</v>
      </c>
      <c r="W624">
        <f t="shared" si="58"/>
        <v>186.16499999999999</v>
      </c>
      <c r="X624">
        <v>4.82</v>
      </c>
      <c r="Y624">
        <f t="shared" si="59"/>
        <v>190.98499999999999</v>
      </c>
    </row>
    <row r="625" spans="1:25" x14ac:dyDescent="0.25">
      <c r="A625" t="s">
        <v>1594</v>
      </c>
      <c r="B625">
        <v>42201</v>
      </c>
      <c r="C625" t="str">
        <f t="shared" si="54"/>
        <v>2015</v>
      </c>
      <c r="D625" t="s">
        <v>1023</v>
      </c>
      <c r="E625" t="s">
        <v>356</v>
      </c>
      <c r="F625" t="s">
        <v>239</v>
      </c>
      <c r="G625" t="s">
        <v>240</v>
      </c>
      <c r="H625" t="s">
        <v>259</v>
      </c>
      <c r="I625" t="s">
        <v>251</v>
      </c>
      <c r="J625" t="s">
        <v>279</v>
      </c>
      <c r="K625" t="s">
        <v>1151</v>
      </c>
      <c r="L625" t="s">
        <v>245</v>
      </c>
      <c r="M625" t="s">
        <v>253</v>
      </c>
      <c r="N625" t="s">
        <v>247</v>
      </c>
      <c r="O625">
        <v>42205</v>
      </c>
      <c r="P625">
        <v>0.92</v>
      </c>
      <c r="Q625">
        <v>1.81</v>
      </c>
      <c r="R625">
        <f t="shared" si="55"/>
        <v>0.89</v>
      </c>
      <c r="S625">
        <v>48</v>
      </c>
      <c r="T625">
        <f t="shared" si="56"/>
        <v>86.88</v>
      </c>
      <c r="U625">
        <v>0.02</v>
      </c>
      <c r="V625">
        <f t="shared" si="57"/>
        <v>1.7376</v>
      </c>
      <c r="W625">
        <f t="shared" si="58"/>
        <v>85.142399999999995</v>
      </c>
      <c r="X625">
        <v>1.56</v>
      </c>
      <c r="Y625">
        <f t="shared" si="59"/>
        <v>86.702399999999997</v>
      </c>
    </row>
    <row r="626" spans="1:25" x14ac:dyDescent="0.25">
      <c r="A626" t="s">
        <v>1595</v>
      </c>
      <c r="B626">
        <v>42202</v>
      </c>
      <c r="C626" t="str">
        <f t="shared" si="54"/>
        <v>2015</v>
      </c>
      <c r="D626" t="s">
        <v>1596</v>
      </c>
      <c r="E626" t="s">
        <v>1459</v>
      </c>
      <c r="F626" t="s">
        <v>257</v>
      </c>
      <c r="G626" t="s">
        <v>258</v>
      </c>
      <c r="H626" t="s">
        <v>293</v>
      </c>
      <c r="I626" t="s">
        <v>309</v>
      </c>
      <c r="J626" t="s">
        <v>243</v>
      </c>
      <c r="K626" t="s">
        <v>262</v>
      </c>
      <c r="L626" t="s">
        <v>245</v>
      </c>
      <c r="M626" t="s">
        <v>253</v>
      </c>
      <c r="N626" t="s">
        <v>247</v>
      </c>
      <c r="O626">
        <v>42202</v>
      </c>
      <c r="P626">
        <v>2.41</v>
      </c>
      <c r="Q626">
        <v>3.71</v>
      </c>
      <c r="R626">
        <f t="shared" si="55"/>
        <v>1.2999999999999998</v>
      </c>
      <c r="S626">
        <v>13</v>
      </c>
      <c r="T626">
        <f t="shared" si="56"/>
        <v>48.23</v>
      </c>
      <c r="U626">
        <v>0.06</v>
      </c>
      <c r="V626">
        <f t="shared" si="57"/>
        <v>2.8937999999999997</v>
      </c>
      <c r="W626">
        <f t="shared" si="58"/>
        <v>45.336199999999998</v>
      </c>
      <c r="X626">
        <v>1.93</v>
      </c>
      <c r="Y626">
        <f t="shared" si="59"/>
        <v>47.266199999999998</v>
      </c>
    </row>
    <row r="627" spans="1:25" x14ac:dyDescent="0.25">
      <c r="A627" t="s">
        <v>1597</v>
      </c>
      <c r="B627">
        <v>42203</v>
      </c>
      <c r="C627" t="str">
        <f t="shared" si="54"/>
        <v>2015</v>
      </c>
      <c r="D627" t="s">
        <v>738</v>
      </c>
      <c r="E627" t="s">
        <v>739</v>
      </c>
      <c r="F627" t="s">
        <v>257</v>
      </c>
      <c r="G627" t="s">
        <v>258</v>
      </c>
      <c r="H627" t="s">
        <v>259</v>
      </c>
      <c r="I627" t="s">
        <v>299</v>
      </c>
      <c r="J627" t="s">
        <v>243</v>
      </c>
      <c r="K627" t="s">
        <v>718</v>
      </c>
      <c r="L627" t="s">
        <v>245</v>
      </c>
      <c r="M627" t="s">
        <v>323</v>
      </c>
      <c r="N627" t="s">
        <v>247</v>
      </c>
      <c r="O627">
        <v>42205</v>
      </c>
      <c r="P627">
        <v>2.5</v>
      </c>
      <c r="Q627">
        <v>5.68</v>
      </c>
      <c r="R627">
        <f t="shared" si="55"/>
        <v>3.1799999999999997</v>
      </c>
      <c r="S627">
        <v>21</v>
      </c>
      <c r="T627">
        <f t="shared" si="56"/>
        <v>119.28</v>
      </c>
      <c r="U627">
        <v>7.0000000000000007E-2</v>
      </c>
      <c r="V627">
        <f t="shared" si="57"/>
        <v>8.3496000000000006</v>
      </c>
      <c r="W627">
        <f t="shared" si="58"/>
        <v>110.93040000000001</v>
      </c>
      <c r="X627">
        <v>3.6</v>
      </c>
      <c r="Y627">
        <f t="shared" si="59"/>
        <v>114.5304</v>
      </c>
    </row>
    <row r="628" spans="1:25" x14ac:dyDescent="0.25">
      <c r="A628" t="s">
        <v>1598</v>
      </c>
      <c r="B628">
        <v>42203</v>
      </c>
      <c r="C628" t="str">
        <f t="shared" si="54"/>
        <v>2015</v>
      </c>
      <c r="D628" t="s">
        <v>265</v>
      </c>
      <c r="E628" t="s">
        <v>266</v>
      </c>
      <c r="F628" t="s">
        <v>239</v>
      </c>
      <c r="G628" t="s">
        <v>240</v>
      </c>
      <c r="H628" t="s">
        <v>259</v>
      </c>
      <c r="I628" t="s">
        <v>242</v>
      </c>
      <c r="J628" t="s">
        <v>243</v>
      </c>
      <c r="K628" t="s">
        <v>634</v>
      </c>
      <c r="L628" t="s">
        <v>245</v>
      </c>
      <c r="M628" t="s">
        <v>246</v>
      </c>
      <c r="N628" t="s">
        <v>247</v>
      </c>
      <c r="O628">
        <v>42205</v>
      </c>
      <c r="P628">
        <v>2.2599999999999998</v>
      </c>
      <c r="Q628">
        <v>3.58</v>
      </c>
      <c r="R628">
        <f t="shared" si="55"/>
        <v>1.3200000000000003</v>
      </c>
      <c r="S628">
        <v>43</v>
      </c>
      <c r="T628">
        <f t="shared" si="56"/>
        <v>153.94</v>
      </c>
      <c r="U628">
        <v>0.08</v>
      </c>
      <c r="V628">
        <f t="shared" si="57"/>
        <v>12.315200000000001</v>
      </c>
      <c r="W628">
        <f t="shared" si="58"/>
        <v>141.62479999999999</v>
      </c>
      <c r="X628">
        <v>5.47</v>
      </c>
      <c r="Y628">
        <f t="shared" si="59"/>
        <v>147.09479999999999</v>
      </c>
    </row>
    <row r="629" spans="1:25" x14ac:dyDescent="0.25">
      <c r="A629" t="s">
        <v>1599</v>
      </c>
      <c r="B629">
        <v>42204</v>
      </c>
      <c r="C629" t="str">
        <f t="shared" si="54"/>
        <v>2015</v>
      </c>
      <c r="D629" t="s">
        <v>358</v>
      </c>
      <c r="E629" t="s">
        <v>359</v>
      </c>
      <c r="F629" t="s">
        <v>239</v>
      </c>
      <c r="G629" t="s">
        <v>240</v>
      </c>
      <c r="H629" t="s">
        <v>293</v>
      </c>
      <c r="I629" t="s">
        <v>251</v>
      </c>
      <c r="J629" t="s">
        <v>304</v>
      </c>
      <c r="K629" t="s">
        <v>653</v>
      </c>
      <c r="L629" t="s">
        <v>245</v>
      </c>
      <c r="M629" t="s">
        <v>246</v>
      </c>
      <c r="N629" t="s">
        <v>247</v>
      </c>
      <c r="O629">
        <v>42205</v>
      </c>
      <c r="P629">
        <v>3.5</v>
      </c>
      <c r="Q629">
        <v>5.74</v>
      </c>
      <c r="R629">
        <f t="shared" si="55"/>
        <v>2.2400000000000002</v>
      </c>
      <c r="S629">
        <v>41</v>
      </c>
      <c r="T629">
        <f t="shared" si="56"/>
        <v>235.34</v>
      </c>
      <c r="U629">
        <v>0.08</v>
      </c>
      <c r="V629">
        <f t="shared" si="57"/>
        <v>18.827200000000001</v>
      </c>
      <c r="W629">
        <f t="shared" si="58"/>
        <v>216.5128</v>
      </c>
      <c r="X629">
        <v>5.01</v>
      </c>
      <c r="Y629">
        <f t="shared" si="59"/>
        <v>221.52279999999999</v>
      </c>
    </row>
    <row r="630" spans="1:25" x14ac:dyDescent="0.25">
      <c r="A630" t="s">
        <v>1600</v>
      </c>
      <c r="B630">
        <v>42205</v>
      </c>
      <c r="C630" t="str">
        <f t="shared" si="54"/>
        <v>2015</v>
      </c>
      <c r="D630" t="s">
        <v>683</v>
      </c>
      <c r="E630" t="s">
        <v>341</v>
      </c>
      <c r="F630" t="s">
        <v>257</v>
      </c>
      <c r="G630" t="s">
        <v>258</v>
      </c>
      <c r="H630" t="s">
        <v>274</v>
      </c>
      <c r="I630" t="s">
        <v>342</v>
      </c>
      <c r="J630" t="s">
        <v>261</v>
      </c>
      <c r="K630" t="s">
        <v>879</v>
      </c>
      <c r="L630" t="s">
        <v>245</v>
      </c>
      <c r="M630" t="s">
        <v>323</v>
      </c>
      <c r="N630" t="s">
        <v>247</v>
      </c>
      <c r="O630">
        <v>42208</v>
      </c>
      <c r="P630">
        <v>4.0999999999999996</v>
      </c>
      <c r="Q630">
        <v>9.31</v>
      </c>
      <c r="R630">
        <f t="shared" si="55"/>
        <v>5.2100000000000009</v>
      </c>
      <c r="S630">
        <v>26</v>
      </c>
      <c r="T630">
        <f t="shared" si="56"/>
        <v>242.06</v>
      </c>
      <c r="U630">
        <v>0.06</v>
      </c>
      <c r="V630">
        <f t="shared" si="57"/>
        <v>14.5236</v>
      </c>
      <c r="W630">
        <f t="shared" si="58"/>
        <v>227.53640000000001</v>
      </c>
      <c r="X630">
        <v>3.98</v>
      </c>
      <c r="Y630">
        <f t="shared" si="59"/>
        <v>231.5164</v>
      </c>
    </row>
    <row r="631" spans="1:25" x14ac:dyDescent="0.25">
      <c r="A631" t="s">
        <v>1601</v>
      </c>
      <c r="B631">
        <v>42208</v>
      </c>
      <c r="C631" t="str">
        <f t="shared" si="54"/>
        <v>2015</v>
      </c>
      <c r="D631" t="s">
        <v>1602</v>
      </c>
      <c r="E631" t="s">
        <v>944</v>
      </c>
      <c r="F631" t="s">
        <v>257</v>
      </c>
      <c r="G631" t="s">
        <v>258</v>
      </c>
      <c r="H631" t="s">
        <v>241</v>
      </c>
      <c r="I631" t="s">
        <v>333</v>
      </c>
      <c r="J631" t="s">
        <v>279</v>
      </c>
      <c r="K631" t="s">
        <v>377</v>
      </c>
      <c r="L631" t="s">
        <v>268</v>
      </c>
      <c r="M631" t="s">
        <v>246</v>
      </c>
      <c r="N631" t="s">
        <v>247</v>
      </c>
      <c r="O631">
        <v>42215</v>
      </c>
      <c r="P631">
        <v>32.020000000000003</v>
      </c>
      <c r="Q631">
        <v>152.47999999999999</v>
      </c>
      <c r="R631">
        <f t="shared" si="55"/>
        <v>120.45999999999998</v>
      </c>
      <c r="S631">
        <v>14</v>
      </c>
      <c r="T631">
        <f t="shared" si="56"/>
        <v>2134.7199999999998</v>
      </c>
      <c r="U631">
        <v>0.03</v>
      </c>
      <c r="V631">
        <f t="shared" si="57"/>
        <v>64.041599999999988</v>
      </c>
      <c r="W631">
        <f t="shared" si="58"/>
        <v>2070.6783999999998</v>
      </c>
      <c r="X631">
        <v>4</v>
      </c>
      <c r="Y631">
        <f t="shared" si="59"/>
        <v>2074.6783999999998</v>
      </c>
    </row>
    <row r="632" spans="1:25" x14ac:dyDescent="0.25">
      <c r="A632" t="s">
        <v>1603</v>
      </c>
      <c r="B632">
        <v>42208</v>
      </c>
      <c r="C632" t="str">
        <f t="shared" si="54"/>
        <v>2015</v>
      </c>
      <c r="D632" t="s">
        <v>1604</v>
      </c>
      <c r="E632" t="s">
        <v>332</v>
      </c>
      <c r="F632" t="s">
        <v>257</v>
      </c>
      <c r="G632" t="s">
        <v>258</v>
      </c>
      <c r="H632" t="s">
        <v>259</v>
      </c>
      <c r="I632" t="s">
        <v>333</v>
      </c>
      <c r="J632" t="s">
        <v>294</v>
      </c>
      <c r="K632" t="s">
        <v>698</v>
      </c>
      <c r="L632" t="s">
        <v>245</v>
      </c>
      <c r="M632" t="s">
        <v>253</v>
      </c>
      <c r="N632" t="s">
        <v>263</v>
      </c>
      <c r="O632">
        <v>42209</v>
      </c>
      <c r="P632">
        <v>3.32</v>
      </c>
      <c r="Q632">
        <v>5.18</v>
      </c>
      <c r="R632">
        <f t="shared" si="55"/>
        <v>1.8599999999999999</v>
      </c>
      <c r="S632">
        <v>1</v>
      </c>
      <c r="T632">
        <f t="shared" si="56"/>
        <v>5.18</v>
      </c>
      <c r="U632">
        <v>0</v>
      </c>
      <c r="V632">
        <f t="shared" si="57"/>
        <v>0</v>
      </c>
      <c r="W632">
        <f t="shared" si="58"/>
        <v>5.18</v>
      </c>
      <c r="X632">
        <v>2.04</v>
      </c>
      <c r="Y632">
        <f t="shared" si="59"/>
        <v>7.22</v>
      </c>
    </row>
    <row r="633" spans="1:25" x14ac:dyDescent="0.25">
      <c r="A633" t="s">
        <v>1605</v>
      </c>
      <c r="B633">
        <v>42208</v>
      </c>
      <c r="C633" t="str">
        <f t="shared" si="54"/>
        <v>2015</v>
      </c>
      <c r="D633" t="s">
        <v>518</v>
      </c>
      <c r="E633" t="s">
        <v>359</v>
      </c>
      <c r="F633" t="s">
        <v>239</v>
      </c>
      <c r="G633" t="s">
        <v>240</v>
      </c>
      <c r="H633" t="s">
        <v>274</v>
      </c>
      <c r="I633" t="s">
        <v>251</v>
      </c>
      <c r="J633" t="s">
        <v>261</v>
      </c>
      <c r="K633" t="s">
        <v>453</v>
      </c>
      <c r="L633" t="s">
        <v>245</v>
      </c>
      <c r="M633" t="s">
        <v>246</v>
      </c>
      <c r="N633" t="s">
        <v>247</v>
      </c>
      <c r="O633">
        <v>42209</v>
      </c>
      <c r="P633">
        <v>1.18</v>
      </c>
      <c r="Q633">
        <v>1.88</v>
      </c>
      <c r="R633">
        <f t="shared" si="55"/>
        <v>0.7</v>
      </c>
      <c r="S633">
        <v>8</v>
      </c>
      <c r="T633">
        <f t="shared" si="56"/>
        <v>15.04</v>
      </c>
      <c r="U633">
        <v>0.05</v>
      </c>
      <c r="V633">
        <f t="shared" si="57"/>
        <v>0.752</v>
      </c>
      <c r="W633">
        <f t="shared" si="58"/>
        <v>14.287999999999998</v>
      </c>
      <c r="X633">
        <v>1.49</v>
      </c>
      <c r="Y633">
        <f t="shared" si="59"/>
        <v>15.777999999999999</v>
      </c>
    </row>
    <row r="634" spans="1:25" x14ac:dyDescent="0.25">
      <c r="A634" t="s">
        <v>1606</v>
      </c>
      <c r="B634">
        <v>42209</v>
      </c>
      <c r="C634" t="str">
        <f t="shared" si="54"/>
        <v>2015</v>
      </c>
      <c r="D634" t="s">
        <v>1607</v>
      </c>
      <c r="E634" t="s">
        <v>303</v>
      </c>
      <c r="F634" t="s">
        <v>239</v>
      </c>
      <c r="G634" t="s">
        <v>240</v>
      </c>
      <c r="H634" t="s">
        <v>241</v>
      </c>
      <c r="I634" t="s">
        <v>251</v>
      </c>
      <c r="J634" t="s">
        <v>243</v>
      </c>
      <c r="K634" t="s">
        <v>1249</v>
      </c>
      <c r="L634" t="s">
        <v>245</v>
      </c>
      <c r="M634" t="s">
        <v>246</v>
      </c>
      <c r="N634" t="s">
        <v>247</v>
      </c>
      <c r="O634">
        <v>42211</v>
      </c>
      <c r="P634">
        <v>1.19</v>
      </c>
      <c r="Q634">
        <v>1.98</v>
      </c>
      <c r="R634">
        <f t="shared" si="55"/>
        <v>0.79</v>
      </c>
      <c r="S634">
        <v>21</v>
      </c>
      <c r="T634">
        <f t="shared" si="56"/>
        <v>41.58</v>
      </c>
      <c r="U634">
        <v>0.01</v>
      </c>
      <c r="V634">
        <f t="shared" si="57"/>
        <v>0.4158</v>
      </c>
      <c r="W634">
        <f t="shared" si="58"/>
        <v>41.164200000000001</v>
      </c>
      <c r="X634">
        <v>4.7699999999999996</v>
      </c>
      <c r="Y634">
        <f t="shared" si="59"/>
        <v>45.934200000000004</v>
      </c>
    </row>
    <row r="635" spans="1:25" x14ac:dyDescent="0.25">
      <c r="A635" t="s">
        <v>1608</v>
      </c>
      <c r="B635">
        <v>42209</v>
      </c>
      <c r="C635" t="str">
        <f t="shared" si="54"/>
        <v>2015</v>
      </c>
      <c r="D635" t="s">
        <v>1098</v>
      </c>
      <c r="E635" t="s">
        <v>581</v>
      </c>
      <c r="F635" t="s">
        <v>257</v>
      </c>
      <c r="G635" t="s">
        <v>258</v>
      </c>
      <c r="H635" t="s">
        <v>259</v>
      </c>
      <c r="I635" t="s">
        <v>309</v>
      </c>
      <c r="J635" t="s">
        <v>243</v>
      </c>
      <c r="K635" t="s">
        <v>817</v>
      </c>
      <c r="L635" t="s">
        <v>245</v>
      </c>
      <c r="M635" t="s">
        <v>253</v>
      </c>
      <c r="N635" t="s">
        <v>247</v>
      </c>
      <c r="O635">
        <v>42211</v>
      </c>
      <c r="P635">
        <v>1.76</v>
      </c>
      <c r="Q635">
        <v>2.94</v>
      </c>
      <c r="R635">
        <f t="shared" si="55"/>
        <v>1.18</v>
      </c>
      <c r="S635">
        <v>35</v>
      </c>
      <c r="T635">
        <f t="shared" si="56"/>
        <v>102.89999999999999</v>
      </c>
      <c r="U635">
        <v>0.09</v>
      </c>
      <c r="V635">
        <f t="shared" si="57"/>
        <v>9.2609999999999992</v>
      </c>
      <c r="W635">
        <f t="shared" si="58"/>
        <v>93.638999999999996</v>
      </c>
      <c r="X635">
        <v>0.81</v>
      </c>
      <c r="Y635">
        <f t="shared" si="59"/>
        <v>94.448999999999998</v>
      </c>
    </row>
    <row r="636" spans="1:25" x14ac:dyDescent="0.25">
      <c r="A636" t="s">
        <v>1609</v>
      </c>
      <c r="B636">
        <v>42210</v>
      </c>
      <c r="C636" t="str">
        <f t="shared" si="54"/>
        <v>2015</v>
      </c>
      <c r="D636" t="s">
        <v>1610</v>
      </c>
      <c r="E636" t="s">
        <v>507</v>
      </c>
      <c r="F636" t="s">
        <v>239</v>
      </c>
      <c r="G636" t="s">
        <v>240</v>
      </c>
      <c r="H636" t="s">
        <v>241</v>
      </c>
      <c r="I636" t="s">
        <v>242</v>
      </c>
      <c r="J636" t="s">
        <v>243</v>
      </c>
      <c r="K636" t="s">
        <v>1105</v>
      </c>
      <c r="L636" t="s">
        <v>245</v>
      </c>
      <c r="M636" t="s">
        <v>253</v>
      </c>
      <c r="N636" t="s">
        <v>263</v>
      </c>
      <c r="O636">
        <v>42211</v>
      </c>
      <c r="P636">
        <v>1.88</v>
      </c>
      <c r="Q636">
        <v>3.14</v>
      </c>
      <c r="R636">
        <f t="shared" si="55"/>
        <v>1.2600000000000002</v>
      </c>
      <c r="S636">
        <v>43</v>
      </c>
      <c r="T636">
        <f t="shared" si="56"/>
        <v>135.02000000000001</v>
      </c>
      <c r="U636">
        <v>7.0000000000000007E-2</v>
      </c>
      <c r="V636">
        <f t="shared" si="57"/>
        <v>9.4514000000000014</v>
      </c>
      <c r="W636">
        <f t="shared" si="58"/>
        <v>125.5686</v>
      </c>
      <c r="X636">
        <v>1.1399999999999999</v>
      </c>
      <c r="Y636">
        <f t="shared" si="59"/>
        <v>126.7086</v>
      </c>
    </row>
    <row r="637" spans="1:25" x14ac:dyDescent="0.25">
      <c r="A637" t="s">
        <v>1611</v>
      </c>
      <c r="B637">
        <v>42210</v>
      </c>
      <c r="C637" t="str">
        <f t="shared" si="54"/>
        <v>2015</v>
      </c>
      <c r="D637" t="s">
        <v>1610</v>
      </c>
      <c r="E637" t="s">
        <v>507</v>
      </c>
      <c r="F637" t="s">
        <v>239</v>
      </c>
      <c r="G637" t="s">
        <v>240</v>
      </c>
      <c r="H637" t="s">
        <v>241</v>
      </c>
      <c r="I637" t="s">
        <v>242</v>
      </c>
      <c r="J637" t="s">
        <v>243</v>
      </c>
      <c r="K637" t="s">
        <v>638</v>
      </c>
      <c r="L637" t="s">
        <v>245</v>
      </c>
      <c r="M637" t="s">
        <v>323</v>
      </c>
      <c r="N637" t="s">
        <v>247</v>
      </c>
      <c r="O637">
        <v>42212</v>
      </c>
      <c r="P637">
        <v>1.46</v>
      </c>
      <c r="Q637">
        <v>3.57</v>
      </c>
      <c r="R637">
        <f t="shared" si="55"/>
        <v>2.11</v>
      </c>
      <c r="S637">
        <v>19</v>
      </c>
      <c r="T637">
        <f t="shared" si="56"/>
        <v>67.83</v>
      </c>
      <c r="U637">
        <v>0.08</v>
      </c>
      <c r="V637">
        <f t="shared" si="57"/>
        <v>5.4264000000000001</v>
      </c>
      <c r="W637">
        <f t="shared" si="58"/>
        <v>62.403599999999997</v>
      </c>
      <c r="X637">
        <v>4.17</v>
      </c>
      <c r="Y637">
        <f t="shared" si="59"/>
        <v>66.573599999999999</v>
      </c>
    </row>
    <row r="638" spans="1:25" x14ac:dyDescent="0.25">
      <c r="A638" t="s">
        <v>1612</v>
      </c>
      <c r="B638">
        <v>42210</v>
      </c>
      <c r="C638" t="str">
        <f t="shared" si="54"/>
        <v>2015</v>
      </c>
      <c r="D638" t="s">
        <v>1497</v>
      </c>
      <c r="E638" t="s">
        <v>637</v>
      </c>
      <c r="F638" t="s">
        <v>239</v>
      </c>
      <c r="G638" t="s">
        <v>240</v>
      </c>
      <c r="H638" t="s">
        <v>241</v>
      </c>
      <c r="I638" t="s">
        <v>242</v>
      </c>
      <c r="J638" t="s">
        <v>261</v>
      </c>
      <c r="K638" t="s">
        <v>555</v>
      </c>
      <c r="L638" t="s">
        <v>245</v>
      </c>
      <c r="M638" t="s">
        <v>246</v>
      </c>
      <c r="N638" t="s">
        <v>247</v>
      </c>
      <c r="O638">
        <v>42213</v>
      </c>
      <c r="P638">
        <v>1.98</v>
      </c>
      <c r="Q638">
        <v>3.15</v>
      </c>
      <c r="R638">
        <f t="shared" si="55"/>
        <v>1.17</v>
      </c>
      <c r="S638">
        <v>17</v>
      </c>
      <c r="T638">
        <f t="shared" si="56"/>
        <v>53.55</v>
      </c>
      <c r="U638">
        <v>0.05</v>
      </c>
      <c r="V638">
        <f t="shared" si="57"/>
        <v>2.6775000000000002</v>
      </c>
      <c r="W638">
        <f t="shared" si="58"/>
        <v>50.872499999999995</v>
      </c>
      <c r="X638">
        <v>0.49</v>
      </c>
      <c r="Y638">
        <f t="shared" si="59"/>
        <v>51.362499999999997</v>
      </c>
    </row>
    <row r="639" spans="1:25" x14ac:dyDescent="0.25">
      <c r="A639" t="s">
        <v>1613</v>
      </c>
      <c r="B639">
        <v>42211</v>
      </c>
      <c r="C639" t="str">
        <f t="shared" si="54"/>
        <v>2015</v>
      </c>
      <c r="D639" t="s">
        <v>379</v>
      </c>
      <c r="E639" t="s">
        <v>380</v>
      </c>
      <c r="F639" t="s">
        <v>257</v>
      </c>
      <c r="G639" t="s">
        <v>258</v>
      </c>
      <c r="H639" t="s">
        <v>274</v>
      </c>
      <c r="I639" t="s">
        <v>381</v>
      </c>
      <c r="J639" t="s">
        <v>304</v>
      </c>
      <c r="K639" t="s">
        <v>329</v>
      </c>
      <c r="L639" t="s">
        <v>245</v>
      </c>
      <c r="M639" t="s">
        <v>246</v>
      </c>
      <c r="N639" t="s">
        <v>263</v>
      </c>
      <c r="O639">
        <v>42212</v>
      </c>
      <c r="P639">
        <v>4.59</v>
      </c>
      <c r="Q639">
        <v>7.28</v>
      </c>
      <c r="R639">
        <f t="shared" si="55"/>
        <v>2.6900000000000004</v>
      </c>
      <c r="S639">
        <v>20</v>
      </c>
      <c r="T639">
        <f t="shared" si="56"/>
        <v>145.6</v>
      </c>
      <c r="U639">
        <v>0.1</v>
      </c>
      <c r="V639">
        <f t="shared" si="57"/>
        <v>14.56</v>
      </c>
      <c r="W639">
        <f t="shared" si="58"/>
        <v>131.04</v>
      </c>
      <c r="X639">
        <v>11.15</v>
      </c>
      <c r="Y639">
        <f t="shared" si="59"/>
        <v>142.19</v>
      </c>
    </row>
    <row r="640" spans="1:25" x14ac:dyDescent="0.25">
      <c r="A640" t="s">
        <v>1614</v>
      </c>
      <c r="B640">
        <v>42211</v>
      </c>
      <c r="C640" t="str">
        <f t="shared" si="54"/>
        <v>2015</v>
      </c>
      <c r="D640" t="s">
        <v>1238</v>
      </c>
      <c r="E640" t="s">
        <v>1239</v>
      </c>
      <c r="F640" t="s">
        <v>257</v>
      </c>
      <c r="G640" t="s">
        <v>258</v>
      </c>
      <c r="H640" t="s">
        <v>259</v>
      </c>
      <c r="I640" t="s">
        <v>309</v>
      </c>
      <c r="J640" t="s">
        <v>243</v>
      </c>
      <c r="K640" t="s">
        <v>776</v>
      </c>
      <c r="L640" t="s">
        <v>245</v>
      </c>
      <c r="M640" t="s">
        <v>246</v>
      </c>
      <c r="N640" t="s">
        <v>247</v>
      </c>
      <c r="O640">
        <v>42211</v>
      </c>
      <c r="P640">
        <v>4.53</v>
      </c>
      <c r="Q640">
        <v>7.3</v>
      </c>
      <c r="R640">
        <f t="shared" si="55"/>
        <v>2.7699999999999996</v>
      </c>
      <c r="S640">
        <v>12</v>
      </c>
      <c r="T640">
        <f t="shared" si="56"/>
        <v>87.6</v>
      </c>
      <c r="U640">
        <v>0.03</v>
      </c>
      <c r="V640">
        <f t="shared" si="57"/>
        <v>2.6279999999999997</v>
      </c>
      <c r="W640">
        <f t="shared" si="58"/>
        <v>84.971999999999994</v>
      </c>
      <c r="X640">
        <v>7.72</v>
      </c>
      <c r="Y640">
        <f t="shared" si="59"/>
        <v>92.691999999999993</v>
      </c>
    </row>
    <row r="641" spans="1:25" x14ac:dyDescent="0.25">
      <c r="A641" t="s">
        <v>1615</v>
      </c>
      <c r="B641">
        <v>42212</v>
      </c>
      <c r="C641" t="str">
        <f t="shared" si="54"/>
        <v>2015</v>
      </c>
      <c r="D641" t="s">
        <v>1350</v>
      </c>
      <c r="E641" t="s">
        <v>367</v>
      </c>
      <c r="F641" t="s">
        <v>239</v>
      </c>
      <c r="G641" t="s">
        <v>240</v>
      </c>
      <c r="H641" t="s">
        <v>293</v>
      </c>
      <c r="I641" t="s">
        <v>251</v>
      </c>
      <c r="J641" t="s">
        <v>279</v>
      </c>
      <c r="K641" t="s">
        <v>656</v>
      </c>
      <c r="L641" t="s">
        <v>245</v>
      </c>
      <c r="M641" t="s">
        <v>253</v>
      </c>
      <c r="N641" t="s">
        <v>263</v>
      </c>
      <c r="O641">
        <v>42216</v>
      </c>
      <c r="P641">
        <v>0.93</v>
      </c>
      <c r="Q641">
        <v>1.48</v>
      </c>
      <c r="R641">
        <f t="shared" si="55"/>
        <v>0.54999999999999993</v>
      </c>
      <c r="S641">
        <v>37</v>
      </c>
      <c r="T641">
        <f t="shared" si="56"/>
        <v>54.76</v>
      </c>
      <c r="U641">
        <v>0.04</v>
      </c>
      <c r="V641">
        <f t="shared" si="57"/>
        <v>2.1903999999999999</v>
      </c>
      <c r="W641">
        <f t="shared" si="58"/>
        <v>52.569600000000001</v>
      </c>
      <c r="X641">
        <v>0.7</v>
      </c>
      <c r="Y641">
        <f t="shared" si="59"/>
        <v>53.269600000000004</v>
      </c>
    </row>
    <row r="642" spans="1:25" x14ac:dyDescent="0.25">
      <c r="A642" t="s">
        <v>1616</v>
      </c>
      <c r="B642">
        <v>42212</v>
      </c>
      <c r="C642" t="str">
        <f t="shared" si="54"/>
        <v>2015</v>
      </c>
      <c r="D642" t="s">
        <v>1350</v>
      </c>
      <c r="E642" t="s">
        <v>367</v>
      </c>
      <c r="F642" t="s">
        <v>239</v>
      </c>
      <c r="G642" t="s">
        <v>240</v>
      </c>
      <c r="H642" t="s">
        <v>293</v>
      </c>
      <c r="I642" t="s">
        <v>251</v>
      </c>
      <c r="J642" t="s">
        <v>279</v>
      </c>
      <c r="K642" t="s">
        <v>537</v>
      </c>
      <c r="L642" t="s">
        <v>245</v>
      </c>
      <c r="M642" t="s">
        <v>253</v>
      </c>
      <c r="N642" t="s">
        <v>247</v>
      </c>
      <c r="O642">
        <v>42217</v>
      </c>
      <c r="P642">
        <v>11.11</v>
      </c>
      <c r="Q642">
        <v>19.84</v>
      </c>
      <c r="R642">
        <f t="shared" si="55"/>
        <v>8.73</v>
      </c>
      <c r="S642">
        <v>28</v>
      </c>
      <c r="T642">
        <f t="shared" si="56"/>
        <v>555.52</v>
      </c>
      <c r="U642">
        <v>0.08</v>
      </c>
      <c r="V642">
        <f t="shared" si="57"/>
        <v>44.441600000000001</v>
      </c>
      <c r="W642">
        <f t="shared" si="58"/>
        <v>511.07839999999999</v>
      </c>
      <c r="X642">
        <v>4.0999999999999996</v>
      </c>
      <c r="Y642">
        <f t="shared" si="59"/>
        <v>515.17840000000001</v>
      </c>
    </row>
    <row r="643" spans="1:25" x14ac:dyDescent="0.25">
      <c r="A643" t="s">
        <v>1617</v>
      </c>
      <c r="B643">
        <v>42214</v>
      </c>
      <c r="C643" t="str">
        <f t="shared" si="54"/>
        <v>2015</v>
      </c>
      <c r="D643" t="s">
        <v>1618</v>
      </c>
      <c r="E643" t="s">
        <v>528</v>
      </c>
      <c r="F643" t="s">
        <v>239</v>
      </c>
      <c r="G643" t="s">
        <v>240</v>
      </c>
      <c r="H643" t="s">
        <v>259</v>
      </c>
      <c r="I643" t="s">
        <v>251</v>
      </c>
      <c r="J643" t="s">
        <v>243</v>
      </c>
      <c r="K643" t="s">
        <v>630</v>
      </c>
      <c r="L643" t="s">
        <v>245</v>
      </c>
      <c r="M643" t="s">
        <v>253</v>
      </c>
      <c r="N643" t="s">
        <v>247</v>
      </c>
      <c r="O643">
        <v>42216</v>
      </c>
      <c r="P643">
        <v>1.53</v>
      </c>
      <c r="Q643">
        <v>2.78</v>
      </c>
      <c r="R643">
        <f t="shared" si="55"/>
        <v>1.2499999999999998</v>
      </c>
      <c r="S643">
        <v>38</v>
      </c>
      <c r="T643">
        <f t="shared" si="56"/>
        <v>105.63999999999999</v>
      </c>
      <c r="U643">
        <v>0.1</v>
      </c>
      <c r="V643">
        <f t="shared" si="57"/>
        <v>10.564</v>
      </c>
      <c r="W643">
        <f t="shared" si="58"/>
        <v>95.075999999999993</v>
      </c>
      <c r="X643">
        <v>1.34</v>
      </c>
      <c r="Y643">
        <f t="shared" si="59"/>
        <v>96.415999999999997</v>
      </c>
    </row>
    <row r="644" spans="1:25" x14ac:dyDescent="0.25">
      <c r="A644" t="s">
        <v>1619</v>
      </c>
      <c r="B644">
        <v>42214</v>
      </c>
      <c r="C644" t="str">
        <f t="shared" si="54"/>
        <v>2015</v>
      </c>
      <c r="D644" t="s">
        <v>1620</v>
      </c>
      <c r="E644" t="s">
        <v>1621</v>
      </c>
      <c r="F644" t="s">
        <v>257</v>
      </c>
      <c r="G644" t="s">
        <v>258</v>
      </c>
      <c r="H644" t="s">
        <v>241</v>
      </c>
      <c r="I644" t="s">
        <v>381</v>
      </c>
      <c r="J644" t="s">
        <v>294</v>
      </c>
      <c r="K644" t="s">
        <v>295</v>
      </c>
      <c r="L644" t="s">
        <v>245</v>
      </c>
      <c r="M644" t="s">
        <v>246</v>
      </c>
      <c r="N644" t="s">
        <v>247</v>
      </c>
      <c r="O644">
        <v>42215</v>
      </c>
      <c r="P644">
        <v>54.29</v>
      </c>
      <c r="Q644">
        <v>90.48</v>
      </c>
      <c r="R644">
        <f t="shared" si="55"/>
        <v>36.190000000000005</v>
      </c>
      <c r="S644">
        <v>15</v>
      </c>
      <c r="T644">
        <f t="shared" si="56"/>
        <v>1357.2</v>
      </c>
      <c r="U644">
        <v>0.01</v>
      </c>
      <c r="V644">
        <f t="shared" si="57"/>
        <v>13.572000000000001</v>
      </c>
      <c r="W644">
        <f t="shared" si="58"/>
        <v>1343.6280000000002</v>
      </c>
      <c r="X644">
        <v>19.989999999999998</v>
      </c>
      <c r="Y644">
        <f t="shared" si="59"/>
        <v>1363.6180000000002</v>
      </c>
    </row>
    <row r="645" spans="1:25" x14ac:dyDescent="0.25">
      <c r="A645" t="s">
        <v>1622</v>
      </c>
      <c r="B645">
        <v>42215</v>
      </c>
      <c r="C645" t="str">
        <f t="shared" si="54"/>
        <v>2015</v>
      </c>
      <c r="D645" t="s">
        <v>1623</v>
      </c>
      <c r="E645" t="s">
        <v>346</v>
      </c>
      <c r="F645" t="s">
        <v>257</v>
      </c>
      <c r="G645" t="s">
        <v>258</v>
      </c>
      <c r="H645" t="s">
        <v>241</v>
      </c>
      <c r="I645" t="s">
        <v>309</v>
      </c>
      <c r="J645" t="s">
        <v>243</v>
      </c>
      <c r="K645" t="s">
        <v>799</v>
      </c>
      <c r="L645" t="s">
        <v>245</v>
      </c>
      <c r="M645" t="s">
        <v>246</v>
      </c>
      <c r="N645" t="s">
        <v>263</v>
      </c>
      <c r="O645">
        <v>42216</v>
      </c>
      <c r="P645">
        <v>2.29</v>
      </c>
      <c r="Q645">
        <v>3.69</v>
      </c>
      <c r="R645">
        <f t="shared" si="55"/>
        <v>1.4</v>
      </c>
      <c r="S645">
        <v>48</v>
      </c>
      <c r="T645">
        <f t="shared" si="56"/>
        <v>177.12</v>
      </c>
      <c r="U645">
        <v>0.1</v>
      </c>
      <c r="V645">
        <f t="shared" si="57"/>
        <v>17.712</v>
      </c>
      <c r="W645">
        <f t="shared" si="58"/>
        <v>159.40800000000002</v>
      </c>
      <c r="X645">
        <v>0.5</v>
      </c>
      <c r="Y645">
        <f t="shared" si="59"/>
        <v>159.90800000000002</v>
      </c>
    </row>
    <row r="646" spans="1:25" x14ac:dyDescent="0.25">
      <c r="A646" t="s">
        <v>1624</v>
      </c>
      <c r="B646">
        <v>42215</v>
      </c>
      <c r="C646" t="str">
        <f t="shared" ref="C646:C709" si="60">TEXT(B646,"yyyy")</f>
        <v>2015</v>
      </c>
      <c r="D646" t="s">
        <v>951</v>
      </c>
      <c r="E646" t="s">
        <v>424</v>
      </c>
      <c r="F646" t="s">
        <v>257</v>
      </c>
      <c r="G646" t="s">
        <v>258</v>
      </c>
      <c r="H646" t="s">
        <v>241</v>
      </c>
      <c r="I646" t="s">
        <v>299</v>
      </c>
      <c r="J646" t="s">
        <v>304</v>
      </c>
      <c r="K646" t="s">
        <v>1130</v>
      </c>
      <c r="L646" t="s">
        <v>268</v>
      </c>
      <c r="M646" t="s">
        <v>246</v>
      </c>
      <c r="N646" t="s">
        <v>263</v>
      </c>
      <c r="O646">
        <v>42216</v>
      </c>
      <c r="P646">
        <v>14.7</v>
      </c>
      <c r="Q646">
        <v>29.99</v>
      </c>
      <c r="R646">
        <f t="shared" ref="R646:R709" si="61">Q646-P646</f>
        <v>15.29</v>
      </c>
      <c r="S646">
        <v>27</v>
      </c>
      <c r="T646">
        <f t="shared" ref="T646:T709" si="62">Q646*S646</f>
        <v>809.7299999999999</v>
      </c>
      <c r="U646">
        <v>0.05</v>
      </c>
      <c r="V646">
        <f t="shared" ref="V646:V709" si="63">T646*U646</f>
        <v>40.486499999999999</v>
      </c>
      <c r="W646">
        <f t="shared" ref="W646:W709" si="64">T646-V646</f>
        <v>769.24349999999993</v>
      </c>
      <c r="X646">
        <v>5.5</v>
      </c>
      <c r="Y646">
        <f t="shared" ref="Y646:Y709" si="65">W646+X646</f>
        <v>774.74349999999993</v>
      </c>
    </row>
    <row r="647" spans="1:25" x14ac:dyDescent="0.25">
      <c r="A647" t="s">
        <v>1625</v>
      </c>
      <c r="B647">
        <v>42217</v>
      </c>
      <c r="C647" t="str">
        <f t="shared" si="60"/>
        <v>2015</v>
      </c>
      <c r="D647" t="s">
        <v>602</v>
      </c>
      <c r="E647" t="s">
        <v>428</v>
      </c>
      <c r="F647" t="s">
        <v>257</v>
      </c>
      <c r="G647" t="s">
        <v>258</v>
      </c>
      <c r="H647" t="s">
        <v>241</v>
      </c>
      <c r="I647" t="s">
        <v>333</v>
      </c>
      <c r="J647" t="s">
        <v>261</v>
      </c>
      <c r="K647" t="s">
        <v>714</v>
      </c>
      <c r="L647" t="s">
        <v>268</v>
      </c>
      <c r="M647" t="s">
        <v>246</v>
      </c>
      <c r="N647" t="s">
        <v>247</v>
      </c>
      <c r="O647">
        <v>42219</v>
      </c>
      <c r="P647">
        <v>42.11</v>
      </c>
      <c r="Q647">
        <v>80.98</v>
      </c>
      <c r="R647">
        <f t="shared" si="61"/>
        <v>38.870000000000005</v>
      </c>
      <c r="S647">
        <v>22</v>
      </c>
      <c r="T647">
        <f t="shared" si="62"/>
        <v>1781.5600000000002</v>
      </c>
      <c r="U647">
        <v>0.1</v>
      </c>
      <c r="V647">
        <f t="shared" si="63"/>
        <v>178.15600000000003</v>
      </c>
      <c r="W647">
        <f t="shared" si="64"/>
        <v>1603.4040000000002</v>
      </c>
      <c r="X647">
        <v>7.18</v>
      </c>
      <c r="Y647">
        <f t="shared" si="65"/>
        <v>1610.5840000000003</v>
      </c>
    </row>
    <row r="648" spans="1:25" x14ac:dyDescent="0.25">
      <c r="A648" t="s">
        <v>1626</v>
      </c>
      <c r="B648">
        <v>42218</v>
      </c>
      <c r="C648" t="str">
        <f t="shared" si="60"/>
        <v>2015</v>
      </c>
      <c r="D648" t="s">
        <v>1627</v>
      </c>
      <c r="E648" t="s">
        <v>1628</v>
      </c>
      <c r="F648" t="s">
        <v>257</v>
      </c>
      <c r="G648" t="s">
        <v>258</v>
      </c>
      <c r="H648" t="s">
        <v>241</v>
      </c>
      <c r="I648" t="s">
        <v>275</v>
      </c>
      <c r="J648" t="s">
        <v>294</v>
      </c>
      <c r="K648" t="s">
        <v>594</v>
      </c>
      <c r="L648" t="s">
        <v>268</v>
      </c>
      <c r="M648" t="s">
        <v>647</v>
      </c>
      <c r="N648" t="s">
        <v>247</v>
      </c>
      <c r="O648">
        <v>42220</v>
      </c>
      <c r="P648">
        <v>216</v>
      </c>
      <c r="Q648">
        <v>449.99</v>
      </c>
      <c r="R648">
        <f t="shared" si="61"/>
        <v>233.99</v>
      </c>
      <c r="S648">
        <v>29</v>
      </c>
      <c r="T648">
        <f t="shared" si="62"/>
        <v>13049.710000000001</v>
      </c>
      <c r="U648">
        <v>0</v>
      </c>
      <c r="V648">
        <f t="shared" si="63"/>
        <v>0</v>
      </c>
      <c r="W648">
        <f t="shared" si="64"/>
        <v>13049.710000000001</v>
      </c>
      <c r="X648">
        <v>24.49</v>
      </c>
      <c r="Y648">
        <f t="shared" si="65"/>
        <v>13074.2</v>
      </c>
    </row>
    <row r="649" spans="1:25" x14ac:dyDescent="0.25">
      <c r="A649" t="s">
        <v>1629</v>
      </c>
      <c r="B649">
        <v>42218</v>
      </c>
      <c r="C649" t="str">
        <f t="shared" si="60"/>
        <v>2015</v>
      </c>
      <c r="D649" t="s">
        <v>1630</v>
      </c>
      <c r="E649" t="s">
        <v>637</v>
      </c>
      <c r="F649" t="s">
        <v>239</v>
      </c>
      <c r="G649" t="s">
        <v>240</v>
      </c>
      <c r="H649" t="s">
        <v>274</v>
      </c>
      <c r="I649" t="s">
        <v>251</v>
      </c>
      <c r="J649" t="s">
        <v>294</v>
      </c>
      <c r="K649" t="s">
        <v>475</v>
      </c>
      <c r="L649" t="s">
        <v>245</v>
      </c>
      <c r="M649" t="s">
        <v>246</v>
      </c>
      <c r="N649" t="s">
        <v>247</v>
      </c>
      <c r="O649">
        <v>42220</v>
      </c>
      <c r="P649">
        <v>12.39</v>
      </c>
      <c r="Q649">
        <v>19.98</v>
      </c>
      <c r="R649">
        <f t="shared" si="61"/>
        <v>7.59</v>
      </c>
      <c r="S649">
        <v>44</v>
      </c>
      <c r="T649">
        <f t="shared" si="62"/>
        <v>879.12</v>
      </c>
      <c r="U649">
        <v>7.0000000000000007E-2</v>
      </c>
      <c r="V649">
        <f t="shared" si="63"/>
        <v>61.538400000000003</v>
      </c>
      <c r="W649">
        <f t="shared" si="64"/>
        <v>817.58159999999998</v>
      </c>
      <c r="X649">
        <v>5.77</v>
      </c>
      <c r="Y649">
        <f t="shared" si="65"/>
        <v>823.35159999999996</v>
      </c>
    </row>
    <row r="650" spans="1:25" x14ac:dyDescent="0.25">
      <c r="A650" t="s">
        <v>1631</v>
      </c>
      <c r="B650">
        <v>42219</v>
      </c>
      <c r="C650" t="str">
        <f t="shared" si="60"/>
        <v>2015</v>
      </c>
      <c r="D650" t="s">
        <v>1355</v>
      </c>
      <c r="E650" t="s">
        <v>673</v>
      </c>
      <c r="F650" t="s">
        <v>257</v>
      </c>
      <c r="G650" t="s">
        <v>258</v>
      </c>
      <c r="H650" t="s">
        <v>259</v>
      </c>
      <c r="I650" t="s">
        <v>372</v>
      </c>
      <c r="J650" t="s">
        <v>279</v>
      </c>
      <c r="K650" t="s">
        <v>543</v>
      </c>
      <c r="L650" t="s">
        <v>245</v>
      </c>
      <c r="M650" t="s">
        <v>246</v>
      </c>
      <c r="N650" t="s">
        <v>247</v>
      </c>
      <c r="O650">
        <v>42224</v>
      </c>
      <c r="P650">
        <v>1.33</v>
      </c>
      <c r="Q650">
        <v>2.08</v>
      </c>
      <c r="R650">
        <f t="shared" si="61"/>
        <v>0.75</v>
      </c>
      <c r="S650">
        <v>20</v>
      </c>
      <c r="T650">
        <f t="shared" si="62"/>
        <v>41.6</v>
      </c>
      <c r="U650">
        <v>0.1</v>
      </c>
      <c r="V650">
        <f t="shared" si="63"/>
        <v>4.16</v>
      </c>
      <c r="W650">
        <f t="shared" si="64"/>
        <v>37.44</v>
      </c>
      <c r="X650">
        <v>1.49</v>
      </c>
      <c r="Y650">
        <f t="shared" si="65"/>
        <v>38.93</v>
      </c>
    </row>
    <row r="651" spans="1:25" x14ac:dyDescent="0.25">
      <c r="A651" t="s">
        <v>1632</v>
      </c>
      <c r="B651">
        <v>42223</v>
      </c>
      <c r="C651" t="str">
        <f t="shared" si="60"/>
        <v>2015</v>
      </c>
      <c r="D651" t="s">
        <v>1458</v>
      </c>
      <c r="E651" t="s">
        <v>1459</v>
      </c>
      <c r="F651" t="s">
        <v>257</v>
      </c>
      <c r="G651" t="s">
        <v>258</v>
      </c>
      <c r="H651" t="s">
        <v>259</v>
      </c>
      <c r="I651" t="s">
        <v>260</v>
      </c>
      <c r="J651" t="s">
        <v>261</v>
      </c>
      <c r="K651" t="s">
        <v>941</v>
      </c>
      <c r="L651" t="s">
        <v>245</v>
      </c>
      <c r="M651" t="s">
        <v>253</v>
      </c>
      <c r="N651" t="s">
        <v>247</v>
      </c>
      <c r="O651">
        <v>42224</v>
      </c>
      <c r="P651">
        <v>2.59</v>
      </c>
      <c r="Q651">
        <v>3.98</v>
      </c>
      <c r="R651">
        <f t="shared" si="61"/>
        <v>1.3900000000000001</v>
      </c>
      <c r="S651">
        <v>16</v>
      </c>
      <c r="T651">
        <f t="shared" si="62"/>
        <v>63.68</v>
      </c>
      <c r="U651">
        <v>0.09</v>
      </c>
      <c r="V651">
        <f t="shared" si="63"/>
        <v>5.7311999999999994</v>
      </c>
      <c r="W651">
        <f t="shared" si="64"/>
        <v>57.948799999999999</v>
      </c>
      <c r="X651">
        <v>2.97</v>
      </c>
      <c r="Y651">
        <f t="shared" si="65"/>
        <v>60.918799999999997</v>
      </c>
    </row>
    <row r="652" spans="1:25" x14ac:dyDescent="0.25">
      <c r="A652" t="s">
        <v>1633</v>
      </c>
      <c r="B652">
        <v>42224</v>
      </c>
      <c r="C652" t="str">
        <f t="shared" si="60"/>
        <v>2015</v>
      </c>
      <c r="D652" t="s">
        <v>840</v>
      </c>
      <c r="E652" t="s">
        <v>633</v>
      </c>
      <c r="F652" t="s">
        <v>239</v>
      </c>
      <c r="G652" t="s">
        <v>240</v>
      </c>
      <c r="H652" t="s">
        <v>259</v>
      </c>
      <c r="I652" t="s">
        <v>242</v>
      </c>
      <c r="J652" t="s">
        <v>243</v>
      </c>
      <c r="K652" t="s">
        <v>300</v>
      </c>
      <c r="L652" t="s">
        <v>245</v>
      </c>
      <c r="M652" t="s">
        <v>246</v>
      </c>
      <c r="N652" t="s">
        <v>263</v>
      </c>
      <c r="O652">
        <v>42225</v>
      </c>
      <c r="P652">
        <v>5.33</v>
      </c>
      <c r="Q652">
        <v>8.6</v>
      </c>
      <c r="R652">
        <f t="shared" si="61"/>
        <v>3.2699999999999996</v>
      </c>
      <c r="S652">
        <v>15</v>
      </c>
      <c r="T652">
        <f t="shared" si="62"/>
        <v>129</v>
      </c>
      <c r="U652">
        <v>0.04</v>
      </c>
      <c r="V652">
        <f t="shared" si="63"/>
        <v>5.16</v>
      </c>
      <c r="W652">
        <f t="shared" si="64"/>
        <v>123.84</v>
      </c>
      <c r="X652">
        <v>6.19</v>
      </c>
      <c r="Y652">
        <f t="shared" si="65"/>
        <v>130.03</v>
      </c>
    </row>
    <row r="653" spans="1:25" x14ac:dyDescent="0.25">
      <c r="A653" t="s">
        <v>1634</v>
      </c>
      <c r="B653">
        <v>42226</v>
      </c>
      <c r="C653" t="str">
        <f t="shared" si="60"/>
        <v>2015</v>
      </c>
      <c r="D653" t="s">
        <v>1635</v>
      </c>
      <c r="E653" t="s">
        <v>1348</v>
      </c>
      <c r="F653" t="s">
        <v>257</v>
      </c>
      <c r="G653" t="s">
        <v>258</v>
      </c>
      <c r="H653" t="s">
        <v>293</v>
      </c>
      <c r="I653" t="s">
        <v>492</v>
      </c>
      <c r="J653" t="s">
        <v>294</v>
      </c>
      <c r="K653" t="s">
        <v>1061</v>
      </c>
      <c r="L653" t="s">
        <v>245</v>
      </c>
      <c r="M653" t="s">
        <v>246</v>
      </c>
      <c r="N653" t="s">
        <v>247</v>
      </c>
      <c r="O653">
        <v>42227</v>
      </c>
      <c r="P653">
        <v>2.76</v>
      </c>
      <c r="Q653">
        <v>4.38</v>
      </c>
      <c r="R653">
        <f t="shared" si="61"/>
        <v>1.62</v>
      </c>
      <c r="S653">
        <v>24</v>
      </c>
      <c r="T653">
        <f t="shared" si="62"/>
        <v>105.12</v>
      </c>
      <c r="U653">
        <v>0.02</v>
      </c>
      <c r="V653">
        <f t="shared" si="63"/>
        <v>2.1024000000000003</v>
      </c>
      <c r="W653">
        <f t="shared" si="64"/>
        <v>103.0176</v>
      </c>
      <c r="X653">
        <v>6.21</v>
      </c>
      <c r="Y653">
        <f t="shared" si="65"/>
        <v>109.2276</v>
      </c>
    </row>
    <row r="654" spans="1:25" x14ac:dyDescent="0.25">
      <c r="A654" t="s">
        <v>1636</v>
      </c>
      <c r="B654">
        <v>42226</v>
      </c>
      <c r="C654" t="str">
        <f t="shared" si="60"/>
        <v>2015</v>
      </c>
      <c r="D654" t="s">
        <v>1635</v>
      </c>
      <c r="E654" t="s">
        <v>1348</v>
      </c>
      <c r="F654" t="s">
        <v>257</v>
      </c>
      <c r="G654" t="s">
        <v>258</v>
      </c>
      <c r="H654" t="s">
        <v>293</v>
      </c>
      <c r="I654" t="s">
        <v>492</v>
      </c>
      <c r="J654" t="s">
        <v>294</v>
      </c>
      <c r="K654" t="s">
        <v>879</v>
      </c>
      <c r="L654" t="s">
        <v>245</v>
      </c>
      <c r="M654" t="s">
        <v>323</v>
      </c>
      <c r="N654" t="s">
        <v>247</v>
      </c>
      <c r="O654">
        <v>42229</v>
      </c>
      <c r="P654">
        <v>4.0999999999999996</v>
      </c>
      <c r="Q654">
        <v>9.31</v>
      </c>
      <c r="R654">
        <f t="shared" si="61"/>
        <v>5.2100000000000009</v>
      </c>
      <c r="S654">
        <v>30</v>
      </c>
      <c r="T654">
        <f t="shared" si="62"/>
        <v>279.3</v>
      </c>
      <c r="U654">
        <v>0.03</v>
      </c>
      <c r="V654">
        <f t="shared" si="63"/>
        <v>8.3789999999999996</v>
      </c>
      <c r="W654">
        <f t="shared" si="64"/>
        <v>270.92099999999999</v>
      </c>
      <c r="X654">
        <v>3.98</v>
      </c>
      <c r="Y654">
        <f t="shared" si="65"/>
        <v>274.90100000000001</v>
      </c>
    </row>
    <row r="655" spans="1:25" x14ac:dyDescent="0.25">
      <c r="A655" t="s">
        <v>1637</v>
      </c>
      <c r="B655">
        <v>42227</v>
      </c>
      <c r="C655" t="str">
        <f t="shared" si="60"/>
        <v>2015</v>
      </c>
      <c r="D655" t="s">
        <v>1141</v>
      </c>
      <c r="E655" t="s">
        <v>575</v>
      </c>
      <c r="F655" t="s">
        <v>257</v>
      </c>
      <c r="G655" t="s">
        <v>258</v>
      </c>
      <c r="H655" t="s">
        <v>274</v>
      </c>
      <c r="I655" t="s">
        <v>381</v>
      </c>
      <c r="J655" t="s">
        <v>243</v>
      </c>
      <c r="K655" t="s">
        <v>939</v>
      </c>
      <c r="L655" t="s">
        <v>268</v>
      </c>
      <c r="M655" t="s">
        <v>647</v>
      </c>
      <c r="N655" t="s">
        <v>247</v>
      </c>
      <c r="O655">
        <v>42228</v>
      </c>
      <c r="P655">
        <v>377.99</v>
      </c>
      <c r="Q655">
        <v>599.99</v>
      </c>
      <c r="R655">
        <f t="shared" si="61"/>
        <v>222</v>
      </c>
      <c r="S655">
        <v>46</v>
      </c>
      <c r="T655">
        <f t="shared" si="62"/>
        <v>27599.54</v>
      </c>
      <c r="U655">
        <v>7.0000000000000007E-2</v>
      </c>
      <c r="V655">
        <f t="shared" si="63"/>
        <v>1931.9678000000004</v>
      </c>
      <c r="W655">
        <f t="shared" si="64"/>
        <v>25667.572200000002</v>
      </c>
      <c r="X655">
        <v>24.49</v>
      </c>
      <c r="Y655">
        <f t="shared" si="65"/>
        <v>25692.062200000004</v>
      </c>
    </row>
    <row r="656" spans="1:25" x14ac:dyDescent="0.25">
      <c r="A656" t="s">
        <v>1638</v>
      </c>
      <c r="B656">
        <v>42227</v>
      </c>
      <c r="C656" t="str">
        <f t="shared" si="60"/>
        <v>2015</v>
      </c>
      <c r="D656" t="s">
        <v>1347</v>
      </c>
      <c r="E656" t="s">
        <v>1348</v>
      </c>
      <c r="F656" t="s">
        <v>257</v>
      </c>
      <c r="G656" t="s">
        <v>258</v>
      </c>
      <c r="H656" t="s">
        <v>293</v>
      </c>
      <c r="I656" t="s">
        <v>492</v>
      </c>
      <c r="J656" t="s">
        <v>243</v>
      </c>
      <c r="K656" t="s">
        <v>817</v>
      </c>
      <c r="L656" t="s">
        <v>245</v>
      </c>
      <c r="M656" t="s">
        <v>253</v>
      </c>
      <c r="N656" t="s">
        <v>247</v>
      </c>
      <c r="O656">
        <v>42230</v>
      </c>
      <c r="P656">
        <v>1.76</v>
      </c>
      <c r="Q656">
        <v>2.94</v>
      </c>
      <c r="R656">
        <f t="shared" si="61"/>
        <v>1.18</v>
      </c>
      <c r="S656">
        <v>39</v>
      </c>
      <c r="T656">
        <f t="shared" si="62"/>
        <v>114.66</v>
      </c>
      <c r="U656">
        <v>0.04</v>
      </c>
      <c r="V656">
        <f t="shared" si="63"/>
        <v>4.5864000000000003</v>
      </c>
      <c r="W656">
        <f t="shared" si="64"/>
        <v>110.0736</v>
      </c>
      <c r="X656">
        <v>0.81</v>
      </c>
      <c r="Y656">
        <f t="shared" si="65"/>
        <v>110.8836</v>
      </c>
    </row>
    <row r="657" spans="1:25" x14ac:dyDescent="0.25">
      <c r="A657" t="s">
        <v>1639</v>
      </c>
      <c r="B657">
        <v>42227</v>
      </c>
      <c r="C657" t="str">
        <f t="shared" si="60"/>
        <v>2015</v>
      </c>
      <c r="D657" t="s">
        <v>1640</v>
      </c>
      <c r="E657" t="s">
        <v>352</v>
      </c>
      <c r="F657" t="s">
        <v>257</v>
      </c>
      <c r="G657" t="s">
        <v>258</v>
      </c>
      <c r="H657" t="s">
        <v>274</v>
      </c>
      <c r="I657" t="s">
        <v>275</v>
      </c>
      <c r="J657" t="s">
        <v>243</v>
      </c>
      <c r="K657" t="s">
        <v>384</v>
      </c>
      <c r="L657" t="s">
        <v>268</v>
      </c>
      <c r="M657" t="s">
        <v>246</v>
      </c>
      <c r="N657" t="s">
        <v>263</v>
      </c>
      <c r="O657">
        <v>42228</v>
      </c>
      <c r="P657">
        <v>10.07</v>
      </c>
      <c r="Q657">
        <v>15.98</v>
      </c>
      <c r="R657">
        <f t="shared" si="61"/>
        <v>5.91</v>
      </c>
      <c r="S657">
        <v>7</v>
      </c>
      <c r="T657">
        <f t="shared" si="62"/>
        <v>111.86</v>
      </c>
      <c r="U657">
        <v>0.04</v>
      </c>
      <c r="V657">
        <f t="shared" si="63"/>
        <v>4.4744000000000002</v>
      </c>
      <c r="W657">
        <f t="shared" si="64"/>
        <v>107.3856</v>
      </c>
      <c r="X657">
        <v>4</v>
      </c>
      <c r="Y657">
        <f t="shared" si="65"/>
        <v>111.3856</v>
      </c>
    </row>
    <row r="658" spans="1:25" x14ac:dyDescent="0.25">
      <c r="A658" t="s">
        <v>1641</v>
      </c>
      <c r="B658">
        <v>42228</v>
      </c>
      <c r="C658" t="str">
        <f t="shared" si="60"/>
        <v>2015</v>
      </c>
      <c r="D658" t="s">
        <v>408</v>
      </c>
      <c r="E658" t="s">
        <v>409</v>
      </c>
      <c r="F658" t="s">
        <v>257</v>
      </c>
      <c r="G658" t="s">
        <v>258</v>
      </c>
      <c r="H658" t="s">
        <v>259</v>
      </c>
      <c r="I658" t="s">
        <v>342</v>
      </c>
      <c r="J658" t="s">
        <v>294</v>
      </c>
      <c r="K658" t="s">
        <v>598</v>
      </c>
      <c r="L658" t="s">
        <v>268</v>
      </c>
      <c r="M658" t="s">
        <v>246</v>
      </c>
      <c r="N658" t="s">
        <v>247</v>
      </c>
      <c r="O658">
        <v>42231</v>
      </c>
      <c r="P658">
        <v>6.51</v>
      </c>
      <c r="Q658">
        <v>30.98</v>
      </c>
      <c r="R658">
        <f t="shared" si="61"/>
        <v>24.47</v>
      </c>
      <c r="S658">
        <v>8</v>
      </c>
      <c r="T658">
        <f t="shared" si="62"/>
        <v>247.84</v>
      </c>
      <c r="U658">
        <v>0.06</v>
      </c>
      <c r="V658">
        <f t="shared" si="63"/>
        <v>14.8704</v>
      </c>
      <c r="W658">
        <f t="shared" si="64"/>
        <v>232.96960000000001</v>
      </c>
      <c r="X658">
        <v>6.5</v>
      </c>
      <c r="Y658">
        <f t="shared" si="65"/>
        <v>239.46960000000001</v>
      </c>
    </row>
    <row r="659" spans="1:25" x14ac:dyDescent="0.25">
      <c r="A659" t="s">
        <v>1642</v>
      </c>
      <c r="B659">
        <v>42230</v>
      </c>
      <c r="C659" t="str">
        <f t="shared" si="60"/>
        <v>2015</v>
      </c>
      <c r="D659" t="s">
        <v>1643</v>
      </c>
      <c r="E659" t="s">
        <v>303</v>
      </c>
      <c r="F659" t="s">
        <v>239</v>
      </c>
      <c r="G659" t="s">
        <v>240</v>
      </c>
      <c r="H659" t="s">
        <v>259</v>
      </c>
      <c r="I659" t="s">
        <v>251</v>
      </c>
      <c r="J659" t="s">
        <v>304</v>
      </c>
      <c r="K659" t="s">
        <v>435</v>
      </c>
      <c r="L659" t="s">
        <v>245</v>
      </c>
      <c r="M659" t="s">
        <v>253</v>
      </c>
      <c r="N659" t="s">
        <v>247</v>
      </c>
      <c r="O659">
        <v>42232</v>
      </c>
      <c r="P659">
        <v>3.75</v>
      </c>
      <c r="Q659">
        <v>7.08</v>
      </c>
      <c r="R659">
        <f t="shared" si="61"/>
        <v>3.33</v>
      </c>
      <c r="S659">
        <v>48</v>
      </c>
      <c r="T659">
        <f t="shared" si="62"/>
        <v>339.84000000000003</v>
      </c>
      <c r="U659">
        <v>0.03</v>
      </c>
      <c r="V659">
        <f t="shared" si="63"/>
        <v>10.1952</v>
      </c>
      <c r="W659">
        <f t="shared" si="64"/>
        <v>329.64480000000003</v>
      </c>
      <c r="X659">
        <v>2.35</v>
      </c>
      <c r="Y659">
        <f t="shared" si="65"/>
        <v>331.99480000000005</v>
      </c>
    </row>
    <row r="660" spans="1:25" x14ac:dyDescent="0.25">
      <c r="A660" t="s">
        <v>1644</v>
      </c>
      <c r="B660">
        <v>42231</v>
      </c>
      <c r="C660" t="str">
        <f t="shared" si="60"/>
        <v>2015</v>
      </c>
      <c r="D660" t="s">
        <v>513</v>
      </c>
      <c r="E660" t="s">
        <v>511</v>
      </c>
      <c r="F660" t="s">
        <v>257</v>
      </c>
      <c r="G660" t="s">
        <v>258</v>
      </c>
      <c r="H660" t="s">
        <v>274</v>
      </c>
      <c r="I660" t="s">
        <v>381</v>
      </c>
      <c r="J660" t="s">
        <v>243</v>
      </c>
      <c r="K660" t="s">
        <v>653</v>
      </c>
      <c r="L660" t="s">
        <v>245</v>
      </c>
      <c r="M660" t="s">
        <v>246</v>
      </c>
      <c r="N660" t="s">
        <v>263</v>
      </c>
      <c r="O660">
        <v>42233</v>
      </c>
      <c r="P660">
        <v>3.5</v>
      </c>
      <c r="Q660">
        <v>5.74</v>
      </c>
      <c r="R660">
        <f t="shared" si="61"/>
        <v>2.2400000000000002</v>
      </c>
      <c r="S660">
        <v>32</v>
      </c>
      <c r="T660">
        <f t="shared" si="62"/>
        <v>183.68</v>
      </c>
      <c r="U660">
        <v>0.08</v>
      </c>
      <c r="V660">
        <f t="shared" si="63"/>
        <v>14.694400000000002</v>
      </c>
      <c r="W660">
        <f t="shared" si="64"/>
        <v>168.98560000000001</v>
      </c>
      <c r="X660">
        <v>5.01</v>
      </c>
      <c r="Y660">
        <f t="shared" si="65"/>
        <v>173.9956</v>
      </c>
    </row>
    <row r="661" spans="1:25" x14ac:dyDescent="0.25">
      <c r="A661" t="s">
        <v>1645</v>
      </c>
      <c r="B661">
        <v>42237</v>
      </c>
      <c r="C661" t="str">
        <f t="shared" si="60"/>
        <v>2015</v>
      </c>
      <c r="D661" t="s">
        <v>1627</v>
      </c>
      <c r="E661" t="s">
        <v>1628</v>
      </c>
      <c r="F661" t="s">
        <v>257</v>
      </c>
      <c r="G661" t="s">
        <v>258</v>
      </c>
      <c r="H661" t="s">
        <v>241</v>
      </c>
      <c r="I661" t="s">
        <v>275</v>
      </c>
      <c r="J661" t="s">
        <v>294</v>
      </c>
      <c r="K661" t="s">
        <v>661</v>
      </c>
      <c r="L661" t="s">
        <v>245</v>
      </c>
      <c r="M661" t="s">
        <v>246</v>
      </c>
      <c r="N661" t="s">
        <v>247</v>
      </c>
      <c r="O661">
        <v>42239</v>
      </c>
      <c r="P661">
        <v>2.1800000000000002</v>
      </c>
      <c r="Q661">
        <v>3.52</v>
      </c>
      <c r="R661">
        <f t="shared" si="61"/>
        <v>1.3399999999999999</v>
      </c>
      <c r="S661">
        <v>38</v>
      </c>
      <c r="T661">
        <f t="shared" si="62"/>
        <v>133.76</v>
      </c>
      <c r="U661">
        <v>0.09</v>
      </c>
      <c r="V661">
        <f t="shared" si="63"/>
        <v>12.038399999999999</v>
      </c>
      <c r="W661">
        <f t="shared" si="64"/>
        <v>121.7216</v>
      </c>
      <c r="X661">
        <v>6.83</v>
      </c>
      <c r="Y661">
        <f t="shared" si="65"/>
        <v>128.55160000000001</v>
      </c>
    </row>
    <row r="662" spans="1:25" x14ac:dyDescent="0.25">
      <c r="A662" t="s">
        <v>1646</v>
      </c>
      <c r="B662">
        <v>42238</v>
      </c>
      <c r="C662" t="str">
        <f t="shared" si="60"/>
        <v>2015</v>
      </c>
      <c r="D662" t="s">
        <v>1590</v>
      </c>
      <c r="E662" t="s">
        <v>912</v>
      </c>
      <c r="F662" t="s">
        <v>257</v>
      </c>
      <c r="G662" t="s">
        <v>258</v>
      </c>
      <c r="H662" t="s">
        <v>241</v>
      </c>
      <c r="I662" t="s">
        <v>372</v>
      </c>
      <c r="J662" t="s">
        <v>279</v>
      </c>
      <c r="K662" t="s">
        <v>384</v>
      </c>
      <c r="L662" t="s">
        <v>268</v>
      </c>
      <c r="M662" t="s">
        <v>246</v>
      </c>
      <c r="N662" t="s">
        <v>247</v>
      </c>
      <c r="O662">
        <v>42243</v>
      </c>
      <c r="P662">
        <v>10.07</v>
      </c>
      <c r="Q662">
        <v>15.98</v>
      </c>
      <c r="R662">
        <f t="shared" si="61"/>
        <v>5.91</v>
      </c>
      <c r="S662">
        <v>6</v>
      </c>
      <c r="T662">
        <f t="shared" si="62"/>
        <v>95.88</v>
      </c>
      <c r="U662">
        <v>0.1</v>
      </c>
      <c r="V662">
        <f t="shared" si="63"/>
        <v>9.5879999999999992</v>
      </c>
      <c r="W662">
        <f t="shared" si="64"/>
        <v>86.292000000000002</v>
      </c>
      <c r="X662">
        <v>4</v>
      </c>
      <c r="Y662">
        <f t="shared" si="65"/>
        <v>90.292000000000002</v>
      </c>
    </row>
    <row r="663" spans="1:25" x14ac:dyDescent="0.25">
      <c r="A663" t="s">
        <v>1647</v>
      </c>
      <c r="B663">
        <v>42239</v>
      </c>
      <c r="C663" t="str">
        <f t="shared" si="60"/>
        <v>2015</v>
      </c>
      <c r="D663" t="s">
        <v>1648</v>
      </c>
      <c r="E663" t="s">
        <v>1115</v>
      </c>
      <c r="F663" t="s">
        <v>239</v>
      </c>
      <c r="G663" t="s">
        <v>240</v>
      </c>
      <c r="H663" t="s">
        <v>293</v>
      </c>
      <c r="I663" t="s">
        <v>242</v>
      </c>
      <c r="J663" t="s">
        <v>279</v>
      </c>
      <c r="K663" t="s">
        <v>1473</v>
      </c>
      <c r="L663" t="s">
        <v>245</v>
      </c>
      <c r="M663" t="s">
        <v>246</v>
      </c>
      <c r="N663" t="s">
        <v>263</v>
      </c>
      <c r="O663">
        <v>42246</v>
      </c>
      <c r="P663">
        <v>3.53</v>
      </c>
      <c r="Q663">
        <v>8.6199999999999992</v>
      </c>
      <c r="R663">
        <f t="shared" si="61"/>
        <v>5.09</v>
      </c>
      <c r="S663">
        <v>8</v>
      </c>
      <c r="T663">
        <f t="shared" si="62"/>
        <v>68.959999999999994</v>
      </c>
      <c r="U663">
        <v>0</v>
      </c>
      <c r="V663">
        <f t="shared" si="63"/>
        <v>0</v>
      </c>
      <c r="W663">
        <f t="shared" si="64"/>
        <v>68.959999999999994</v>
      </c>
      <c r="X663">
        <v>4.5</v>
      </c>
      <c r="Y663">
        <f t="shared" si="65"/>
        <v>73.459999999999994</v>
      </c>
    </row>
    <row r="664" spans="1:25" x14ac:dyDescent="0.25">
      <c r="A664" t="s">
        <v>1649</v>
      </c>
      <c r="B664">
        <v>42240</v>
      </c>
      <c r="C664" t="str">
        <f t="shared" si="60"/>
        <v>2015</v>
      </c>
      <c r="D664" t="s">
        <v>1122</v>
      </c>
      <c r="E664" t="s">
        <v>420</v>
      </c>
      <c r="F664" t="s">
        <v>239</v>
      </c>
      <c r="G664" t="s">
        <v>240</v>
      </c>
      <c r="H664" t="s">
        <v>293</v>
      </c>
      <c r="I664" t="s">
        <v>251</v>
      </c>
      <c r="J664" t="s">
        <v>243</v>
      </c>
      <c r="K664" t="s">
        <v>1042</v>
      </c>
      <c r="L664" t="s">
        <v>245</v>
      </c>
      <c r="M664" t="s">
        <v>246</v>
      </c>
      <c r="N664" t="s">
        <v>263</v>
      </c>
      <c r="O664">
        <v>42241</v>
      </c>
      <c r="P664">
        <v>84.22</v>
      </c>
      <c r="Q664">
        <v>210.55</v>
      </c>
      <c r="R664">
        <f t="shared" si="61"/>
        <v>126.33000000000001</v>
      </c>
      <c r="S664">
        <v>2</v>
      </c>
      <c r="T664">
        <f t="shared" si="62"/>
        <v>421.1</v>
      </c>
      <c r="U664">
        <v>0.05</v>
      </c>
      <c r="V664">
        <f t="shared" si="63"/>
        <v>21.055000000000003</v>
      </c>
      <c r="W664">
        <f t="shared" si="64"/>
        <v>400.04500000000002</v>
      </c>
      <c r="X664">
        <v>9.99</v>
      </c>
      <c r="Y664">
        <f t="shared" si="65"/>
        <v>410.03500000000003</v>
      </c>
    </row>
    <row r="665" spans="1:25" x14ac:dyDescent="0.25">
      <c r="A665" t="s">
        <v>1650</v>
      </c>
      <c r="B665">
        <v>42240</v>
      </c>
      <c r="C665" t="str">
        <f t="shared" si="60"/>
        <v>2015</v>
      </c>
      <c r="D665" t="s">
        <v>1651</v>
      </c>
      <c r="E665" t="s">
        <v>412</v>
      </c>
      <c r="F665" t="s">
        <v>257</v>
      </c>
      <c r="G665" t="s">
        <v>258</v>
      </c>
      <c r="H665" t="s">
        <v>259</v>
      </c>
      <c r="I665" t="s">
        <v>342</v>
      </c>
      <c r="J665" t="s">
        <v>279</v>
      </c>
      <c r="K665" t="s">
        <v>1082</v>
      </c>
      <c r="L665" t="s">
        <v>245</v>
      </c>
      <c r="M665" t="s">
        <v>253</v>
      </c>
      <c r="N665" t="s">
        <v>247</v>
      </c>
      <c r="O665">
        <v>42244</v>
      </c>
      <c r="P665">
        <v>1.0900000000000001</v>
      </c>
      <c r="Q665">
        <v>1.82</v>
      </c>
      <c r="R665">
        <f t="shared" si="61"/>
        <v>0.73</v>
      </c>
      <c r="S665">
        <v>42</v>
      </c>
      <c r="T665">
        <f t="shared" si="62"/>
        <v>76.44</v>
      </c>
      <c r="U665">
        <v>0.08</v>
      </c>
      <c r="V665">
        <f t="shared" si="63"/>
        <v>6.1151999999999997</v>
      </c>
      <c r="W665">
        <f t="shared" si="64"/>
        <v>70.324799999999996</v>
      </c>
      <c r="X665">
        <v>1</v>
      </c>
      <c r="Y665">
        <f t="shared" si="65"/>
        <v>71.324799999999996</v>
      </c>
    </row>
    <row r="666" spans="1:25" x14ac:dyDescent="0.25">
      <c r="A666" t="s">
        <v>1652</v>
      </c>
      <c r="B666">
        <v>42240</v>
      </c>
      <c r="C666" t="str">
        <f t="shared" si="60"/>
        <v>2015</v>
      </c>
      <c r="D666" t="s">
        <v>778</v>
      </c>
      <c r="E666" t="s">
        <v>767</v>
      </c>
      <c r="F666" t="s">
        <v>257</v>
      </c>
      <c r="G666" t="s">
        <v>258</v>
      </c>
      <c r="H666" t="s">
        <v>293</v>
      </c>
      <c r="I666" t="s">
        <v>260</v>
      </c>
      <c r="J666" t="s">
        <v>261</v>
      </c>
      <c r="K666" t="s">
        <v>786</v>
      </c>
      <c r="L666" t="s">
        <v>245</v>
      </c>
      <c r="M666" t="s">
        <v>323</v>
      </c>
      <c r="N666" t="s">
        <v>247</v>
      </c>
      <c r="O666">
        <v>42242</v>
      </c>
      <c r="P666">
        <v>16.8</v>
      </c>
      <c r="Q666">
        <v>40.97</v>
      </c>
      <c r="R666">
        <f t="shared" si="61"/>
        <v>24.169999999999998</v>
      </c>
      <c r="S666">
        <v>28</v>
      </c>
      <c r="T666">
        <f t="shared" si="62"/>
        <v>1147.1599999999999</v>
      </c>
      <c r="U666">
        <v>0.04</v>
      </c>
      <c r="V666">
        <f t="shared" si="63"/>
        <v>45.886399999999995</v>
      </c>
      <c r="W666">
        <f t="shared" si="64"/>
        <v>1101.2735999999998</v>
      </c>
      <c r="X666">
        <v>8.99</v>
      </c>
      <c r="Y666">
        <f t="shared" si="65"/>
        <v>1110.2635999999998</v>
      </c>
    </row>
    <row r="667" spans="1:25" x14ac:dyDescent="0.25">
      <c r="A667" t="s">
        <v>1653</v>
      </c>
      <c r="B667">
        <v>42242</v>
      </c>
      <c r="C667" t="str">
        <f t="shared" si="60"/>
        <v>2015</v>
      </c>
      <c r="D667" t="s">
        <v>375</v>
      </c>
      <c r="E667" t="s">
        <v>376</v>
      </c>
      <c r="F667" t="s">
        <v>239</v>
      </c>
      <c r="G667" t="s">
        <v>240</v>
      </c>
      <c r="H667" t="s">
        <v>259</v>
      </c>
      <c r="I667" t="s">
        <v>242</v>
      </c>
      <c r="J667" t="s">
        <v>304</v>
      </c>
      <c r="K667" t="s">
        <v>986</v>
      </c>
      <c r="L667" t="s">
        <v>245</v>
      </c>
      <c r="M667" t="s">
        <v>246</v>
      </c>
      <c r="N667" t="s">
        <v>247</v>
      </c>
      <c r="O667">
        <v>42244</v>
      </c>
      <c r="P667">
        <v>52.04</v>
      </c>
      <c r="Q667">
        <v>83.93</v>
      </c>
      <c r="R667">
        <f t="shared" si="61"/>
        <v>31.890000000000008</v>
      </c>
      <c r="S667">
        <v>3</v>
      </c>
      <c r="T667">
        <f t="shared" si="62"/>
        <v>251.79000000000002</v>
      </c>
      <c r="U667">
        <v>0</v>
      </c>
      <c r="V667">
        <f t="shared" si="63"/>
        <v>0</v>
      </c>
      <c r="W667">
        <f t="shared" si="64"/>
        <v>251.79000000000002</v>
      </c>
      <c r="X667">
        <v>19.989999999999998</v>
      </c>
      <c r="Y667">
        <f t="shared" si="65"/>
        <v>271.78000000000003</v>
      </c>
    </row>
    <row r="668" spans="1:25" x14ac:dyDescent="0.25">
      <c r="A668" t="s">
        <v>1654</v>
      </c>
      <c r="B668">
        <v>42242</v>
      </c>
      <c r="C668" t="str">
        <f t="shared" si="60"/>
        <v>2015</v>
      </c>
      <c r="D668" t="s">
        <v>345</v>
      </c>
      <c r="E668" t="s">
        <v>346</v>
      </c>
      <c r="F668" t="s">
        <v>257</v>
      </c>
      <c r="G668" t="s">
        <v>258</v>
      </c>
      <c r="H668" t="s">
        <v>259</v>
      </c>
      <c r="I668" t="s">
        <v>309</v>
      </c>
      <c r="J668" t="s">
        <v>294</v>
      </c>
      <c r="K668" t="s">
        <v>799</v>
      </c>
      <c r="L668" t="s">
        <v>245</v>
      </c>
      <c r="M668" t="s">
        <v>246</v>
      </c>
      <c r="N668" t="s">
        <v>247</v>
      </c>
      <c r="O668">
        <v>42243</v>
      </c>
      <c r="P668">
        <v>2.29</v>
      </c>
      <c r="Q668">
        <v>3.69</v>
      </c>
      <c r="R668">
        <f t="shared" si="61"/>
        <v>1.4</v>
      </c>
      <c r="S668">
        <v>39</v>
      </c>
      <c r="T668">
        <f t="shared" si="62"/>
        <v>143.91</v>
      </c>
      <c r="U668">
        <v>0.03</v>
      </c>
      <c r="V668">
        <f t="shared" si="63"/>
        <v>4.3172999999999995</v>
      </c>
      <c r="W668">
        <f t="shared" si="64"/>
        <v>139.59270000000001</v>
      </c>
      <c r="X668">
        <v>0.5</v>
      </c>
      <c r="Y668">
        <f t="shared" si="65"/>
        <v>140.09270000000001</v>
      </c>
    </row>
    <row r="669" spans="1:25" x14ac:dyDescent="0.25">
      <c r="A669" t="s">
        <v>1655</v>
      </c>
      <c r="B669">
        <v>42244</v>
      </c>
      <c r="C669" t="str">
        <f t="shared" si="60"/>
        <v>2015</v>
      </c>
      <c r="D669" t="s">
        <v>826</v>
      </c>
      <c r="E669" t="s">
        <v>352</v>
      </c>
      <c r="F669" t="s">
        <v>257</v>
      </c>
      <c r="G669" t="s">
        <v>258</v>
      </c>
      <c r="H669" t="s">
        <v>293</v>
      </c>
      <c r="I669" t="s">
        <v>275</v>
      </c>
      <c r="J669" t="s">
        <v>261</v>
      </c>
      <c r="K669" t="s">
        <v>617</v>
      </c>
      <c r="L669" t="s">
        <v>245</v>
      </c>
      <c r="M669" t="s">
        <v>246</v>
      </c>
      <c r="N669" t="s">
        <v>247</v>
      </c>
      <c r="O669">
        <v>42246</v>
      </c>
      <c r="P669">
        <v>1.94</v>
      </c>
      <c r="Q669">
        <v>3.08</v>
      </c>
      <c r="R669">
        <f t="shared" si="61"/>
        <v>1.1400000000000001</v>
      </c>
      <c r="S669">
        <v>6</v>
      </c>
      <c r="T669">
        <f t="shared" si="62"/>
        <v>18.48</v>
      </c>
      <c r="U669">
        <v>0.02</v>
      </c>
      <c r="V669">
        <f t="shared" si="63"/>
        <v>0.36960000000000004</v>
      </c>
      <c r="W669">
        <f t="shared" si="64"/>
        <v>18.110400000000002</v>
      </c>
      <c r="X669">
        <v>0.99</v>
      </c>
      <c r="Y669">
        <f t="shared" si="65"/>
        <v>19.1004</v>
      </c>
    </row>
    <row r="670" spans="1:25" x14ac:dyDescent="0.25">
      <c r="A670" t="s">
        <v>1656</v>
      </c>
      <c r="B670">
        <v>42246</v>
      </c>
      <c r="C670" t="str">
        <f t="shared" si="60"/>
        <v>2015</v>
      </c>
      <c r="D670" t="s">
        <v>1657</v>
      </c>
      <c r="E670" t="s">
        <v>1658</v>
      </c>
      <c r="F670" t="s">
        <v>257</v>
      </c>
      <c r="G670" t="s">
        <v>258</v>
      </c>
      <c r="H670" t="s">
        <v>259</v>
      </c>
      <c r="I670" t="s">
        <v>260</v>
      </c>
      <c r="J670" t="s">
        <v>304</v>
      </c>
      <c r="K670" t="s">
        <v>748</v>
      </c>
      <c r="L670" t="s">
        <v>268</v>
      </c>
      <c r="M670" t="s">
        <v>246</v>
      </c>
      <c r="N670" t="s">
        <v>247</v>
      </c>
      <c r="O670">
        <v>42248</v>
      </c>
      <c r="P670">
        <v>41.28</v>
      </c>
      <c r="Q670">
        <v>95.99</v>
      </c>
      <c r="R670">
        <f t="shared" si="61"/>
        <v>54.709999999999994</v>
      </c>
      <c r="S670">
        <v>26</v>
      </c>
      <c r="T670">
        <f t="shared" si="62"/>
        <v>2495.7399999999998</v>
      </c>
      <c r="U670">
        <v>0.02</v>
      </c>
      <c r="V670">
        <f t="shared" si="63"/>
        <v>49.9148</v>
      </c>
      <c r="W670">
        <f t="shared" si="64"/>
        <v>2445.8251999999998</v>
      </c>
      <c r="X670">
        <v>8.99</v>
      </c>
      <c r="Y670">
        <f t="shared" si="65"/>
        <v>2454.8151999999995</v>
      </c>
    </row>
    <row r="671" spans="1:25" x14ac:dyDescent="0.25">
      <c r="A671" t="s">
        <v>1659</v>
      </c>
      <c r="B671">
        <v>42247</v>
      </c>
      <c r="C671" t="str">
        <f t="shared" si="60"/>
        <v>2015</v>
      </c>
      <c r="D671" t="s">
        <v>1660</v>
      </c>
      <c r="E671" t="s">
        <v>1661</v>
      </c>
      <c r="F671" t="s">
        <v>448</v>
      </c>
      <c r="G671" t="s">
        <v>449</v>
      </c>
      <c r="H671" t="s">
        <v>274</v>
      </c>
      <c r="I671" t="s">
        <v>381</v>
      </c>
      <c r="J671" t="s">
        <v>279</v>
      </c>
      <c r="K671" t="s">
        <v>533</v>
      </c>
      <c r="L671" t="s">
        <v>245</v>
      </c>
      <c r="M671" t="s">
        <v>246</v>
      </c>
      <c r="N671" t="s">
        <v>247</v>
      </c>
      <c r="O671">
        <v>42247</v>
      </c>
      <c r="P671">
        <v>3.4</v>
      </c>
      <c r="Q671">
        <v>5.4</v>
      </c>
      <c r="R671">
        <f t="shared" si="61"/>
        <v>2.0000000000000004</v>
      </c>
      <c r="S671">
        <v>14</v>
      </c>
      <c r="T671">
        <f t="shared" si="62"/>
        <v>75.600000000000009</v>
      </c>
      <c r="U671">
        <v>0.02</v>
      </c>
      <c r="V671">
        <f t="shared" si="63"/>
        <v>1.5120000000000002</v>
      </c>
      <c r="W671">
        <f t="shared" si="64"/>
        <v>74.088000000000008</v>
      </c>
      <c r="X671">
        <v>7.78</v>
      </c>
      <c r="Y671">
        <f t="shared" si="65"/>
        <v>81.868000000000009</v>
      </c>
    </row>
    <row r="672" spans="1:25" x14ac:dyDescent="0.25">
      <c r="A672" t="s">
        <v>1662</v>
      </c>
      <c r="B672">
        <v>42247</v>
      </c>
      <c r="C672" t="str">
        <f t="shared" si="60"/>
        <v>2015</v>
      </c>
      <c r="D672" t="s">
        <v>1663</v>
      </c>
      <c r="E672" t="s">
        <v>633</v>
      </c>
      <c r="F672" t="s">
        <v>239</v>
      </c>
      <c r="G672" t="s">
        <v>240</v>
      </c>
      <c r="H672" t="s">
        <v>241</v>
      </c>
      <c r="I672" t="s">
        <v>242</v>
      </c>
      <c r="J672" t="s">
        <v>261</v>
      </c>
      <c r="K672" t="s">
        <v>607</v>
      </c>
      <c r="L672" t="s">
        <v>245</v>
      </c>
      <c r="M672" t="s">
        <v>246</v>
      </c>
      <c r="N672" t="s">
        <v>247</v>
      </c>
      <c r="O672">
        <v>42248</v>
      </c>
      <c r="P672">
        <v>4.46</v>
      </c>
      <c r="Q672">
        <v>10.89</v>
      </c>
      <c r="R672">
        <f t="shared" si="61"/>
        <v>6.4300000000000006</v>
      </c>
      <c r="S672">
        <v>50</v>
      </c>
      <c r="T672">
        <f t="shared" si="62"/>
        <v>544.5</v>
      </c>
      <c r="U672">
        <v>0.09</v>
      </c>
      <c r="V672">
        <f t="shared" si="63"/>
        <v>49.004999999999995</v>
      </c>
      <c r="W672">
        <f t="shared" si="64"/>
        <v>495.495</v>
      </c>
      <c r="X672">
        <v>4.5</v>
      </c>
      <c r="Y672">
        <f t="shared" si="65"/>
        <v>499.995</v>
      </c>
    </row>
    <row r="673" spans="1:25" x14ac:dyDescent="0.25">
      <c r="A673" t="s">
        <v>1664</v>
      </c>
      <c r="B673">
        <v>42249</v>
      </c>
      <c r="C673" t="str">
        <f t="shared" si="60"/>
        <v>2015</v>
      </c>
      <c r="D673" t="s">
        <v>1231</v>
      </c>
      <c r="E673" t="s">
        <v>558</v>
      </c>
      <c r="F673" t="s">
        <v>257</v>
      </c>
      <c r="G673" t="s">
        <v>258</v>
      </c>
      <c r="H673" t="s">
        <v>241</v>
      </c>
      <c r="I673" t="s">
        <v>333</v>
      </c>
      <c r="J673" t="s">
        <v>304</v>
      </c>
      <c r="K673" t="s">
        <v>482</v>
      </c>
      <c r="L673" t="s">
        <v>268</v>
      </c>
      <c r="M673" t="s">
        <v>246</v>
      </c>
      <c r="N673" t="s">
        <v>247</v>
      </c>
      <c r="O673">
        <v>42252</v>
      </c>
      <c r="P673">
        <v>60.59</v>
      </c>
      <c r="Q673">
        <v>100.98</v>
      </c>
      <c r="R673">
        <f t="shared" si="61"/>
        <v>40.39</v>
      </c>
      <c r="S673">
        <v>9</v>
      </c>
      <c r="T673">
        <f t="shared" si="62"/>
        <v>908.82</v>
      </c>
      <c r="U673">
        <v>0.1</v>
      </c>
      <c r="V673">
        <f t="shared" si="63"/>
        <v>90.882000000000005</v>
      </c>
      <c r="W673">
        <f t="shared" si="64"/>
        <v>817.9380000000001</v>
      </c>
      <c r="X673">
        <v>7.18</v>
      </c>
      <c r="Y673">
        <f t="shared" si="65"/>
        <v>825.11800000000005</v>
      </c>
    </row>
    <row r="674" spans="1:25" x14ac:dyDescent="0.25">
      <c r="A674" t="s">
        <v>1665</v>
      </c>
      <c r="B674">
        <v>42249</v>
      </c>
      <c r="C674" t="str">
        <f t="shared" si="60"/>
        <v>2015</v>
      </c>
      <c r="D674" t="s">
        <v>766</v>
      </c>
      <c r="E674" t="s">
        <v>767</v>
      </c>
      <c r="F674" t="s">
        <v>257</v>
      </c>
      <c r="G674" t="s">
        <v>258</v>
      </c>
      <c r="H674" t="s">
        <v>259</v>
      </c>
      <c r="I674" t="s">
        <v>260</v>
      </c>
      <c r="J674" t="s">
        <v>304</v>
      </c>
      <c r="K674" t="s">
        <v>464</v>
      </c>
      <c r="L674" t="s">
        <v>268</v>
      </c>
      <c r="M674" t="s">
        <v>246</v>
      </c>
      <c r="N674" t="s">
        <v>247</v>
      </c>
      <c r="O674">
        <v>42251</v>
      </c>
      <c r="P674">
        <v>156.5</v>
      </c>
      <c r="Q674">
        <v>300.97000000000003</v>
      </c>
      <c r="R674">
        <f t="shared" si="61"/>
        <v>144.47000000000003</v>
      </c>
      <c r="S674">
        <v>20</v>
      </c>
      <c r="T674">
        <f t="shared" si="62"/>
        <v>6019.4000000000005</v>
      </c>
      <c r="U674">
        <v>0.05</v>
      </c>
      <c r="V674">
        <f t="shared" si="63"/>
        <v>300.97000000000003</v>
      </c>
      <c r="W674">
        <f t="shared" si="64"/>
        <v>5718.43</v>
      </c>
      <c r="X674">
        <v>7.18</v>
      </c>
      <c r="Y674">
        <f t="shared" si="65"/>
        <v>5725.6100000000006</v>
      </c>
    </row>
    <row r="675" spans="1:25" x14ac:dyDescent="0.25">
      <c r="A675" t="s">
        <v>1666</v>
      </c>
      <c r="B675">
        <v>42250</v>
      </c>
      <c r="C675" t="str">
        <f t="shared" si="60"/>
        <v>2015</v>
      </c>
      <c r="D675" t="s">
        <v>705</v>
      </c>
      <c r="E675" t="s">
        <v>706</v>
      </c>
      <c r="F675" t="s">
        <v>257</v>
      </c>
      <c r="G675" t="s">
        <v>258</v>
      </c>
      <c r="H675" t="s">
        <v>259</v>
      </c>
      <c r="I675" t="s">
        <v>299</v>
      </c>
      <c r="J675" t="s">
        <v>279</v>
      </c>
      <c r="K675" t="s">
        <v>607</v>
      </c>
      <c r="L675" t="s">
        <v>245</v>
      </c>
      <c r="M675" t="s">
        <v>246</v>
      </c>
      <c r="N675" t="s">
        <v>247</v>
      </c>
      <c r="O675">
        <v>42254</v>
      </c>
      <c r="P675">
        <v>4.46</v>
      </c>
      <c r="Q675">
        <v>10.89</v>
      </c>
      <c r="R675">
        <f t="shared" si="61"/>
        <v>6.4300000000000006</v>
      </c>
      <c r="S675">
        <v>3</v>
      </c>
      <c r="T675">
        <f t="shared" si="62"/>
        <v>32.67</v>
      </c>
      <c r="U675">
        <v>0.08</v>
      </c>
      <c r="V675">
        <f t="shared" si="63"/>
        <v>2.6136000000000004</v>
      </c>
      <c r="W675">
        <f t="shared" si="64"/>
        <v>30.0564</v>
      </c>
      <c r="X675">
        <v>4.5</v>
      </c>
      <c r="Y675">
        <f t="shared" si="65"/>
        <v>34.556399999999996</v>
      </c>
    </row>
    <row r="676" spans="1:25" x14ac:dyDescent="0.25">
      <c r="A676" t="s">
        <v>1667</v>
      </c>
      <c r="B676">
        <v>42251</v>
      </c>
      <c r="C676" t="str">
        <f t="shared" si="60"/>
        <v>2015</v>
      </c>
      <c r="D676" t="s">
        <v>1668</v>
      </c>
      <c r="E676" t="s">
        <v>528</v>
      </c>
      <c r="F676" t="s">
        <v>239</v>
      </c>
      <c r="G676" t="s">
        <v>240</v>
      </c>
      <c r="H676" t="s">
        <v>274</v>
      </c>
      <c r="I676" t="s">
        <v>251</v>
      </c>
      <c r="J676" t="s">
        <v>304</v>
      </c>
      <c r="K676" t="s">
        <v>267</v>
      </c>
      <c r="L676" t="s">
        <v>268</v>
      </c>
      <c r="M676" t="s">
        <v>269</v>
      </c>
      <c r="N676" t="s">
        <v>270</v>
      </c>
      <c r="O676">
        <v>42253</v>
      </c>
      <c r="P676">
        <v>75</v>
      </c>
      <c r="Q676">
        <v>120.97</v>
      </c>
      <c r="R676">
        <f t="shared" si="61"/>
        <v>45.97</v>
      </c>
      <c r="S676">
        <v>46</v>
      </c>
      <c r="T676">
        <f t="shared" si="62"/>
        <v>5564.62</v>
      </c>
      <c r="U676">
        <v>7.0000000000000007E-2</v>
      </c>
      <c r="V676">
        <f t="shared" si="63"/>
        <v>389.52340000000004</v>
      </c>
      <c r="W676">
        <f t="shared" si="64"/>
        <v>5175.0965999999999</v>
      </c>
      <c r="X676">
        <v>26.3</v>
      </c>
      <c r="Y676">
        <f t="shared" si="65"/>
        <v>5201.3966</v>
      </c>
    </row>
    <row r="677" spans="1:25" x14ac:dyDescent="0.25">
      <c r="A677" t="s">
        <v>1669</v>
      </c>
      <c r="B677">
        <v>42253</v>
      </c>
      <c r="C677" t="str">
        <f t="shared" si="60"/>
        <v>2015</v>
      </c>
      <c r="D677" t="s">
        <v>539</v>
      </c>
      <c r="E677" t="s">
        <v>540</v>
      </c>
      <c r="F677" t="s">
        <v>448</v>
      </c>
      <c r="G677" t="s">
        <v>449</v>
      </c>
      <c r="H677" t="s">
        <v>259</v>
      </c>
      <c r="I677" t="s">
        <v>299</v>
      </c>
      <c r="J677" t="s">
        <v>261</v>
      </c>
      <c r="K677" t="s">
        <v>482</v>
      </c>
      <c r="L677" t="s">
        <v>268</v>
      </c>
      <c r="M677" t="s">
        <v>246</v>
      </c>
      <c r="N677" t="s">
        <v>247</v>
      </c>
      <c r="O677">
        <v>42254</v>
      </c>
      <c r="P677">
        <v>60.59</v>
      </c>
      <c r="Q677">
        <v>100.98</v>
      </c>
      <c r="R677">
        <f t="shared" si="61"/>
        <v>40.39</v>
      </c>
      <c r="S677">
        <v>44</v>
      </c>
      <c r="T677">
        <f t="shared" si="62"/>
        <v>4443.12</v>
      </c>
      <c r="U677">
        <v>0.09</v>
      </c>
      <c r="V677">
        <f t="shared" si="63"/>
        <v>399.88079999999997</v>
      </c>
      <c r="W677">
        <f t="shared" si="64"/>
        <v>4043.2392</v>
      </c>
      <c r="X677">
        <v>7.18</v>
      </c>
      <c r="Y677">
        <f t="shared" si="65"/>
        <v>4050.4191999999998</v>
      </c>
    </row>
    <row r="678" spans="1:25" x14ac:dyDescent="0.25">
      <c r="A678" t="s">
        <v>1670</v>
      </c>
      <c r="B678">
        <v>42254</v>
      </c>
      <c r="C678" t="str">
        <f t="shared" si="60"/>
        <v>2015</v>
      </c>
      <c r="D678" t="s">
        <v>1671</v>
      </c>
      <c r="E678" t="s">
        <v>546</v>
      </c>
      <c r="F678" t="s">
        <v>257</v>
      </c>
      <c r="G678" t="s">
        <v>258</v>
      </c>
      <c r="H678" t="s">
        <v>293</v>
      </c>
      <c r="I678" t="s">
        <v>260</v>
      </c>
      <c r="J678" t="s">
        <v>243</v>
      </c>
      <c r="K678" t="s">
        <v>387</v>
      </c>
      <c r="L678" t="s">
        <v>245</v>
      </c>
      <c r="M678" t="s">
        <v>323</v>
      </c>
      <c r="N678" t="s">
        <v>247</v>
      </c>
      <c r="O678">
        <v>42256</v>
      </c>
      <c r="P678">
        <v>4.79</v>
      </c>
      <c r="Q678">
        <v>11.97</v>
      </c>
      <c r="R678">
        <f t="shared" si="61"/>
        <v>7.1800000000000006</v>
      </c>
      <c r="S678">
        <v>48</v>
      </c>
      <c r="T678">
        <f t="shared" si="62"/>
        <v>574.56000000000006</v>
      </c>
      <c r="U678">
        <v>0.02</v>
      </c>
      <c r="V678">
        <f t="shared" si="63"/>
        <v>11.491200000000001</v>
      </c>
      <c r="W678">
        <f t="shared" si="64"/>
        <v>563.06880000000001</v>
      </c>
      <c r="X678">
        <v>5.81</v>
      </c>
      <c r="Y678">
        <f t="shared" si="65"/>
        <v>568.87879999999996</v>
      </c>
    </row>
    <row r="679" spans="1:25" x14ac:dyDescent="0.25">
      <c r="A679" t="s">
        <v>1672</v>
      </c>
      <c r="B679">
        <v>42255</v>
      </c>
      <c r="C679" t="str">
        <f t="shared" si="60"/>
        <v>2015</v>
      </c>
      <c r="D679" t="s">
        <v>506</v>
      </c>
      <c r="E679" t="s">
        <v>507</v>
      </c>
      <c r="F679" t="s">
        <v>257</v>
      </c>
      <c r="G679" t="s">
        <v>258</v>
      </c>
      <c r="H679" t="s">
        <v>259</v>
      </c>
      <c r="I679" t="s">
        <v>381</v>
      </c>
      <c r="J679" t="s">
        <v>243</v>
      </c>
      <c r="K679" t="s">
        <v>698</v>
      </c>
      <c r="L679" t="s">
        <v>245</v>
      </c>
      <c r="M679" t="s">
        <v>253</v>
      </c>
      <c r="N679" t="s">
        <v>247</v>
      </c>
      <c r="O679">
        <v>42257</v>
      </c>
      <c r="P679">
        <v>3.32</v>
      </c>
      <c r="Q679">
        <v>5.18</v>
      </c>
      <c r="R679">
        <f t="shared" si="61"/>
        <v>1.8599999999999999</v>
      </c>
      <c r="S679">
        <v>20</v>
      </c>
      <c r="T679">
        <f t="shared" si="62"/>
        <v>103.6</v>
      </c>
      <c r="U679">
        <v>0.06</v>
      </c>
      <c r="V679">
        <f t="shared" si="63"/>
        <v>6.2159999999999993</v>
      </c>
      <c r="W679">
        <f t="shared" si="64"/>
        <v>97.384</v>
      </c>
      <c r="X679">
        <v>2.04</v>
      </c>
      <c r="Y679">
        <f t="shared" si="65"/>
        <v>99.424000000000007</v>
      </c>
    </row>
    <row r="680" spans="1:25" x14ac:dyDescent="0.25">
      <c r="A680" t="s">
        <v>1673</v>
      </c>
      <c r="B680">
        <v>42255</v>
      </c>
      <c r="C680" t="str">
        <f t="shared" si="60"/>
        <v>2015</v>
      </c>
      <c r="D680" t="s">
        <v>358</v>
      </c>
      <c r="E680" t="s">
        <v>359</v>
      </c>
      <c r="F680" t="s">
        <v>239</v>
      </c>
      <c r="G680" t="s">
        <v>240</v>
      </c>
      <c r="H680" t="s">
        <v>293</v>
      </c>
      <c r="I680" t="s">
        <v>251</v>
      </c>
      <c r="J680" t="s">
        <v>243</v>
      </c>
      <c r="K680" t="s">
        <v>582</v>
      </c>
      <c r="L680" t="s">
        <v>245</v>
      </c>
      <c r="M680" t="s">
        <v>253</v>
      </c>
      <c r="N680" t="s">
        <v>247</v>
      </c>
      <c r="O680">
        <v>42257</v>
      </c>
      <c r="P680">
        <v>0.24</v>
      </c>
      <c r="Q680">
        <v>1.26</v>
      </c>
      <c r="R680">
        <f t="shared" si="61"/>
        <v>1.02</v>
      </c>
      <c r="S680">
        <v>31</v>
      </c>
      <c r="T680">
        <f t="shared" si="62"/>
        <v>39.06</v>
      </c>
      <c r="U680">
        <v>0.06</v>
      </c>
      <c r="V680">
        <f t="shared" si="63"/>
        <v>2.3435999999999999</v>
      </c>
      <c r="W680">
        <f t="shared" si="64"/>
        <v>36.7164</v>
      </c>
      <c r="X680">
        <v>0.7</v>
      </c>
      <c r="Y680">
        <f t="shared" si="65"/>
        <v>37.416400000000003</v>
      </c>
    </row>
    <row r="681" spans="1:25" x14ac:dyDescent="0.25">
      <c r="A681" t="s">
        <v>1674</v>
      </c>
      <c r="B681">
        <v>42257</v>
      </c>
      <c r="C681" t="str">
        <f t="shared" si="60"/>
        <v>2015</v>
      </c>
      <c r="D681" t="s">
        <v>1112</v>
      </c>
      <c r="E681" t="s">
        <v>1041</v>
      </c>
      <c r="F681" t="s">
        <v>257</v>
      </c>
      <c r="G681" t="s">
        <v>258</v>
      </c>
      <c r="H681" t="s">
        <v>259</v>
      </c>
      <c r="I681" t="s">
        <v>372</v>
      </c>
      <c r="J681" t="s">
        <v>261</v>
      </c>
      <c r="K681" t="s">
        <v>472</v>
      </c>
      <c r="L681" t="s">
        <v>245</v>
      </c>
      <c r="M681" t="s">
        <v>246</v>
      </c>
      <c r="N681" t="s">
        <v>263</v>
      </c>
      <c r="O681">
        <v>42258</v>
      </c>
      <c r="P681">
        <v>2.25</v>
      </c>
      <c r="Q681">
        <v>3.69</v>
      </c>
      <c r="R681">
        <f t="shared" si="61"/>
        <v>1.44</v>
      </c>
      <c r="S681">
        <v>23</v>
      </c>
      <c r="T681">
        <f t="shared" si="62"/>
        <v>84.87</v>
      </c>
      <c r="U681">
        <v>0.02</v>
      </c>
      <c r="V681">
        <f t="shared" si="63"/>
        <v>1.6974</v>
      </c>
      <c r="W681">
        <f t="shared" si="64"/>
        <v>83.172600000000003</v>
      </c>
      <c r="X681">
        <v>2.5</v>
      </c>
      <c r="Y681">
        <f t="shared" si="65"/>
        <v>85.672600000000003</v>
      </c>
    </row>
    <row r="682" spans="1:25" x14ac:dyDescent="0.25">
      <c r="A682" t="s">
        <v>1675</v>
      </c>
      <c r="B682">
        <v>42258</v>
      </c>
      <c r="C682" t="str">
        <f t="shared" si="60"/>
        <v>2015</v>
      </c>
      <c r="D682" t="s">
        <v>1676</v>
      </c>
      <c r="E682" t="s">
        <v>709</v>
      </c>
      <c r="F682" t="s">
        <v>257</v>
      </c>
      <c r="G682" t="s">
        <v>258</v>
      </c>
      <c r="H682" t="s">
        <v>274</v>
      </c>
      <c r="I682" t="s">
        <v>275</v>
      </c>
      <c r="J682" t="s">
        <v>294</v>
      </c>
      <c r="K682" t="s">
        <v>817</v>
      </c>
      <c r="L682" t="s">
        <v>245</v>
      </c>
      <c r="M682" t="s">
        <v>253</v>
      </c>
      <c r="N682" t="s">
        <v>263</v>
      </c>
      <c r="O682">
        <v>42258</v>
      </c>
      <c r="P682">
        <v>1.76</v>
      </c>
      <c r="Q682">
        <v>2.94</v>
      </c>
      <c r="R682">
        <f t="shared" si="61"/>
        <v>1.18</v>
      </c>
      <c r="S682">
        <v>47</v>
      </c>
      <c r="T682">
        <f t="shared" si="62"/>
        <v>138.18</v>
      </c>
      <c r="U682">
        <v>0.04</v>
      </c>
      <c r="V682">
        <f t="shared" si="63"/>
        <v>5.5272000000000006</v>
      </c>
      <c r="W682">
        <f t="shared" si="64"/>
        <v>132.65280000000001</v>
      </c>
      <c r="X682">
        <v>0.81</v>
      </c>
      <c r="Y682">
        <f t="shared" si="65"/>
        <v>133.46280000000002</v>
      </c>
    </row>
    <row r="683" spans="1:25" x14ac:dyDescent="0.25">
      <c r="A683" t="s">
        <v>1677</v>
      </c>
      <c r="B683">
        <v>42259</v>
      </c>
      <c r="C683" t="str">
        <f t="shared" si="60"/>
        <v>2015</v>
      </c>
      <c r="D683" t="s">
        <v>975</v>
      </c>
      <c r="E683" t="s">
        <v>856</v>
      </c>
      <c r="F683" t="s">
        <v>239</v>
      </c>
      <c r="G683" t="s">
        <v>240</v>
      </c>
      <c r="H683" t="s">
        <v>293</v>
      </c>
      <c r="I683" t="s">
        <v>251</v>
      </c>
      <c r="J683" t="s">
        <v>294</v>
      </c>
      <c r="K683" t="s">
        <v>1051</v>
      </c>
      <c r="L683" t="s">
        <v>245</v>
      </c>
      <c r="M683" t="s">
        <v>253</v>
      </c>
      <c r="N683" t="s">
        <v>247</v>
      </c>
      <c r="O683">
        <v>42260</v>
      </c>
      <c r="P683">
        <v>0.87</v>
      </c>
      <c r="Q683">
        <v>1.81</v>
      </c>
      <c r="R683">
        <f t="shared" si="61"/>
        <v>0.94000000000000006</v>
      </c>
      <c r="S683">
        <v>6</v>
      </c>
      <c r="T683">
        <f t="shared" si="62"/>
        <v>10.86</v>
      </c>
      <c r="U683">
        <v>7.0000000000000007E-2</v>
      </c>
      <c r="V683">
        <f t="shared" si="63"/>
        <v>0.76019999999999999</v>
      </c>
      <c r="W683">
        <f t="shared" si="64"/>
        <v>10.0998</v>
      </c>
      <c r="X683">
        <v>0.75</v>
      </c>
      <c r="Y683">
        <f t="shared" si="65"/>
        <v>10.8498</v>
      </c>
    </row>
    <row r="684" spans="1:25" x14ac:dyDescent="0.25">
      <c r="A684" t="s">
        <v>1678</v>
      </c>
      <c r="B684">
        <v>42262</v>
      </c>
      <c r="C684" t="str">
        <f t="shared" si="60"/>
        <v>2015</v>
      </c>
      <c r="D684" t="s">
        <v>1679</v>
      </c>
      <c r="E684" t="s">
        <v>650</v>
      </c>
      <c r="F684" t="s">
        <v>257</v>
      </c>
      <c r="G684" t="s">
        <v>258</v>
      </c>
      <c r="H684" t="s">
        <v>259</v>
      </c>
      <c r="I684" t="s">
        <v>299</v>
      </c>
      <c r="J684" t="s">
        <v>261</v>
      </c>
      <c r="K684" t="s">
        <v>656</v>
      </c>
      <c r="L684" t="s">
        <v>245</v>
      </c>
      <c r="M684" t="s">
        <v>253</v>
      </c>
      <c r="N684" t="s">
        <v>247</v>
      </c>
      <c r="O684">
        <v>42264</v>
      </c>
      <c r="P684">
        <v>0.93</v>
      </c>
      <c r="Q684">
        <v>1.48</v>
      </c>
      <c r="R684">
        <f t="shared" si="61"/>
        <v>0.54999999999999993</v>
      </c>
      <c r="S684">
        <v>1</v>
      </c>
      <c r="T684">
        <f t="shared" si="62"/>
        <v>1.48</v>
      </c>
      <c r="U684">
        <v>0.01</v>
      </c>
      <c r="V684">
        <f t="shared" si="63"/>
        <v>1.4800000000000001E-2</v>
      </c>
      <c r="W684">
        <f t="shared" si="64"/>
        <v>1.4652000000000001</v>
      </c>
      <c r="X684">
        <v>0.7</v>
      </c>
      <c r="Y684">
        <f t="shared" si="65"/>
        <v>2.1652</v>
      </c>
    </row>
    <row r="685" spans="1:25" x14ac:dyDescent="0.25">
      <c r="A685" t="s">
        <v>1680</v>
      </c>
      <c r="B685">
        <v>42263</v>
      </c>
      <c r="C685" t="str">
        <f t="shared" si="60"/>
        <v>2015</v>
      </c>
      <c r="D685" t="s">
        <v>557</v>
      </c>
      <c r="E685" t="s">
        <v>558</v>
      </c>
      <c r="F685" t="s">
        <v>257</v>
      </c>
      <c r="G685" t="s">
        <v>258</v>
      </c>
      <c r="H685" t="s">
        <v>259</v>
      </c>
      <c r="I685" t="s">
        <v>333</v>
      </c>
      <c r="J685" t="s">
        <v>279</v>
      </c>
      <c r="K685" t="s">
        <v>822</v>
      </c>
      <c r="L685" t="s">
        <v>245</v>
      </c>
      <c r="M685" t="s">
        <v>323</v>
      </c>
      <c r="N685" t="s">
        <v>263</v>
      </c>
      <c r="O685">
        <v>42268</v>
      </c>
      <c r="P685">
        <v>3.51</v>
      </c>
      <c r="Q685">
        <v>8.57</v>
      </c>
      <c r="R685">
        <f t="shared" si="61"/>
        <v>5.0600000000000005</v>
      </c>
      <c r="S685">
        <v>49</v>
      </c>
      <c r="T685">
        <f t="shared" si="62"/>
        <v>419.93</v>
      </c>
      <c r="U685">
        <v>0.01</v>
      </c>
      <c r="V685">
        <f t="shared" si="63"/>
        <v>4.1993</v>
      </c>
      <c r="W685">
        <f t="shared" si="64"/>
        <v>415.73070000000001</v>
      </c>
      <c r="X685">
        <v>6.14</v>
      </c>
      <c r="Y685">
        <f t="shared" si="65"/>
        <v>421.8707</v>
      </c>
    </row>
    <row r="686" spans="1:25" x14ac:dyDescent="0.25">
      <c r="A686" t="s">
        <v>1681</v>
      </c>
      <c r="B686">
        <v>42264</v>
      </c>
      <c r="C686" t="str">
        <f t="shared" si="60"/>
        <v>2015</v>
      </c>
      <c r="D686" t="s">
        <v>1671</v>
      </c>
      <c r="E686" t="s">
        <v>546</v>
      </c>
      <c r="F686" t="s">
        <v>257</v>
      </c>
      <c r="G686" t="s">
        <v>258</v>
      </c>
      <c r="H686" t="s">
        <v>293</v>
      </c>
      <c r="I686" t="s">
        <v>260</v>
      </c>
      <c r="J686" t="s">
        <v>294</v>
      </c>
      <c r="K686" t="s">
        <v>338</v>
      </c>
      <c r="L686" t="s">
        <v>245</v>
      </c>
      <c r="M686" t="s">
        <v>253</v>
      </c>
      <c r="N686" t="s">
        <v>247</v>
      </c>
      <c r="O686">
        <v>42264</v>
      </c>
      <c r="P686">
        <v>1.82</v>
      </c>
      <c r="Q686">
        <v>2.98</v>
      </c>
      <c r="R686">
        <f t="shared" si="61"/>
        <v>1.1599999999999999</v>
      </c>
      <c r="S686">
        <v>3</v>
      </c>
      <c r="T686">
        <f t="shared" si="62"/>
        <v>8.94</v>
      </c>
      <c r="U686">
        <v>0.04</v>
      </c>
      <c r="V686">
        <f t="shared" si="63"/>
        <v>0.35759999999999997</v>
      </c>
      <c r="W686">
        <f t="shared" si="64"/>
        <v>8.5823999999999998</v>
      </c>
      <c r="X686">
        <v>1.58</v>
      </c>
      <c r="Y686">
        <f t="shared" si="65"/>
        <v>10.1624</v>
      </c>
    </row>
    <row r="687" spans="1:25" x14ac:dyDescent="0.25">
      <c r="A687" t="s">
        <v>1682</v>
      </c>
      <c r="B687">
        <v>42272</v>
      </c>
      <c r="C687" t="str">
        <f t="shared" si="60"/>
        <v>2015</v>
      </c>
      <c r="D687" t="s">
        <v>554</v>
      </c>
      <c r="E687" t="s">
        <v>367</v>
      </c>
      <c r="F687" t="s">
        <v>239</v>
      </c>
      <c r="G687" t="s">
        <v>240</v>
      </c>
      <c r="H687" t="s">
        <v>241</v>
      </c>
      <c r="I687" t="s">
        <v>251</v>
      </c>
      <c r="J687" t="s">
        <v>294</v>
      </c>
      <c r="K687" t="s">
        <v>443</v>
      </c>
      <c r="L687" t="s">
        <v>245</v>
      </c>
      <c r="M687" t="s">
        <v>246</v>
      </c>
      <c r="N687" t="s">
        <v>247</v>
      </c>
      <c r="O687">
        <v>42273</v>
      </c>
      <c r="P687">
        <v>13.64</v>
      </c>
      <c r="Q687">
        <v>20.98</v>
      </c>
      <c r="R687">
        <f t="shared" si="61"/>
        <v>7.34</v>
      </c>
      <c r="S687">
        <v>10</v>
      </c>
      <c r="T687">
        <f t="shared" si="62"/>
        <v>209.8</v>
      </c>
      <c r="U687">
        <v>0.06</v>
      </c>
      <c r="V687">
        <f t="shared" si="63"/>
        <v>12.588000000000001</v>
      </c>
      <c r="W687">
        <f t="shared" si="64"/>
        <v>197.21200000000002</v>
      </c>
      <c r="X687">
        <v>1.49</v>
      </c>
      <c r="Y687">
        <f t="shared" si="65"/>
        <v>198.70200000000003</v>
      </c>
    </row>
    <row r="688" spans="1:25" x14ac:dyDescent="0.25">
      <c r="A688" t="s">
        <v>1683</v>
      </c>
      <c r="B688">
        <v>42272</v>
      </c>
      <c r="C688" t="str">
        <f t="shared" si="60"/>
        <v>2015</v>
      </c>
      <c r="D688" t="s">
        <v>1684</v>
      </c>
      <c r="E688" t="s">
        <v>1001</v>
      </c>
      <c r="F688" t="s">
        <v>239</v>
      </c>
      <c r="G688" t="s">
        <v>240</v>
      </c>
      <c r="H688" t="s">
        <v>259</v>
      </c>
      <c r="I688" t="s">
        <v>251</v>
      </c>
      <c r="J688" t="s">
        <v>261</v>
      </c>
      <c r="K688" t="s">
        <v>661</v>
      </c>
      <c r="L688" t="s">
        <v>245</v>
      </c>
      <c r="M688" t="s">
        <v>246</v>
      </c>
      <c r="N688" t="s">
        <v>247</v>
      </c>
      <c r="O688">
        <v>42274</v>
      </c>
      <c r="P688">
        <v>2.1800000000000002</v>
      </c>
      <c r="Q688">
        <v>3.52</v>
      </c>
      <c r="R688">
        <f t="shared" si="61"/>
        <v>1.3399999999999999</v>
      </c>
      <c r="S688">
        <v>13</v>
      </c>
      <c r="T688">
        <f t="shared" si="62"/>
        <v>45.76</v>
      </c>
      <c r="U688">
        <v>0.08</v>
      </c>
      <c r="V688">
        <f t="shared" si="63"/>
        <v>3.6608000000000001</v>
      </c>
      <c r="W688">
        <f t="shared" si="64"/>
        <v>42.099199999999996</v>
      </c>
      <c r="X688">
        <v>6.83</v>
      </c>
      <c r="Y688">
        <f t="shared" si="65"/>
        <v>48.929199999999994</v>
      </c>
    </row>
    <row r="689" spans="1:25" x14ac:dyDescent="0.25">
      <c r="A689" t="s">
        <v>1685</v>
      </c>
      <c r="B689">
        <v>42273</v>
      </c>
      <c r="C689" t="str">
        <f t="shared" si="60"/>
        <v>2015</v>
      </c>
      <c r="D689" t="s">
        <v>958</v>
      </c>
      <c r="E689" t="s">
        <v>727</v>
      </c>
      <c r="F689" t="s">
        <v>257</v>
      </c>
      <c r="G689" t="s">
        <v>258</v>
      </c>
      <c r="H689" t="s">
        <v>259</v>
      </c>
      <c r="I689" t="s">
        <v>333</v>
      </c>
      <c r="J689" t="s">
        <v>243</v>
      </c>
      <c r="K689" t="s">
        <v>533</v>
      </c>
      <c r="L689" t="s">
        <v>245</v>
      </c>
      <c r="M689" t="s">
        <v>246</v>
      </c>
      <c r="N689" t="s">
        <v>247</v>
      </c>
      <c r="O689">
        <v>42275</v>
      </c>
      <c r="P689">
        <v>3.4</v>
      </c>
      <c r="Q689">
        <v>5.4</v>
      </c>
      <c r="R689">
        <f t="shared" si="61"/>
        <v>2.0000000000000004</v>
      </c>
      <c r="S689">
        <v>10</v>
      </c>
      <c r="T689">
        <f t="shared" si="62"/>
        <v>54</v>
      </c>
      <c r="U689">
        <v>0.04</v>
      </c>
      <c r="V689">
        <f t="shared" si="63"/>
        <v>2.16</v>
      </c>
      <c r="W689">
        <f t="shared" si="64"/>
        <v>51.84</v>
      </c>
      <c r="X689">
        <v>7.78</v>
      </c>
      <c r="Y689">
        <f t="shared" si="65"/>
        <v>59.620000000000005</v>
      </c>
    </row>
    <row r="690" spans="1:25" x14ac:dyDescent="0.25">
      <c r="A690" t="s">
        <v>1686</v>
      </c>
      <c r="B690">
        <v>42274</v>
      </c>
      <c r="C690" t="str">
        <f t="shared" si="60"/>
        <v>2015</v>
      </c>
      <c r="D690" t="s">
        <v>1687</v>
      </c>
      <c r="E690" t="s">
        <v>1439</v>
      </c>
      <c r="F690" t="s">
        <v>257</v>
      </c>
      <c r="G690" t="s">
        <v>258</v>
      </c>
      <c r="H690" t="s">
        <v>293</v>
      </c>
      <c r="I690" t="s">
        <v>333</v>
      </c>
      <c r="J690" t="s">
        <v>294</v>
      </c>
      <c r="K690" t="s">
        <v>475</v>
      </c>
      <c r="L690" t="s">
        <v>245</v>
      </c>
      <c r="M690" t="s">
        <v>246</v>
      </c>
      <c r="N690" t="s">
        <v>247</v>
      </c>
      <c r="O690">
        <v>42276</v>
      </c>
      <c r="P690">
        <v>12.39</v>
      </c>
      <c r="Q690">
        <v>19.98</v>
      </c>
      <c r="R690">
        <f t="shared" si="61"/>
        <v>7.59</v>
      </c>
      <c r="S690">
        <v>20</v>
      </c>
      <c r="T690">
        <f t="shared" si="62"/>
        <v>399.6</v>
      </c>
      <c r="U690">
        <v>0.05</v>
      </c>
      <c r="V690">
        <f t="shared" si="63"/>
        <v>19.980000000000004</v>
      </c>
      <c r="W690">
        <f t="shared" si="64"/>
        <v>379.62</v>
      </c>
      <c r="X690">
        <v>5.77</v>
      </c>
      <c r="Y690">
        <f t="shared" si="65"/>
        <v>385.39</v>
      </c>
    </row>
    <row r="691" spans="1:25" x14ac:dyDescent="0.25">
      <c r="A691" t="s">
        <v>1688</v>
      </c>
      <c r="B691">
        <v>42274</v>
      </c>
      <c r="C691" t="str">
        <f t="shared" si="60"/>
        <v>2015</v>
      </c>
      <c r="D691" t="s">
        <v>1461</v>
      </c>
      <c r="E691" t="s">
        <v>303</v>
      </c>
      <c r="F691" t="s">
        <v>239</v>
      </c>
      <c r="G691" t="s">
        <v>240</v>
      </c>
      <c r="H691" t="s">
        <v>259</v>
      </c>
      <c r="I691" t="s">
        <v>242</v>
      </c>
      <c r="J691" t="s">
        <v>279</v>
      </c>
      <c r="K691" t="s">
        <v>475</v>
      </c>
      <c r="L691" t="s">
        <v>245</v>
      </c>
      <c r="M691" t="s">
        <v>246</v>
      </c>
      <c r="N691" t="s">
        <v>247</v>
      </c>
      <c r="O691">
        <v>42274</v>
      </c>
      <c r="P691">
        <v>12.39</v>
      </c>
      <c r="Q691">
        <v>19.98</v>
      </c>
      <c r="R691">
        <f t="shared" si="61"/>
        <v>7.59</v>
      </c>
      <c r="S691">
        <v>34</v>
      </c>
      <c r="T691">
        <f t="shared" si="62"/>
        <v>679.32</v>
      </c>
      <c r="U691">
        <v>0.06</v>
      </c>
      <c r="V691">
        <f t="shared" si="63"/>
        <v>40.7592</v>
      </c>
      <c r="W691">
        <f t="shared" si="64"/>
        <v>638.56080000000009</v>
      </c>
      <c r="X691">
        <v>5.77</v>
      </c>
      <c r="Y691">
        <f t="shared" si="65"/>
        <v>644.33080000000007</v>
      </c>
    </row>
    <row r="692" spans="1:25" x14ac:dyDescent="0.25">
      <c r="A692" t="s">
        <v>1689</v>
      </c>
      <c r="B692">
        <v>42275</v>
      </c>
      <c r="C692" t="str">
        <f t="shared" si="60"/>
        <v>2015</v>
      </c>
      <c r="D692" t="s">
        <v>1690</v>
      </c>
      <c r="E692" t="s">
        <v>332</v>
      </c>
      <c r="F692" t="s">
        <v>257</v>
      </c>
      <c r="G692" t="s">
        <v>258</v>
      </c>
      <c r="H692" t="s">
        <v>241</v>
      </c>
      <c r="I692" t="s">
        <v>333</v>
      </c>
      <c r="J692" t="s">
        <v>294</v>
      </c>
      <c r="K692" t="s">
        <v>435</v>
      </c>
      <c r="L692" t="s">
        <v>245</v>
      </c>
      <c r="M692" t="s">
        <v>253</v>
      </c>
      <c r="N692" t="s">
        <v>247</v>
      </c>
      <c r="O692">
        <v>42277</v>
      </c>
      <c r="P692">
        <v>3.75</v>
      </c>
      <c r="Q692">
        <v>7.08</v>
      </c>
      <c r="R692">
        <f t="shared" si="61"/>
        <v>3.33</v>
      </c>
      <c r="S692">
        <v>37</v>
      </c>
      <c r="T692">
        <f t="shared" si="62"/>
        <v>261.95999999999998</v>
      </c>
      <c r="U692">
        <v>0.08</v>
      </c>
      <c r="V692">
        <f t="shared" si="63"/>
        <v>20.956799999999998</v>
      </c>
      <c r="W692">
        <f t="shared" si="64"/>
        <v>241.00319999999999</v>
      </c>
      <c r="X692">
        <v>2.35</v>
      </c>
      <c r="Y692">
        <f t="shared" si="65"/>
        <v>243.35319999999999</v>
      </c>
    </row>
    <row r="693" spans="1:25" x14ac:dyDescent="0.25">
      <c r="A693" t="s">
        <v>1691</v>
      </c>
      <c r="B693">
        <v>42276</v>
      </c>
      <c r="C693" t="str">
        <f t="shared" si="60"/>
        <v>2015</v>
      </c>
      <c r="D693" t="s">
        <v>1350</v>
      </c>
      <c r="E693" t="s">
        <v>367</v>
      </c>
      <c r="F693" t="s">
        <v>239</v>
      </c>
      <c r="G693" t="s">
        <v>240</v>
      </c>
      <c r="H693" t="s">
        <v>293</v>
      </c>
      <c r="I693" t="s">
        <v>251</v>
      </c>
      <c r="J693" t="s">
        <v>304</v>
      </c>
      <c r="K693" t="s">
        <v>653</v>
      </c>
      <c r="L693" t="s">
        <v>245</v>
      </c>
      <c r="M693" t="s">
        <v>246</v>
      </c>
      <c r="N693" t="s">
        <v>263</v>
      </c>
      <c r="O693">
        <v>42277</v>
      </c>
      <c r="P693">
        <v>3.5</v>
      </c>
      <c r="Q693">
        <v>5.74</v>
      </c>
      <c r="R693">
        <f t="shared" si="61"/>
        <v>2.2400000000000002</v>
      </c>
      <c r="S693">
        <v>26</v>
      </c>
      <c r="T693">
        <f t="shared" si="62"/>
        <v>149.24</v>
      </c>
      <c r="U693">
        <v>0.03</v>
      </c>
      <c r="V693">
        <f t="shared" si="63"/>
        <v>4.4771999999999998</v>
      </c>
      <c r="W693">
        <f t="shared" si="64"/>
        <v>144.7628</v>
      </c>
      <c r="X693">
        <v>5.01</v>
      </c>
      <c r="Y693">
        <f t="shared" si="65"/>
        <v>149.77279999999999</v>
      </c>
    </row>
    <row r="694" spans="1:25" x14ac:dyDescent="0.25">
      <c r="A694" t="s">
        <v>1692</v>
      </c>
      <c r="B694">
        <v>42278</v>
      </c>
      <c r="C694" t="str">
        <f t="shared" si="60"/>
        <v>2015</v>
      </c>
      <c r="D694" t="s">
        <v>1693</v>
      </c>
      <c r="E694" t="s">
        <v>352</v>
      </c>
      <c r="F694" t="s">
        <v>257</v>
      </c>
      <c r="G694" t="s">
        <v>258</v>
      </c>
      <c r="H694" t="s">
        <v>259</v>
      </c>
      <c r="I694" t="s">
        <v>275</v>
      </c>
      <c r="J694" t="s">
        <v>279</v>
      </c>
      <c r="K694" t="s">
        <v>1021</v>
      </c>
      <c r="L694" t="s">
        <v>245</v>
      </c>
      <c r="M694" t="s">
        <v>253</v>
      </c>
      <c r="N694" t="s">
        <v>247</v>
      </c>
      <c r="O694">
        <v>42287</v>
      </c>
      <c r="P694">
        <v>1.05</v>
      </c>
      <c r="Q694">
        <v>1.95</v>
      </c>
      <c r="R694">
        <f t="shared" si="61"/>
        <v>0.89999999999999991</v>
      </c>
      <c r="S694">
        <v>4</v>
      </c>
      <c r="T694">
        <f t="shared" si="62"/>
        <v>7.8</v>
      </c>
      <c r="U694">
        <v>0.09</v>
      </c>
      <c r="V694">
        <f t="shared" si="63"/>
        <v>0.70199999999999996</v>
      </c>
      <c r="W694">
        <f t="shared" si="64"/>
        <v>7.0979999999999999</v>
      </c>
      <c r="X694">
        <v>1.63</v>
      </c>
      <c r="Y694">
        <f t="shared" si="65"/>
        <v>8.7279999999999998</v>
      </c>
    </row>
    <row r="695" spans="1:25" x14ac:dyDescent="0.25">
      <c r="A695" t="s">
        <v>1694</v>
      </c>
      <c r="B695">
        <v>42286</v>
      </c>
      <c r="C695" t="str">
        <f t="shared" si="60"/>
        <v>2015</v>
      </c>
      <c r="D695" t="s">
        <v>1695</v>
      </c>
      <c r="E695" t="s">
        <v>558</v>
      </c>
      <c r="F695" t="s">
        <v>257</v>
      </c>
      <c r="G695" t="s">
        <v>258</v>
      </c>
      <c r="H695" t="s">
        <v>274</v>
      </c>
      <c r="I695" t="s">
        <v>333</v>
      </c>
      <c r="J695" t="s">
        <v>243</v>
      </c>
      <c r="K695" t="s">
        <v>1025</v>
      </c>
      <c r="L695" t="s">
        <v>268</v>
      </c>
      <c r="M695" t="s">
        <v>269</v>
      </c>
      <c r="N695" t="s">
        <v>270</v>
      </c>
      <c r="O695">
        <v>42288</v>
      </c>
      <c r="P695">
        <v>315.61</v>
      </c>
      <c r="Q695">
        <v>500.97</v>
      </c>
      <c r="R695">
        <f t="shared" si="61"/>
        <v>185.36</v>
      </c>
      <c r="S695">
        <v>25</v>
      </c>
      <c r="T695">
        <f t="shared" si="62"/>
        <v>12524.25</v>
      </c>
      <c r="U695">
        <v>0.02</v>
      </c>
      <c r="V695">
        <f t="shared" si="63"/>
        <v>250.48500000000001</v>
      </c>
      <c r="W695">
        <f t="shared" si="64"/>
        <v>12273.764999999999</v>
      </c>
      <c r="X695">
        <v>69.3</v>
      </c>
      <c r="Y695">
        <f t="shared" si="65"/>
        <v>12343.064999999999</v>
      </c>
    </row>
    <row r="696" spans="1:25" x14ac:dyDescent="0.25">
      <c r="A696" t="s">
        <v>1696</v>
      </c>
      <c r="B696">
        <v>42289</v>
      </c>
      <c r="C696" t="str">
        <f t="shared" si="60"/>
        <v>2015</v>
      </c>
      <c r="D696" t="s">
        <v>1697</v>
      </c>
      <c r="E696" t="s">
        <v>1698</v>
      </c>
      <c r="F696" t="s">
        <v>257</v>
      </c>
      <c r="G696" t="s">
        <v>258</v>
      </c>
      <c r="H696" t="s">
        <v>259</v>
      </c>
      <c r="I696" t="s">
        <v>381</v>
      </c>
      <c r="J696" t="s">
        <v>243</v>
      </c>
      <c r="K696" t="s">
        <v>453</v>
      </c>
      <c r="L696" t="s">
        <v>245</v>
      </c>
      <c r="M696" t="s">
        <v>246</v>
      </c>
      <c r="N696" t="s">
        <v>247</v>
      </c>
      <c r="O696">
        <v>42291</v>
      </c>
      <c r="P696">
        <v>1.18</v>
      </c>
      <c r="Q696">
        <v>1.88</v>
      </c>
      <c r="R696">
        <f t="shared" si="61"/>
        <v>0.7</v>
      </c>
      <c r="S696">
        <v>29</v>
      </c>
      <c r="T696">
        <f t="shared" si="62"/>
        <v>54.519999999999996</v>
      </c>
      <c r="U696">
        <v>0.1</v>
      </c>
      <c r="V696">
        <f t="shared" si="63"/>
        <v>5.452</v>
      </c>
      <c r="W696">
        <f t="shared" si="64"/>
        <v>49.067999999999998</v>
      </c>
      <c r="X696">
        <v>1.49</v>
      </c>
      <c r="Y696">
        <f t="shared" si="65"/>
        <v>50.558</v>
      </c>
    </row>
    <row r="697" spans="1:25" x14ac:dyDescent="0.25">
      <c r="A697" t="s">
        <v>1699</v>
      </c>
      <c r="B697">
        <v>42290</v>
      </c>
      <c r="C697" t="str">
        <f t="shared" si="60"/>
        <v>2015</v>
      </c>
      <c r="D697" t="s">
        <v>1069</v>
      </c>
      <c r="E697" t="s">
        <v>1070</v>
      </c>
      <c r="F697" t="s">
        <v>257</v>
      </c>
      <c r="G697" t="s">
        <v>258</v>
      </c>
      <c r="H697" t="s">
        <v>293</v>
      </c>
      <c r="I697" t="s">
        <v>504</v>
      </c>
      <c r="J697" t="s">
        <v>279</v>
      </c>
      <c r="K697" t="s">
        <v>594</v>
      </c>
      <c r="L697" t="s">
        <v>268</v>
      </c>
      <c r="M697" t="s">
        <v>269</v>
      </c>
      <c r="N697" t="s">
        <v>270</v>
      </c>
      <c r="O697">
        <v>42292</v>
      </c>
      <c r="P697">
        <v>278.99</v>
      </c>
      <c r="Q697">
        <v>449.99</v>
      </c>
      <c r="R697">
        <f t="shared" si="61"/>
        <v>171</v>
      </c>
      <c r="S697">
        <v>47</v>
      </c>
      <c r="T697">
        <f t="shared" si="62"/>
        <v>21149.53</v>
      </c>
      <c r="U697">
        <v>0.02</v>
      </c>
      <c r="V697">
        <f t="shared" si="63"/>
        <v>422.99059999999997</v>
      </c>
      <c r="W697">
        <f t="shared" si="64"/>
        <v>20726.539399999998</v>
      </c>
      <c r="X697">
        <v>49</v>
      </c>
      <c r="Y697">
        <f t="shared" si="65"/>
        <v>20775.539399999998</v>
      </c>
    </row>
    <row r="698" spans="1:25" x14ac:dyDescent="0.25">
      <c r="A698" t="s">
        <v>1700</v>
      </c>
      <c r="B698">
        <v>42292</v>
      </c>
      <c r="C698" t="str">
        <f t="shared" si="60"/>
        <v>2015</v>
      </c>
      <c r="D698" t="s">
        <v>1701</v>
      </c>
      <c r="E698" t="s">
        <v>1459</v>
      </c>
      <c r="F698" t="s">
        <v>239</v>
      </c>
      <c r="G698" t="s">
        <v>240</v>
      </c>
      <c r="H698" t="s">
        <v>293</v>
      </c>
      <c r="I698" t="s">
        <v>251</v>
      </c>
      <c r="J698" t="s">
        <v>261</v>
      </c>
      <c r="K698" t="s">
        <v>533</v>
      </c>
      <c r="L698" t="s">
        <v>245</v>
      </c>
      <c r="M698" t="s">
        <v>246</v>
      </c>
      <c r="N698" t="s">
        <v>247</v>
      </c>
      <c r="O698">
        <v>42293</v>
      </c>
      <c r="P698">
        <v>3.4</v>
      </c>
      <c r="Q698">
        <v>5.4</v>
      </c>
      <c r="R698">
        <f t="shared" si="61"/>
        <v>2.0000000000000004</v>
      </c>
      <c r="S698">
        <v>8</v>
      </c>
      <c r="T698">
        <f t="shared" si="62"/>
        <v>43.2</v>
      </c>
      <c r="U698">
        <v>0</v>
      </c>
      <c r="V698">
        <f t="shared" si="63"/>
        <v>0</v>
      </c>
      <c r="W698">
        <f t="shared" si="64"/>
        <v>43.2</v>
      </c>
      <c r="X698">
        <v>7.78</v>
      </c>
      <c r="Y698">
        <f t="shared" si="65"/>
        <v>50.980000000000004</v>
      </c>
    </row>
    <row r="699" spans="1:25" x14ac:dyDescent="0.25">
      <c r="A699" t="s">
        <v>1702</v>
      </c>
      <c r="B699">
        <v>42297</v>
      </c>
      <c r="C699" t="str">
        <f t="shared" si="60"/>
        <v>2015</v>
      </c>
      <c r="D699" t="s">
        <v>1703</v>
      </c>
      <c r="E699" t="s">
        <v>709</v>
      </c>
      <c r="F699" t="s">
        <v>257</v>
      </c>
      <c r="G699" t="s">
        <v>258</v>
      </c>
      <c r="H699" t="s">
        <v>241</v>
      </c>
      <c r="I699" t="s">
        <v>275</v>
      </c>
      <c r="J699" t="s">
        <v>279</v>
      </c>
      <c r="K699" t="s">
        <v>1249</v>
      </c>
      <c r="L699" t="s">
        <v>245</v>
      </c>
      <c r="M699" t="s">
        <v>246</v>
      </c>
      <c r="N699" t="s">
        <v>247</v>
      </c>
      <c r="O699">
        <v>42301</v>
      </c>
      <c r="P699">
        <v>1.19</v>
      </c>
      <c r="Q699">
        <v>1.98</v>
      </c>
      <c r="R699">
        <f t="shared" si="61"/>
        <v>0.79</v>
      </c>
      <c r="S699">
        <v>4</v>
      </c>
      <c r="T699">
        <f t="shared" si="62"/>
        <v>7.92</v>
      </c>
      <c r="U699">
        <v>0.08</v>
      </c>
      <c r="V699">
        <f t="shared" si="63"/>
        <v>0.63360000000000005</v>
      </c>
      <c r="W699">
        <f t="shared" si="64"/>
        <v>7.2863999999999995</v>
      </c>
      <c r="X699">
        <v>4.7699999999999996</v>
      </c>
      <c r="Y699">
        <f t="shared" si="65"/>
        <v>12.0564</v>
      </c>
    </row>
    <row r="700" spans="1:25" x14ac:dyDescent="0.25">
      <c r="A700" t="s">
        <v>1704</v>
      </c>
      <c r="B700">
        <v>42298</v>
      </c>
      <c r="C700" t="str">
        <f t="shared" si="60"/>
        <v>2015</v>
      </c>
      <c r="D700" t="s">
        <v>466</v>
      </c>
      <c r="E700" t="s">
        <v>467</v>
      </c>
      <c r="F700" t="s">
        <v>257</v>
      </c>
      <c r="G700" t="s">
        <v>258</v>
      </c>
      <c r="H700" t="s">
        <v>241</v>
      </c>
      <c r="I700" t="s">
        <v>342</v>
      </c>
      <c r="J700" t="s">
        <v>304</v>
      </c>
      <c r="K700" t="s">
        <v>1017</v>
      </c>
      <c r="L700" t="s">
        <v>245</v>
      </c>
      <c r="M700" t="s">
        <v>253</v>
      </c>
      <c r="N700" t="s">
        <v>263</v>
      </c>
      <c r="O700">
        <v>42300</v>
      </c>
      <c r="P700">
        <v>2.13</v>
      </c>
      <c r="Q700">
        <v>3.49</v>
      </c>
      <c r="R700">
        <f t="shared" si="61"/>
        <v>1.3600000000000003</v>
      </c>
      <c r="S700">
        <v>3</v>
      </c>
      <c r="T700">
        <f t="shared" si="62"/>
        <v>10.47</v>
      </c>
      <c r="U700">
        <v>0.01</v>
      </c>
      <c r="V700">
        <f t="shared" si="63"/>
        <v>0.10470000000000002</v>
      </c>
      <c r="W700">
        <f t="shared" si="64"/>
        <v>10.365300000000001</v>
      </c>
      <c r="X700">
        <v>0.76</v>
      </c>
      <c r="Y700">
        <f t="shared" si="65"/>
        <v>11.125300000000001</v>
      </c>
    </row>
    <row r="701" spans="1:25" x14ac:dyDescent="0.25">
      <c r="A701" t="s">
        <v>1705</v>
      </c>
      <c r="B701">
        <v>42298</v>
      </c>
      <c r="C701" t="str">
        <f t="shared" si="60"/>
        <v>2015</v>
      </c>
      <c r="D701" t="s">
        <v>1706</v>
      </c>
      <c r="E701" t="s">
        <v>1290</v>
      </c>
      <c r="F701" t="s">
        <v>257</v>
      </c>
      <c r="G701" t="s">
        <v>258</v>
      </c>
      <c r="H701" t="s">
        <v>259</v>
      </c>
      <c r="I701" t="s">
        <v>260</v>
      </c>
      <c r="J701" t="s">
        <v>243</v>
      </c>
      <c r="K701" t="s">
        <v>453</v>
      </c>
      <c r="L701" t="s">
        <v>245</v>
      </c>
      <c r="M701" t="s">
        <v>246</v>
      </c>
      <c r="N701" t="s">
        <v>247</v>
      </c>
      <c r="O701">
        <v>42300</v>
      </c>
      <c r="P701">
        <v>1.18</v>
      </c>
      <c r="Q701">
        <v>1.88</v>
      </c>
      <c r="R701">
        <f t="shared" si="61"/>
        <v>0.7</v>
      </c>
      <c r="S701">
        <v>6</v>
      </c>
      <c r="T701">
        <f t="shared" si="62"/>
        <v>11.28</v>
      </c>
      <c r="U701">
        <v>7.0000000000000007E-2</v>
      </c>
      <c r="V701">
        <f t="shared" si="63"/>
        <v>0.78960000000000008</v>
      </c>
      <c r="W701">
        <f t="shared" si="64"/>
        <v>10.490399999999999</v>
      </c>
      <c r="X701">
        <v>1.49</v>
      </c>
      <c r="Y701">
        <f t="shared" si="65"/>
        <v>11.980399999999999</v>
      </c>
    </row>
    <row r="702" spans="1:25" x14ac:dyDescent="0.25">
      <c r="A702" t="s">
        <v>1707</v>
      </c>
      <c r="B702">
        <v>42301</v>
      </c>
      <c r="C702" t="str">
        <f t="shared" si="60"/>
        <v>2015</v>
      </c>
      <c r="D702" t="s">
        <v>1610</v>
      </c>
      <c r="E702" t="s">
        <v>507</v>
      </c>
      <c r="F702" t="s">
        <v>239</v>
      </c>
      <c r="G702" t="s">
        <v>240</v>
      </c>
      <c r="H702" t="s">
        <v>274</v>
      </c>
      <c r="I702" t="s">
        <v>242</v>
      </c>
      <c r="J702" t="s">
        <v>261</v>
      </c>
      <c r="K702" t="s">
        <v>776</v>
      </c>
      <c r="L702" t="s">
        <v>245</v>
      </c>
      <c r="M702" t="s">
        <v>246</v>
      </c>
      <c r="N702" t="s">
        <v>247</v>
      </c>
      <c r="O702">
        <v>42303</v>
      </c>
      <c r="P702">
        <v>4.53</v>
      </c>
      <c r="Q702">
        <v>7.3</v>
      </c>
      <c r="R702">
        <f t="shared" si="61"/>
        <v>2.7699999999999996</v>
      </c>
      <c r="S702">
        <v>34</v>
      </c>
      <c r="T702">
        <f t="shared" si="62"/>
        <v>248.2</v>
      </c>
      <c r="U702">
        <v>0.03</v>
      </c>
      <c r="V702">
        <f t="shared" si="63"/>
        <v>7.4459999999999997</v>
      </c>
      <c r="W702">
        <f t="shared" si="64"/>
        <v>240.75399999999999</v>
      </c>
      <c r="X702">
        <v>7.72</v>
      </c>
      <c r="Y702">
        <f t="shared" si="65"/>
        <v>248.47399999999999</v>
      </c>
    </row>
    <row r="703" spans="1:25" x14ac:dyDescent="0.25">
      <c r="A703" t="s">
        <v>1708</v>
      </c>
      <c r="B703">
        <v>42301</v>
      </c>
      <c r="C703" t="str">
        <f t="shared" si="60"/>
        <v>2015</v>
      </c>
      <c r="D703" t="s">
        <v>1709</v>
      </c>
      <c r="E703" t="s">
        <v>424</v>
      </c>
      <c r="F703" t="s">
        <v>257</v>
      </c>
      <c r="G703" t="s">
        <v>258</v>
      </c>
      <c r="H703" t="s">
        <v>293</v>
      </c>
      <c r="I703" t="s">
        <v>299</v>
      </c>
      <c r="J703" t="s">
        <v>243</v>
      </c>
      <c r="K703" t="s">
        <v>472</v>
      </c>
      <c r="L703" t="s">
        <v>245</v>
      </c>
      <c r="M703" t="s">
        <v>246</v>
      </c>
      <c r="N703" t="s">
        <v>247</v>
      </c>
      <c r="O703">
        <v>42303</v>
      </c>
      <c r="P703">
        <v>2.25</v>
      </c>
      <c r="Q703">
        <v>3.69</v>
      </c>
      <c r="R703">
        <f t="shared" si="61"/>
        <v>1.44</v>
      </c>
      <c r="S703">
        <v>47</v>
      </c>
      <c r="T703">
        <f t="shared" si="62"/>
        <v>173.43</v>
      </c>
      <c r="U703">
        <v>0</v>
      </c>
      <c r="V703">
        <f t="shared" si="63"/>
        <v>0</v>
      </c>
      <c r="W703">
        <f t="shared" si="64"/>
        <v>173.43</v>
      </c>
      <c r="X703">
        <v>2.5</v>
      </c>
      <c r="Y703">
        <f t="shared" si="65"/>
        <v>175.93</v>
      </c>
    </row>
    <row r="704" spans="1:25" x14ac:dyDescent="0.25">
      <c r="A704" t="s">
        <v>1710</v>
      </c>
      <c r="B704">
        <v>42305</v>
      </c>
      <c r="C704" t="str">
        <f t="shared" si="60"/>
        <v>2015</v>
      </c>
      <c r="D704" t="s">
        <v>386</v>
      </c>
      <c r="E704" t="s">
        <v>266</v>
      </c>
      <c r="F704" t="s">
        <v>239</v>
      </c>
      <c r="G704" t="s">
        <v>240</v>
      </c>
      <c r="H704" t="s">
        <v>259</v>
      </c>
      <c r="I704" t="s">
        <v>242</v>
      </c>
      <c r="J704" t="s">
        <v>294</v>
      </c>
      <c r="K704" t="s">
        <v>547</v>
      </c>
      <c r="L704" t="s">
        <v>268</v>
      </c>
      <c r="M704" t="s">
        <v>414</v>
      </c>
      <c r="N704" t="s">
        <v>247</v>
      </c>
      <c r="O704">
        <v>42307</v>
      </c>
      <c r="P704">
        <v>7.92</v>
      </c>
      <c r="Q704">
        <v>12.99</v>
      </c>
      <c r="R704">
        <f t="shared" si="61"/>
        <v>5.07</v>
      </c>
      <c r="S704">
        <v>46</v>
      </c>
      <c r="T704">
        <f t="shared" si="62"/>
        <v>597.54</v>
      </c>
      <c r="U704">
        <v>0.01</v>
      </c>
      <c r="V704">
        <f t="shared" si="63"/>
        <v>5.9753999999999996</v>
      </c>
      <c r="W704">
        <f t="shared" si="64"/>
        <v>591.56459999999993</v>
      </c>
      <c r="X704">
        <v>9.44</v>
      </c>
      <c r="Y704">
        <f t="shared" si="65"/>
        <v>601.00459999999998</v>
      </c>
    </row>
    <row r="705" spans="1:25" x14ac:dyDescent="0.25">
      <c r="A705" t="s">
        <v>1711</v>
      </c>
      <c r="B705">
        <v>42308</v>
      </c>
      <c r="C705" t="str">
        <f t="shared" si="60"/>
        <v>2015</v>
      </c>
      <c r="D705" t="s">
        <v>1712</v>
      </c>
      <c r="E705" t="s">
        <v>575</v>
      </c>
      <c r="F705" t="s">
        <v>257</v>
      </c>
      <c r="G705" t="s">
        <v>258</v>
      </c>
      <c r="H705" t="s">
        <v>241</v>
      </c>
      <c r="I705" t="s">
        <v>381</v>
      </c>
      <c r="J705" t="s">
        <v>243</v>
      </c>
      <c r="K705" t="s">
        <v>508</v>
      </c>
      <c r="L705" t="s">
        <v>245</v>
      </c>
      <c r="M705" t="s">
        <v>246</v>
      </c>
      <c r="N705" t="s">
        <v>247</v>
      </c>
      <c r="O705">
        <v>42308</v>
      </c>
      <c r="P705">
        <v>178.83</v>
      </c>
      <c r="Q705">
        <v>415.88</v>
      </c>
      <c r="R705">
        <f t="shared" si="61"/>
        <v>237.04999999999998</v>
      </c>
      <c r="S705">
        <v>21</v>
      </c>
      <c r="T705">
        <f t="shared" si="62"/>
        <v>8733.48</v>
      </c>
      <c r="U705">
        <v>0.09</v>
      </c>
      <c r="V705">
        <f t="shared" si="63"/>
        <v>786.01319999999998</v>
      </c>
      <c r="W705">
        <f t="shared" si="64"/>
        <v>7947.4667999999992</v>
      </c>
      <c r="X705">
        <v>11.37</v>
      </c>
      <c r="Y705">
        <f t="shared" si="65"/>
        <v>7958.8367999999991</v>
      </c>
    </row>
    <row r="706" spans="1:25" x14ac:dyDescent="0.25">
      <c r="A706" t="s">
        <v>1713</v>
      </c>
      <c r="B706">
        <v>42308</v>
      </c>
      <c r="C706" t="str">
        <f t="shared" si="60"/>
        <v>2015</v>
      </c>
      <c r="D706" t="s">
        <v>1714</v>
      </c>
      <c r="E706" t="s">
        <v>1307</v>
      </c>
      <c r="F706" t="s">
        <v>257</v>
      </c>
      <c r="G706" t="s">
        <v>258</v>
      </c>
      <c r="H706" t="s">
        <v>259</v>
      </c>
      <c r="I706" t="s">
        <v>372</v>
      </c>
      <c r="J706" t="s">
        <v>243</v>
      </c>
      <c r="K706" t="s">
        <v>464</v>
      </c>
      <c r="L706" t="s">
        <v>268</v>
      </c>
      <c r="M706" t="s">
        <v>246</v>
      </c>
      <c r="N706" t="s">
        <v>247</v>
      </c>
      <c r="O706">
        <v>42309</v>
      </c>
      <c r="P706">
        <v>156.5</v>
      </c>
      <c r="Q706">
        <v>300.97000000000003</v>
      </c>
      <c r="R706">
        <f t="shared" si="61"/>
        <v>144.47000000000003</v>
      </c>
      <c r="S706">
        <v>23</v>
      </c>
      <c r="T706">
        <f t="shared" si="62"/>
        <v>6922.31</v>
      </c>
      <c r="U706">
        <v>0.06</v>
      </c>
      <c r="V706">
        <f t="shared" si="63"/>
        <v>415.33859999999999</v>
      </c>
      <c r="W706">
        <f t="shared" si="64"/>
        <v>6506.9714000000004</v>
      </c>
      <c r="X706">
        <v>7.18</v>
      </c>
      <c r="Y706">
        <f t="shared" si="65"/>
        <v>6514.1514000000006</v>
      </c>
    </row>
    <row r="707" spans="1:25" x14ac:dyDescent="0.25">
      <c r="A707" t="s">
        <v>1715</v>
      </c>
      <c r="B707">
        <v>42309</v>
      </c>
      <c r="C707" t="str">
        <f t="shared" si="60"/>
        <v>2015</v>
      </c>
      <c r="D707" t="s">
        <v>1697</v>
      </c>
      <c r="E707" t="s">
        <v>1698</v>
      </c>
      <c r="F707" t="s">
        <v>257</v>
      </c>
      <c r="G707" t="s">
        <v>258</v>
      </c>
      <c r="H707" t="s">
        <v>293</v>
      </c>
      <c r="I707" t="s">
        <v>381</v>
      </c>
      <c r="J707" t="s">
        <v>279</v>
      </c>
      <c r="K707" t="s">
        <v>252</v>
      </c>
      <c r="L707" t="s">
        <v>245</v>
      </c>
      <c r="M707" t="s">
        <v>253</v>
      </c>
      <c r="N707" t="s">
        <v>247</v>
      </c>
      <c r="O707">
        <v>42311</v>
      </c>
      <c r="P707">
        <v>2.39</v>
      </c>
      <c r="Q707">
        <v>4.26</v>
      </c>
      <c r="R707">
        <f t="shared" si="61"/>
        <v>1.8699999999999997</v>
      </c>
      <c r="S707">
        <v>47</v>
      </c>
      <c r="T707">
        <f t="shared" si="62"/>
        <v>200.22</v>
      </c>
      <c r="U707">
        <v>7.0000000000000007E-2</v>
      </c>
      <c r="V707">
        <f t="shared" si="63"/>
        <v>14.015400000000001</v>
      </c>
      <c r="W707">
        <f t="shared" si="64"/>
        <v>186.2046</v>
      </c>
      <c r="X707">
        <v>1.2</v>
      </c>
      <c r="Y707">
        <f t="shared" si="65"/>
        <v>187.40459999999999</v>
      </c>
    </row>
    <row r="708" spans="1:25" x14ac:dyDescent="0.25">
      <c r="A708" t="s">
        <v>1716</v>
      </c>
      <c r="B708">
        <v>42309</v>
      </c>
      <c r="C708" t="str">
        <f t="shared" si="60"/>
        <v>2015</v>
      </c>
      <c r="D708" t="s">
        <v>1697</v>
      </c>
      <c r="E708" t="s">
        <v>1698</v>
      </c>
      <c r="F708" t="s">
        <v>257</v>
      </c>
      <c r="G708" t="s">
        <v>258</v>
      </c>
      <c r="H708" t="s">
        <v>293</v>
      </c>
      <c r="I708" t="s">
        <v>381</v>
      </c>
      <c r="J708" t="s">
        <v>279</v>
      </c>
      <c r="K708" t="s">
        <v>334</v>
      </c>
      <c r="L708" t="s">
        <v>245</v>
      </c>
      <c r="M708" t="s">
        <v>253</v>
      </c>
      <c r="N708" t="s">
        <v>247</v>
      </c>
      <c r="O708">
        <v>42314</v>
      </c>
      <c r="P708">
        <v>1.3</v>
      </c>
      <c r="Q708">
        <v>2.88</v>
      </c>
      <c r="R708">
        <f t="shared" si="61"/>
        <v>1.5799999999999998</v>
      </c>
      <c r="S708">
        <v>17</v>
      </c>
      <c r="T708">
        <f t="shared" si="62"/>
        <v>48.96</v>
      </c>
      <c r="U708">
        <v>0.09</v>
      </c>
      <c r="V708">
        <f t="shared" si="63"/>
        <v>4.4063999999999997</v>
      </c>
      <c r="W708">
        <f t="shared" si="64"/>
        <v>44.553600000000003</v>
      </c>
      <c r="X708">
        <v>1.01</v>
      </c>
      <c r="Y708">
        <f t="shared" si="65"/>
        <v>45.563600000000001</v>
      </c>
    </row>
    <row r="709" spans="1:25" x14ac:dyDescent="0.25">
      <c r="A709" t="s">
        <v>1717</v>
      </c>
      <c r="B709">
        <v>42314</v>
      </c>
      <c r="C709" t="str">
        <f t="shared" si="60"/>
        <v>2015</v>
      </c>
      <c r="D709" t="s">
        <v>1718</v>
      </c>
      <c r="E709" t="s">
        <v>356</v>
      </c>
      <c r="F709" t="s">
        <v>239</v>
      </c>
      <c r="G709" t="s">
        <v>240</v>
      </c>
      <c r="H709" t="s">
        <v>259</v>
      </c>
      <c r="I709" t="s">
        <v>251</v>
      </c>
      <c r="J709" t="s">
        <v>243</v>
      </c>
      <c r="K709" t="s">
        <v>1130</v>
      </c>
      <c r="L709" t="s">
        <v>268</v>
      </c>
      <c r="M709" t="s">
        <v>246</v>
      </c>
      <c r="N709" t="s">
        <v>263</v>
      </c>
      <c r="O709">
        <v>42314</v>
      </c>
      <c r="P709">
        <v>14.7</v>
      </c>
      <c r="Q709">
        <v>29.99</v>
      </c>
      <c r="R709">
        <f t="shared" si="61"/>
        <v>15.29</v>
      </c>
      <c r="S709">
        <v>20</v>
      </c>
      <c r="T709">
        <f t="shared" si="62"/>
        <v>599.79999999999995</v>
      </c>
      <c r="U709">
        <v>0.04</v>
      </c>
      <c r="V709">
        <f t="shared" si="63"/>
        <v>23.991999999999997</v>
      </c>
      <c r="W709">
        <f t="shared" si="64"/>
        <v>575.80799999999999</v>
      </c>
      <c r="X709">
        <v>5.5</v>
      </c>
      <c r="Y709">
        <f t="shared" si="65"/>
        <v>581.30799999999999</v>
      </c>
    </row>
    <row r="710" spans="1:25" x14ac:dyDescent="0.25">
      <c r="A710" t="s">
        <v>1719</v>
      </c>
      <c r="B710">
        <v>42314</v>
      </c>
      <c r="C710" t="str">
        <f t="shared" ref="C710:C773" si="66">TEXT(B710,"yyyy")</f>
        <v>2015</v>
      </c>
      <c r="D710" t="s">
        <v>549</v>
      </c>
      <c r="E710" t="s">
        <v>380</v>
      </c>
      <c r="F710" t="s">
        <v>257</v>
      </c>
      <c r="G710" t="s">
        <v>258</v>
      </c>
      <c r="H710" t="s">
        <v>293</v>
      </c>
      <c r="I710" t="s">
        <v>381</v>
      </c>
      <c r="J710" t="s">
        <v>279</v>
      </c>
      <c r="K710" t="s">
        <v>295</v>
      </c>
      <c r="L710" t="s">
        <v>245</v>
      </c>
      <c r="M710" t="s">
        <v>246</v>
      </c>
      <c r="N710" t="s">
        <v>247</v>
      </c>
      <c r="O710">
        <v>42321</v>
      </c>
      <c r="P710">
        <v>54.29</v>
      </c>
      <c r="Q710">
        <v>90.48</v>
      </c>
      <c r="R710">
        <f t="shared" ref="R710:R773" si="67">Q710-P710</f>
        <v>36.190000000000005</v>
      </c>
      <c r="S710">
        <v>49</v>
      </c>
      <c r="T710">
        <f t="shared" ref="T710:T773" si="68">Q710*S710</f>
        <v>4433.5200000000004</v>
      </c>
      <c r="U710">
        <v>0.05</v>
      </c>
      <c r="V710">
        <f t="shared" ref="V710:V773" si="69">T710*U710</f>
        <v>221.67600000000004</v>
      </c>
      <c r="W710">
        <f t="shared" ref="W710:W773" si="70">T710-V710</f>
        <v>4211.8440000000001</v>
      </c>
      <c r="X710">
        <v>19.989999999999998</v>
      </c>
      <c r="Y710">
        <f t="shared" ref="Y710:Y773" si="71">W710+X710</f>
        <v>4231.8339999999998</v>
      </c>
    </row>
    <row r="711" spans="1:25" x14ac:dyDescent="0.25">
      <c r="A711" t="s">
        <v>1720</v>
      </c>
      <c r="B711">
        <v>42315</v>
      </c>
      <c r="C711" t="str">
        <f t="shared" si="66"/>
        <v>2015</v>
      </c>
      <c r="D711" t="s">
        <v>1501</v>
      </c>
      <c r="E711" t="s">
        <v>359</v>
      </c>
      <c r="F711" t="s">
        <v>239</v>
      </c>
      <c r="G711" t="s">
        <v>240</v>
      </c>
      <c r="H711" t="s">
        <v>259</v>
      </c>
      <c r="I711" t="s">
        <v>251</v>
      </c>
      <c r="J711" t="s">
        <v>261</v>
      </c>
      <c r="K711" t="s">
        <v>399</v>
      </c>
      <c r="L711" t="s">
        <v>245</v>
      </c>
      <c r="M711" t="s">
        <v>253</v>
      </c>
      <c r="N711" t="s">
        <v>247</v>
      </c>
      <c r="O711">
        <v>42316</v>
      </c>
      <c r="P711">
        <v>3.47</v>
      </c>
      <c r="Q711">
        <v>6.68</v>
      </c>
      <c r="R711">
        <f t="shared" si="67"/>
        <v>3.2099999999999995</v>
      </c>
      <c r="S711">
        <v>12</v>
      </c>
      <c r="T711">
        <f t="shared" si="68"/>
        <v>80.16</v>
      </c>
      <c r="U711">
        <v>0.06</v>
      </c>
      <c r="V711">
        <f t="shared" si="69"/>
        <v>4.8095999999999997</v>
      </c>
      <c r="W711">
        <f t="shared" si="70"/>
        <v>75.350399999999993</v>
      </c>
      <c r="X711">
        <v>1.5</v>
      </c>
      <c r="Y711">
        <f t="shared" si="71"/>
        <v>76.850399999999993</v>
      </c>
    </row>
    <row r="712" spans="1:25" x14ac:dyDescent="0.25">
      <c r="A712" t="s">
        <v>1721</v>
      </c>
      <c r="B712">
        <v>42318</v>
      </c>
      <c r="C712" t="str">
        <f t="shared" si="66"/>
        <v>2015</v>
      </c>
      <c r="D712" t="s">
        <v>815</v>
      </c>
      <c r="E712" t="s">
        <v>816</v>
      </c>
      <c r="F712" t="s">
        <v>257</v>
      </c>
      <c r="G712" t="s">
        <v>258</v>
      </c>
      <c r="H712" t="s">
        <v>259</v>
      </c>
      <c r="I712" t="s">
        <v>492</v>
      </c>
      <c r="J712" t="s">
        <v>279</v>
      </c>
      <c r="K712" t="s">
        <v>656</v>
      </c>
      <c r="L712" t="s">
        <v>245</v>
      </c>
      <c r="M712" t="s">
        <v>253</v>
      </c>
      <c r="N712" t="s">
        <v>247</v>
      </c>
      <c r="O712">
        <v>42322</v>
      </c>
      <c r="P712">
        <v>0.93</v>
      </c>
      <c r="Q712">
        <v>1.48</v>
      </c>
      <c r="R712">
        <f t="shared" si="67"/>
        <v>0.54999999999999993</v>
      </c>
      <c r="S712">
        <v>19</v>
      </c>
      <c r="T712">
        <f t="shared" si="68"/>
        <v>28.12</v>
      </c>
      <c r="U712">
        <v>0</v>
      </c>
      <c r="V712">
        <f t="shared" si="69"/>
        <v>0</v>
      </c>
      <c r="W712">
        <f t="shared" si="70"/>
        <v>28.12</v>
      </c>
      <c r="X712">
        <v>0.7</v>
      </c>
      <c r="Y712">
        <f t="shared" si="71"/>
        <v>28.82</v>
      </c>
    </row>
    <row r="713" spans="1:25" x14ac:dyDescent="0.25">
      <c r="A713" t="s">
        <v>1722</v>
      </c>
      <c r="B713">
        <v>42318</v>
      </c>
      <c r="C713" t="str">
        <f t="shared" si="66"/>
        <v>2015</v>
      </c>
      <c r="D713" t="s">
        <v>1503</v>
      </c>
      <c r="E713" t="s">
        <v>760</v>
      </c>
      <c r="F713" t="s">
        <v>448</v>
      </c>
      <c r="G713" t="s">
        <v>449</v>
      </c>
      <c r="H713" t="s">
        <v>259</v>
      </c>
      <c r="I713" t="s">
        <v>333</v>
      </c>
      <c r="J713" t="s">
        <v>304</v>
      </c>
      <c r="K713" t="s">
        <v>1191</v>
      </c>
      <c r="L713" t="s">
        <v>245</v>
      </c>
      <c r="M713" t="s">
        <v>246</v>
      </c>
      <c r="N713" t="s">
        <v>247</v>
      </c>
      <c r="O713">
        <v>42318</v>
      </c>
      <c r="P713">
        <v>4.03</v>
      </c>
      <c r="Q713">
        <v>9.3800000000000008</v>
      </c>
      <c r="R713">
        <f t="shared" si="67"/>
        <v>5.3500000000000005</v>
      </c>
      <c r="S713">
        <v>24</v>
      </c>
      <c r="T713">
        <f t="shared" si="68"/>
        <v>225.12</v>
      </c>
      <c r="U713">
        <v>0.05</v>
      </c>
      <c r="V713">
        <f t="shared" si="69"/>
        <v>11.256</v>
      </c>
      <c r="W713">
        <f t="shared" si="70"/>
        <v>213.864</v>
      </c>
      <c r="X713">
        <v>7.28</v>
      </c>
      <c r="Y713">
        <f t="shared" si="71"/>
        <v>221.14400000000001</v>
      </c>
    </row>
    <row r="714" spans="1:25" x14ac:dyDescent="0.25">
      <c r="A714" t="s">
        <v>1723</v>
      </c>
      <c r="B714">
        <v>42319</v>
      </c>
      <c r="C714" t="str">
        <f t="shared" si="66"/>
        <v>2015</v>
      </c>
      <c r="D714" t="s">
        <v>1635</v>
      </c>
      <c r="E714" t="s">
        <v>1348</v>
      </c>
      <c r="F714" t="s">
        <v>257</v>
      </c>
      <c r="G714" t="s">
        <v>258</v>
      </c>
      <c r="H714" t="s">
        <v>241</v>
      </c>
      <c r="I714" t="s">
        <v>492</v>
      </c>
      <c r="J714" t="s">
        <v>243</v>
      </c>
      <c r="K714" t="s">
        <v>368</v>
      </c>
      <c r="L714" t="s">
        <v>245</v>
      </c>
      <c r="M714" t="s">
        <v>246</v>
      </c>
      <c r="N714" t="s">
        <v>247</v>
      </c>
      <c r="O714">
        <v>42321</v>
      </c>
      <c r="P714">
        <v>1.59</v>
      </c>
      <c r="Q714">
        <v>2.61</v>
      </c>
      <c r="R714">
        <f t="shared" si="67"/>
        <v>1.0199999999999998</v>
      </c>
      <c r="S714">
        <v>40</v>
      </c>
      <c r="T714">
        <f t="shared" si="68"/>
        <v>104.39999999999999</v>
      </c>
      <c r="U714">
        <v>0.03</v>
      </c>
      <c r="V714">
        <f t="shared" si="69"/>
        <v>3.1319999999999997</v>
      </c>
      <c r="W714">
        <f t="shared" si="70"/>
        <v>101.26799999999999</v>
      </c>
      <c r="X714">
        <v>0.5</v>
      </c>
      <c r="Y714">
        <f t="shared" si="71"/>
        <v>101.76799999999999</v>
      </c>
    </row>
    <row r="715" spans="1:25" x14ac:dyDescent="0.25">
      <c r="A715" t="s">
        <v>1724</v>
      </c>
      <c r="B715">
        <v>42320</v>
      </c>
      <c r="C715" t="str">
        <f t="shared" si="66"/>
        <v>2015</v>
      </c>
      <c r="D715" t="s">
        <v>1350</v>
      </c>
      <c r="E715" t="s">
        <v>367</v>
      </c>
      <c r="F715" t="s">
        <v>239</v>
      </c>
      <c r="G715" t="s">
        <v>240</v>
      </c>
      <c r="H715" t="s">
        <v>293</v>
      </c>
      <c r="I715" t="s">
        <v>251</v>
      </c>
      <c r="J715" t="s">
        <v>294</v>
      </c>
      <c r="K715" t="s">
        <v>963</v>
      </c>
      <c r="L715" t="s">
        <v>245</v>
      </c>
      <c r="M715" t="s">
        <v>323</v>
      </c>
      <c r="N715" t="s">
        <v>247</v>
      </c>
      <c r="O715">
        <v>42322</v>
      </c>
      <c r="P715">
        <v>4.1900000000000004</v>
      </c>
      <c r="Q715">
        <v>10.23</v>
      </c>
      <c r="R715">
        <f t="shared" si="67"/>
        <v>6.04</v>
      </c>
      <c r="S715">
        <v>46</v>
      </c>
      <c r="T715">
        <f t="shared" si="68"/>
        <v>470.58000000000004</v>
      </c>
      <c r="U715">
        <v>0.08</v>
      </c>
      <c r="V715">
        <f t="shared" si="69"/>
        <v>37.646400000000007</v>
      </c>
      <c r="W715">
        <f t="shared" si="70"/>
        <v>432.93360000000001</v>
      </c>
      <c r="X715">
        <v>4.68</v>
      </c>
      <c r="Y715">
        <f t="shared" si="71"/>
        <v>437.61360000000002</v>
      </c>
    </row>
    <row r="716" spans="1:25" x14ac:dyDescent="0.25">
      <c r="A716" t="s">
        <v>1725</v>
      </c>
      <c r="B716">
        <v>42323</v>
      </c>
      <c r="C716" t="str">
        <f t="shared" si="66"/>
        <v>2015</v>
      </c>
      <c r="D716" t="s">
        <v>1726</v>
      </c>
      <c r="E716" t="s">
        <v>1727</v>
      </c>
      <c r="F716" t="s">
        <v>239</v>
      </c>
      <c r="G716" t="s">
        <v>240</v>
      </c>
      <c r="H716" t="s">
        <v>259</v>
      </c>
      <c r="I716" t="s">
        <v>242</v>
      </c>
      <c r="J716" t="s">
        <v>279</v>
      </c>
      <c r="K716" t="s">
        <v>1728</v>
      </c>
      <c r="L716" t="s">
        <v>245</v>
      </c>
      <c r="M716" t="s">
        <v>253</v>
      </c>
      <c r="N716" t="s">
        <v>247</v>
      </c>
      <c r="O716">
        <v>42332</v>
      </c>
      <c r="P716">
        <v>3.95</v>
      </c>
      <c r="Q716">
        <v>6.08</v>
      </c>
      <c r="R716">
        <f t="shared" si="67"/>
        <v>2.13</v>
      </c>
      <c r="S716">
        <v>41</v>
      </c>
      <c r="T716">
        <f t="shared" si="68"/>
        <v>249.28</v>
      </c>
      <c r="U716">
        <v>0.03</v>
      </c>
      <c r="V716">
        <f t="shared" si="69"/>
        <v>7.4783999999999997</v>
      </c>
      <c r="W716">
        <f t="shared" si="70"/>
        <v>241.80160000000001</v>
      </c>
      <c r="X716">
        <v>1.82</v>
      </c>
      <c r="Y716">
        <f t="shared" si="71"/>
        <v>243.6216</v>
      </c>
    </row>
    <row r="717" spans="1:25" x14ac:dyDescent="0.25">
      <c r="A717" t="s">
        <v>1729</v>
      </c>
      <c r="B717">
        <v>42324</v>
      </c>
      <c r="C717" t="str">
        <f t="shared" si="66"/>
        <v>2015</v>
      </c>
      <c r="D717" t="s">
        <v>427</v>
      </c>
      <c r="E717" t="s">
        <v>428</v>
      </c>
      <c r="F717" t="s">
        <v>257</v>
      </c>
      <c r="G717" t="s">
        <v>258</v>
      </c>
      <c r="H717" t="s">
        <v>274</v>
      </c>
      <c r="I717" t="s">
        <v>333</v>
      </c>
      <c r="J717" t="s">
        <v>261</v>
      </c>
      <c r="K717" t="s">
        <v>576</v>
      </c>
      <c r="L717" t="s">
        <v>245</v>
      </c>
      <c r="M717" t="s">
        <v>253</v>
      </c>
      <c r="N717" t="s">
        <v>247</v>
      </c>
      <c r="O717">
        <v>42325</v>
      </c>
      <c r="P717">
        <v>3.88</v>
      </c>
      <c r="Q717">
        <v>6.47</v>
      </c>
      <c r="R717">
        <f t="shared" si="67"/>
        <v>2.59</v>
      </c>
      <c r="S717">
        <v>22</v>
      </c>
      <c r="T717">
        <f t="shared" si="68"/>
        <v>142.34</v>
      </c>
      <c r="U717">
        <v>0.04</v>
      </c>
      <c r="V717">
        <f t="shared" si="69"/>
        <v>5.6936</v>
      </c>
      <c r="W717">
        <f t="shared" si="70"/>
        <v>136.6464</v>
      </c>
      <c r="X717">
        <v>1.22</v>
      </c>
      <c r="Y717">
        <f t="shared" si="71"/>
        <v>137.8664</v>
      </c>
    </row>
    <row r="718" spans="1:25" x14ac:dyDescent="0.25">
      <c r="A718" t="s">
        <v>1730</v>
      </c>
      <c r="B718">
        <v>42325</v>
      </c>
      <c r="C718" t="str">
        <f t="shared" si="66"/>
        <v>2015</v>
      </c>
      <c r="D718" t="s">
        <v>1731</v>
      </c>
      <c r="E718" t="s">
        <v>564</v>
      </c>
      <c r="F718" t="s">
        <v>257</v>
      </c>
      <c r="G718" t="s">
        <v>258</v>
      </c>
      <c r="H718" t="s">
        <v>293</v>
      </c>
      <c r="I718" t="s">
        <v>284</v>
      </c>
      <c r="J718" t="s">
        <v>261</v>
      </c>
      <c r="K718" t="s">
        <v>963</v>
      </c>
      <c r="L718" t="s">
        <v>245</v>
      </c>
      <c r="M718" t="s">
        <v>323</v>
      </c>
      <c r="N718" t="s">
        <v>247</v>
      </c>
      <c r="O718">
        <v>42327</v>
      </c>
      <c r="P718">
        <v>4.1900000000000004</v>
      </c>
      <c r="Q718">
        <v>10.23</v>
      </c>
      <c r="R718">
        <f t="shared" si="67"/>
        <v>6.04</v>
      </c>
      <c r="S718">
        <v>16</v>
      </c>
      <c r="T718">
        <f t="shared" si="68"/>
        <v>163.68</v>
      </c>
      <c r="U718">
        <v>0.02</v>
      </c>
      <c r="V718">
        <f t="shared" si="69"/>
        <v>3.2736000000000001</v>
      </c>
      <c r="W718">
        <f t="shared" si="70"/>
        <v>160.40640000000002</v>
      </c>
      <c r="X718">
        <v>4.68</v>
      </c>
      <c r="Y718">
        <f t="shared" si="71"/>
        <v>165.08640000000003</v>
      </c>
    </row>
    <row r="719" spans="1:25" x14ac:dyDescent="0.25">
      <c r="A719" t="s">
        <v>1732</v>
      </c>
      <c r="B719">
        <v>42325</v>
      </c>
      <c r="C719" t="str">
        <f t="shared" si="66"/>
        <v>2015</v>
      </c>
      <c r="D719" t="s">
        <v>1709</v>
      </c>
      <c r="E719" t="s">
        <v>424</v>
      </c>
      <c r="F719" t="s">
        <v>257</v>
      </c>
      <c r="G719" t="s">
        <v>258</v>
      </c>
      <c r="H719" t="s">
        <v>293</v>
      </c>
      <c r="I719" t="s">
        <v>299</v>
      </c>
      <c r="J719" t="s">
        <v>279</v>
      </c>
      <c r="K719" t="s">
        <v>607</v>
      </c>
      <c r="L719" t="s">
        <v>245</v>
      </c>
      <c r="M719" t="s">
        <v>246</v>
      </c>
      <c r="N719" t="s">
        <v>247</v>
      </c>
      <c r="O719">
        <v>42332</v>
      </c>
      <c r="P719">
        <v>4.46</v>
      </c>
      <c r="Q719">
        <v>10.89</v>
      </c>
      <c r="R719">
        <f t="shared" si="67"/>
        <v>6.4300000000000006</v>
      </c>
      <c r="S719">
        <v>10</v>
      </c>
      <c r="T719">
        <f t="shared" si="68"/>
        <v>108.9</v>
      </c>
      <c r="U719">
        <v>0.1</v>
      </c>
      <c r="V719">
        <f t="shared" si="69"/>
        <v>10.89</v>
      </c>
      <c r="W719">
        <f t="shared" si="70"/>
        <v>98.01</v>
      </c>
      <c r="X719">
        <v>4.5</v>
      </c>
      <c r="Y719">
        <f t="shared" si="71"/>
        <v>102.51</v>
      </c>
    </row>
    <row r="720" spans="1:25" x14ac:dyDescent="0.25">
      <c r="A720" t="s">
        <v>1733</v>
      </c>
      <c r="B720">
        <v>42328</v>
      </c>
      <c r="C720" t="str">
        <f t="shared" si="66"/>
        <v>2015</v>
      </c>
      <c r="D720" t="s">
        <v>1623</v>
      </c>
      <c r="E720" t="s">
        <v>346</v>
      </c>
      <c r="F720" t="s">
        <v>257</v>
      </c>
      <c r="G720" t="s">
        <v>258</v>
      </c>
      <c r="H720" t="s">
        <v>241</v>
      </c>
      <c r="I720" t="s">
        <v>309</v>
      </c>
      <c r="J720" t="s">
        <v>243</v>
      </c>
      <c r="K720" t="s">
        <v>617</v>
      </c>
      <c r="L720" t="s">
        <v>245</v>
      </c>
      <c r="M720" t="s">
        <v>246</v>
      </c>
      <c r="N720" t="s">
        <v>247</v>
      </c>
      <c r="O720">
        <v>42330</v>
      </c>
      <c r="P720">
        <v>1.94</v>
      </c>
      <c r="Q720">
        <v>3.08</v>
      </c>
      <c r="R720">
        <f t="shared" si="67"/>
        <v>1.1400000000000001</v>
      </c>
      <c r="S720">
        <v>11</v>
      </c>
      <c r="T720">
        <f t="shared" si="68"/>
        <v>33.880000000000003</v>
      </c>
      <c r="U720">
        <v>0.09</v>
      </c>
      <c r="V720">
        <f t="shared" si="69"/>
        <v>3.0491999999999999</v>
      </c>
      <c r="W720">
        <f t="shared" si="70"/>
        <v>30.830800000000004</v>
      </c>
      <c r="X720">
        <v>0.99</v>
      </c>
      <c r="Y720">
        <f t="shared" si="71"/>
        <v>31.820800000000002</v>
      </c>
    </row>
    <row r="721" spans="1:25" x14ac:dyDescent="0.25">
      <c r="A721" t="s">
        <v>1734</v>
      </c>
      <c r="B721">
        <v>42330</v>
      </c>
      <c r="C721" t="str">
        <f t="shared" si="66"/>
        <v>2015</v>
      </c>
      <c r="D721" t="s">
        <v>1353</v>
      </c>
      <c r="E721" t="s">
        <v>727</v>
      </c>
      <c r="F721" t="s">
        <v>257</v>
      </c>
      <c r="G721" t="s">
        <v>258</v>
      </c>
      <c r="H721" t="s">
        <v>259</v>
      </c>
      <c r="I721" t="s">
        <v>333</v>
      </c>
      <c r="J721" t="s">
        <v>304</v>
      </c>
      <c r="K721" t="s">
        <v>630</v>
      </c>
      <c r="L721" t="s">
        <v>245</v>
      </c>
      <c r="M721" t="s">
        <v>253</v>
      </c>
      <c r="N721" t="s">
        <v>247</v>
      </c>
      <c r="O721">
        <v>42331</v>
      </c>
      <c r="P721">
        <v>1.53</v>
      </c>
      <c r="Q721">
        <v>2.78</v>
      </c>
      <c r="R721">
        <f t="shared" si="67"/>
        <v>1.2499999999999998</v>
      </c>
      <c r="S721">
        <v>21</v>
      </c>
      <c r="T721">
        <f t="shared" si="68"/>
        <v>58.379999999999995</v>
      </c>
      <c r="U721">
        <v>0.06</v>
      </c>
      <c r="V721">
        <f t="shared" si="69"/>
        <v>3.5027999999999997</v>
      </c>
      <c r="W721">
        <f t="shared" si="70"/>
        <v>54.877199999999995</v>
      </c>
      <c r="X721">
        <v>1.34</v>
      </c>
      <c r="Y721">
        <f t="shared" si="71"/>
        <v>56.217199999999998</v>
      </c>
    </row>
    <row r="722" spans="1:25" x14ac:dyDescent="0.25">
      <c r="A722" t="s">
        <v>1735</v>
      </c>
      <c r="B722">
        <v>42332</v>
      </c>
      <c r="C722" t="str">
        <f t="shared" si="66"/>
        <v>2015</v>
      </c>
      <c r="D722" t="s">
        <v>864</v>
      </c>
      <c r="E722" t="s">
        <v>633</v>
      </c>
      <c r="F722" t="s">
        <v>239</v>
      </c>
      <c r="G722" t="s">
        <v>240</v>
      </c>
      <c r="H722" t="s">
        <v>293</v>
      </c>
      <c r="I722" t="s">
        <v>242</v>
      </c>
      <c r="J722" t="s">
        <v>279</v>
      </c>
      <c r="K722" t="s">
        <v>377</v>
      </c>
      <c r="L722" t="s">
        <v>268</v>
      </c>
      <c r="M722" t="s">
        <v>246</v>
      </c>
      <c r="N722" t="s">
        <v>247</v>
      </c>
      <c r="O722">
        <v>42332</v>
      </c>
      <c r="P722">
        <v>39.64</v>
      </c>
      <c r="Q722">
        <v>152.47999999999999</v>
      </c>
      <c r="R722">
        <f t="shared" si="67"/>
        <v>112.83999999999999</v>
      </c>
      <c r="S722">
        <v>17</v>
      </c>
      <c r="T722">
        <f t="shared" si="68"/>
        <v>2592.16</v>
      </c>
      <c r="U722">
        <v>0.04</v>
      </c>
      <c r="V722">
        <f t="shared" si="69"/>
        <v>103.68639999999999</v>
      </c>
      <c r="W722">
        <f t="shared" si="70"/>
        <v>2488.4735999999998</v>
      </c>
      <c r="X722">
        <v>6.5</v>
      </c>
      <c r="Y722">
        <f t="shared" si="71"/>
        <v>2494.9735999999998</v>
      </c>
    </row>
    <row r="723" spans="1:25" x14ac:dyDescent="0.25">
      <c r="A723" t="s">
        <v>1736</v>
      </c>
      <c r="B723">
        <v>42336</v>
      </c>
      <c r="C723" t="str">
        <f t="shared" si="66"/>
        <v>2015</v>
      </c>
      <c r="D723" t="s">
        <v>1737</v>
      </c>
      <c r="E723" t="s">
        <v>532</v>
      </c>
      <c r="F723" t="s">
        <v>257</v>
      </c>
      <c r="G723" t="s">
        <v>258</v>
      </c>
      <c r="H723" t="s">
        <v>293</v>
      </c>
      <c r="I723" t="s">
        <v>260</v>
      </c>
      <c r="J723" t="s">
        <v>261</v>
      </c>
      <c r="K723" t="s">
        <v>576</v>
      </c>
      <c r="L723" t="s">
        <v>245</v>
      </c>
      <c r="M723" t="s">
        <v>253</v>
      </c>
      <c r="N723" t="s">
        <v>247</v>
      </c>
      <c r="O723">
        <v>42338</v>
      </c>
      <c r="P723">
        <v>3.88</v>
      </c>
      <c r="Q723">
        <v>6.47</v>
      </c>
      <c r="R723">
        <f t="shared" si="67"/>
        <v>2.59</v>
      </c>
      <c r="S723">
        <v>16</v>
      </c>
      <c r="T723">
        <f t="shared" si="68"/>
        <v>103.52</v>
      </c>
      <c r="U723">
        <v>0.01</v>
      </c>
      <c r="V723">
        <f t="shared" si="69"/>
        <v>1.0351999999999999</v>
      </c>
      <c r="W723">
        <f t="shared" si="70"/>
        <v>102.48479999999999</v>
      </c>
      <c r="X723">
        <v>1.22</v>
      </c>
      <c r="Y723">
        <f t="shared" si="71"/>
        <v>103.70479999999999</v>
      </c>
    </row>
    <row r="724" spans="1:25" x14ac:dyDescent="0.25">
      <c r="A724" t="s">
        <v>1738</v>
      </c>
      <c r="B724">
        <v>42338</v>
      </c>
      <c r="C724" t="str">
        <f t="shared" si="66"/>
        <v>2015</v>
      </c>
      <c r="D724" t="s">
        <v>764</v>
      </c>
      <c r="E724" t="s">
        <v>612</v>
      </c>
      <c r="F724" t="s">
        <v>239</v>
      </c>
      <c r="G724" t="s">
        <v>240</v>
      </c>
      <c r="H724" t="s">
        <v>259</v>
      </c>
      <c r="I724" t="s">
        <v>242</v>
      </c>
      <c r="J724" t="s">
        <v>243</v>
      </c>
      <c r="K724" t="s">
        <v>313</v>
      </c>
      <c r="L724" t="s">
        <v>245</v>
      </c>
      <c r="M724" t="s">
        <v>246</v>
      </c>
      <c r="N724" t="s">
        <v>247</v>
      </c>
      <c r="O724">
        <v>42339</v>
      </c>
      <c r="P724">
        <v>36.020000000000003</v>
      </c>
      <c r="Q724">
        <v>58.1</v>
      </c>
      <c r="R724">
        <f t="shared" si="67"/>
        <v>22.08</v>
      </c>
      <c r="S724">
        <v>27</v>
      </c>
      <c r="T724">
        <f t="shared" si="68"/>
        <v>1568.7</v>
      </c>
      <c r="U724">
        <v>7.0000000000000007E-2</v>
      </c>
      <c r="V724">
        <f t="shared" si="69"/>
        <v>109.80900000000001</v>
      </c>
      <c r="W724">
        <f t="shared" si="70"/>
        <v>1458.8910000000001</v>
      </c>
      <c r="X724">
        <v>1.49</v>
      </c>
      <c r="Y724">
        <f t="shared" si="71"/>
        <v>1460.3810000000001</v>
      </c>
    </row>
    <row r="725" spans="1:25" x14ac:dyDescent="0.25">
      <c r="A725" t="s">
        <v>1739</v>
      </c>
      <c r="B725">
        <v>42338</v>
      </c>
      <c r="C725" t="str">
        <f t="shared" si="66"/>
        <v>2015</v>
      </c>
      <c r="D725" t="s">
        <v>1740</v>
      </c>
      <c r="E725" t="s">
        <v>775</v>
      </c>
      <c r="F725" t="s">
        <v>257</v>
      </c>
      <c r="G725" t="s">
        <v>258</v>
      </c>
      <c r="H725" t="s">
        <v>259</v>
      </c>
      <c r="I725" t="s">
        <v>381</v>
      </c>
      <c r="J725" t="s">
        <v>294</v>
      </c>
      <c r="K725" t="s">
        <v>572</v>
      </c>
      <c r="L725" t="s">
        <v>245</v>
      </c>
      <c r="M725" t="s">
        <v>253</v>
      </c>
      <c r="N725" t="s">
        <v>247</v>
      </c>
      <c r="O725">
        <v>42339</v>
      </c>
      <c r="P725">
        <v>4.37</v>
      </c>
      <c r="Q725">
        <v>9.11</v>
      </c>
      <c r="R725">
        <f t="shared" si="67"/>
        <v>4.7399999999999993</v>
      </c>
      <c r="S725">
        <v>30</v>
      </c>
      <c r="T725">
        <f t="shared" si="68"/>
        <v>273.29999999999995</v>
      </c>
      <c r="U725">
        <v>0.03</v>
      </c>
      <c r="V725">
        <f t="shared" si="69"/>
        <v>8.1989999999999981</v>
      </c>
      <c r="W725">
        <f t="shared" si="70"/>
        <v>265.10099999999994</v>
      </c>
      <c r="X725">
        <v>2.25</v>
      </c>
      <c r="Y725">
        <f t="shared" si="71"/>
        <v>267.35099999999994</v>
      </c>
    </row>
    <row r="726" spans="1:25" x14ac:dyDescent="0.25">
      <c r="A726" t="s">
        <v>1741</v>
      </c>
      <c r="B726">
        <v>42342</v>
      </c>
      <c r="C726" t="str">
        <f t="shared" si="66"/>
        <v>2015</v>
      </c>
      <c r="D726" t="s">
        <v>1090</v>
      </c>
      <c r="E726" t="s">
        <v>835</v>
      </c>
      <c r="F726" t="s">
        <v>257</v>
      </c>
      <c r="G726" t="s">
        <v>258</v>
      </c>
      <c r="H726" t="s">
        <v>293</v>
      </c>
      <c r="I726" t="s">
        <v>284</v>
      </c>
      <c r="J726" t="s">
        <v>243</v>
      </c>
      <c r="K726" t="s">
        <v>1119</v>
      </c>
      <c r="L726" t="s">
        <v>245</v>
      </c>
      <c r="M726" t="s">
        <v>246</v>
      </c>
      <c r="N726" t="s">
        <v>247</v>
      </c>
      <c r="O726">
        <v>42343</v>
      </c>
      <c r="P726">
        <v>1.84</v>
      </c>
      <c r="Q726">
        <v>2.88</v>
      </c>
      <c r="R726">
        <f t="shared" si="67"/>
        <v>1.0399999999999998</v>
      </c>
      <c r="S726">
        <v>28</v>
      </c>
      <c r="T726">
        <f t="shared" si="68"/>
        <v>80.64</v>
      </c>
      <c r="U726">
        <v>0.1</v>
      </c>
      <c r="V726">
        <f t="shared" si="69"/>
        <v>8.0640000000000001</v>
      </c>
      <c r="W726">
        <f t="shared" si="70"/>
        <v>72.575999999999993</v>
      </c>
      <c r="X726">
        <v>0.99</v>
      </c>
      <c r="Y726">
        <f t="shared" si="71"/>
        <v>73.565999999999988</v>
      </c>
    </row>
    <row r="727" spans="1:25" x14ac:dyDescent="0.25">
      <c r="A727" t="s">
        <v>1742</v>
      </c>
      <c r="B727">
        <v>42344</v>
      </c>
      <c r="C727" t="str">
        <f t="shared" si="66"/>
        <v>2015</v>
      </c>
      <c r="D727" t="s">
        <v>1450</v>
      </c>
      <c r="E727" t="s">
        <v>341</v>
      </c>
      <c r="F727" t="s">
        <v>257</v>
      </c>
      <c r="G727" t="s">
        <v>258</v>
      </c>
      <c r="H727" t="s">
        <v>259</v>
      </c>
      <c r="I727" t="s">
        <v>342</v>
      </c>
      <c r="J727" t="s">
        <v>279</v>
      </c>
      <c r="K727" t="s">
        <v>630</v>
      </c>
      <c r="L727" t="s">
        <v>245</v>
      </c>
      <c r="M727" t="s">
        <v>253</v>
      </c>
      <c r="N727" t="s">
        <v>247</v>
      </c>
      <c r="O727">
        <v>42346</v>
      </c>
      <c r="P727">
        <v>1.17</v>
      </c>
      <c r="Q727">
        <v>2.78</v>
      </c>
      <c r="R727">
        <f t="shared" si="67"/>
        <v>1.6099999999999999</v>
      </c>
      <c r="S727">
        <v>39</v>
      </c>
      <c r="T727">
        <f t="shared" si="68"/>
        <v>108.41999999999999</v>
      </c>
      <c r="U727">
        <v>0.05</v>
      </c>
      <c r="V727">
        <f t="shared" si="69"/>
        <v>5.4209999999999994</v>
      </c>
      <c r="W727">
        <f t="shared" si="70"/>
        <v>102.999</v>
      </c>
      <c r="X727">
        <v>1.2</v>
      </c>
      <c r="Y727">
        <f t="shared" si="71"/>
        <v>104.199</v>
      </c>
    </row>
    <row r="728" spans="1:25" x14ac:dyDescent="0.25">
      <c r="A728" t="s">
        <v>1743</v>
      </c>
      <c r="B728">
        <v>42344</v>
      </c>
      <c r="C728" t="str">
        <f t="shared" si="66"/>
        <v>2015</v>
      </c>
      <c r="D728" t="s">
        <v>1744</v>
      </c>
      <c r="E728" t="s">
        <v>352</v>
      </c>
      <c r="F728" t="s">
        <v>257</v>
      </c>
      <c r="G728" t="s">
        <v>258</v>
      </c>
      <c r="H728" t="s">
        <v>259</v>
      </c>
      <c r="I728" t="s">
        <v>275</v>
      </c>
      <c r="J728" t="s">
        <v>294</v>
      </c>
      <c r="K728" t="s">
        <v>453</v>
      </c>
      <c r="L728" t="s">
        <v>245</v>
      </c>
      <c r="M728" t="s">
        <v>246</v>
      </c>
      <c r="N728" t="s">
        <v>247</v>
      </c>
      <c r="O728">
        <v>42345</v>
      </c>
      <c r="P728">
        <v>1.18</v>
      </c>
      <c r="Q728">
        <v>1.88</v>
      </c>
      <c r="R728">
        <f t="shared" si="67"/>
        <v>0.7</v>
      </c>
      <c r="S728">
        <v>20</v>
      </c>
      <c r="T728">
        <f t="shared" si="68"/>
        <v>37.599999999999994</v>
      </c>
      <c r="U728">
        <v>7.0000000000000007E-2</v>
      </c>
      <c r="V728">
        <f t="shared" si="69"/>
        <v>2.6319999999999997</v>
      </c>
      <c r="W728">
        <f t="shared" si="70"/>
        <v>34.967999999999996</v>
      </c>
      <c r="X728">
        <v>1.49</v>
      </c>
      <c r="Y728">
        <f t="shared" si="71"/>
        <v>36.457999999999998</v>
      </c>
    </row>
    <row r="729" spans="1:25" x14ac:dyDescent="0.25">
      <c r="A729" t="s">
        <v>1745</v>
      </c>
      <c r="B729">
        <v>42346</v>
      </c>
      <c r="C729" t="str">
        <f t="shared" si="66"/>
        <v>2015</v>
      </c>
      <c r="D729" t="s">
        <v>664</v>
      </c>
      <c r="E729" t="s">
        <v>665</v>
      </c>
      <c r="F729" t="s">
        <v>448</v>
      </c>
      <c r="G729" t="s">
        <v>449</v>
      </c>
      <c r="H729" t="s">
        <v>259</v>
      </c>
      <c r="I729" t="s">
        <v>333</v>
      </c>
      <c r="J729" t="s">
        <v>279</v>
      </c>
      <c r="K729" t="s">
        <v>529</v>
      </c>
      <c r="L729" t="s">
        <v>245</v>
      </c>
      <c r="M729" t="s">
        <v>253</v>
      </c>
      <c r="N729" t="s">
        <v>247</v>
      </c>
      <c r="O729">
        <v>42350</v>
      </c>
      <c r="P729">
        <v>1.6</v>
      </c>
      <c r="Q729">
        <v>2.62</v>
      </c>
      <c r="R729">
        <f t="shared" si="67"/>
        <v>1.02</v>
      </c>
      <c r="S729">
        <v>26</v>
      </c>
      <c r="T729">
        <f t="shared" si="68"/>
        <v>68.12</v>
      </c>
      <c r="U729">
        <v>0.08</v>
      </c>
      <c r="V729">
        <f t="shared" si="69"/>
        <v>5.4496000000000002</v>
      </c>
      <c r="W729">
        <f t="shared" si="70"/>
        <v>62.670400000000001</v>
      </c>
      <c r="X729">
        <v>0.8</v>
      </c>
      <c r="Y729">
        <f t="shared" si="71"/>
        <v>63.470399999999998</v>
      </c>
    </row>
    <row r="730" spans="1:25" x14ac:dyDescent="0.25">
      <c r="A730" t="s">
        <v>1746</v>
      </c>
      <c r="B730">
        <v>42347</v>
      </c>
      <c r="C730" t="str">
        <f t="shared" si="66"/>
        <v>2015</v>
      </c>
      <c r="D730" t="s">
        <v>355</v>
      </c>
      <c r="E730" t="s">
        <v>356</v>
      </c>
      <c r="F730" t="s">
        <v>239</v>
      </c>
      <c r="G730" t="s">
        <v>240</v>
      </c>
      <c r="H730" t="s">
        <v>259</v>
      </c>
      <c r="I730" t="s">
        <v>251</v>
      </c>
      <c r="J730" t="s">
        <v>243</v>
      </c>
      <c r="K730" t="s">
        <v>280</v>
      </c>
      <c r="L730" t="s">
        <v>245</v>
      </c>
      <c r="M730" t="s">
        <v>253</v>
      </c>
      <c r="N730" t="s">
        <v>247</v>
      </c>
      <c r="O730">
        <v>42347</v>
      </c>
      <c r="P730">
        <v>1.0900000000000001</v>
      </c>
      <c r="Q730">
        <v>2.6</v>
      </c>
      <c r="R730">
        <f t="shared" si="67"/>
        <v>1.51</v>
      </c>
      <c r="S730">
        <v>14</v>
      </c>
      <c r="T730">
        <f t="shared" si="68"/>
        <v>36.4</v>
      </c>
      <c r="U730">
        <v>0.08</v>
      </c>
      <c r="V730">
        <f t="shared" si="69"/>
        <v>2.9119999999999999</v>
      </c>
      <c r="W730">
        <f t="shared" si="70"/>
        <v>33.488</v>
      </c>
      <c r="X730">
        <v>2.4</v>
      </c>
      <c r="Y730">
        <f t="shared" si="71"/>
        <v>35.887999999999998</v>
      </c>
    </row>
    <row r="731" spans="1:25" x14ac:dyDescent="0.25">
      <c r="A731" t="s">
        <v>1747</v>
      </c>
      <c r="B731">
        <v>42347</v>
      </c>
      <c r="C731" t="str">
        <f t="shared" si="66"/>
        <v>2015</v>
      </c>
      <c r="D731" t="s">
        <v>1718</v>
      </c>
      <c r="E731" t="s">
        <v>356</v>
      </c>
      <c r="F731" t="s">
        <v>239</v>
      </c>
      <c r="G731" t="s">
        <v>240</v>
      </c>
      <c r="H731" t="s">
        <v>241</v>
      </c>
      <c r="I731" t="s">
        <v>251</v>
      </c>
      <c r="J731" t="s">
        <v>304</v>
      </c>
      <c r="K731" t="s">
        <v>1748</v>
      </c>
      <c r="L731" t="s">
        <v>245</v>
      </c>
      <c r="M731" t="s">
        <v>253</v>
      </c>
      <c r="N731" t="s">
        <v>263</v>
      </c>
      <c r="O731">
        <v>42348</v>
      </c>
      <c r="P731">
        <v>0.32</v>
      </c>
      <c r="Q731">
        <v>1.68</v>
      </c>
      <c r="R731">
        <f t="shared" si="67"/>
        <v>1.3599999999999999</v>
      </c>
      <c r="S731">
        <v>6</v>
      </c>
      <c r="T731">
        <f t="shared" si="68"/>
        <v>10.08</v>
      </c>
      <c r="U731">
        <v>0.05</v>
      </c>
      <c r="V731">
        <f t="shared" si="69"/>
        <v>0.504</v>
      </c>
      <c r="W731">
        <f t="shared" si="70"/>
        <v>9.5760000000000005</v>
      </c>
      <c r="X731">
        <v>1.02</v>
      </c>
      <c r="Y731">
        <f t="shared" si="71"/>
        <v>10.596</v>
      </c>
    </row>
    <row r="732" spans="1:25" x14ac:dyDescent="0.25">
      <c r="A732" t="s">
        <v>1749</v>
      </c>
      <c r="B732">
        <v>42354</v>
      </c>
      <c r="C732" t="str">
        <f t="shared" si="66"/>
        <v>2015</v>
      </c>
      <c r="D732" t="s">
        <v>908</v>
      </c>
      <c r="E732" t="s">
        <v>909</v>
      </c>
      <c r="F732" t="s">
        <v>448</v>
      </c>
      <c r="G732" t="s">
        <v>449</v>
      </c>
      <c r="H732" t="s">
        <v>241</v>
      </c>
      <c r="I732" t="s">
        <v>333</v>
      </c>
      <c r="J732" t="s">
        <v>261</v>
      </c>
      <c r="K732" t="s">
        <v>373</v>
      </c>
      <c r="L732" t="s">
        <v>268</v>
      </c>
      <c r="M732" t="s">
        <v>246</v>
      </c>
      <c r="N732" t="s">
        <v>263</v>
      </c>
      <c r="O732">
        <v>42356</v>
      </c>
      <c r="P732">
        <v>6.39</v>
      </c>
      <c r="Q732">
        <v>19.98</v>
      </c>
      <c r="R732">
        <f t="shared" si="67"/>
        <v>13.59</v>
      </c>
      <c r="S732">
        <v>18</v>
      </c>
      <c r="T732">
        <f t="shared" si="68"/>
        <v>359.64</v>
      </c>
      <c r="U732">
        <v>0.04</v>
      </c>
      <c r="V732">
        <f t="shared" si="69"/>
        <v>14.3856</v>
      </c>
      <c r="W732">
        <f t="shared" si="70"/>
        <v>345.25439999999998</v>
      </c>
      <c r="X732">
        <v>4</v>
      </c>
      <c r="Y732">
        <f t="shared" si="71"/>
        <v>349.25439999999998</v>
      </c>
    </row>
    <row r="733" spans="1:25" x14ac:dyDescent="0.25">
      <c r="A733" t="s">
        <v>1750</v>
      </c>
      <c r="B733">
        <v>42354</v>
      </c>
      <c r="C733" t="str">
        <f t="shared" si="66"/>
        <v>2015</v>
      </c>
      <c r="D733" t="s">
        <v>908</v>
      </c>
      <c r="E733" t="s">
        <v>909</v>
      </c>
      <c r="F733" t="s">
        <v>448</v>
      </c>
      <c r="G733" t="s">
        <v>449</v>
      </c>
      <c r="H733" t="s">
        <v>241</v>
      </c>
      <c r="I733" t="s">
        <v>333</v>
      </c>
      <c r="J733" t="s">
        <v>261</v>
      </c>
      <c r="K733" t="s">
        <v>734</v>
      </c>
      <c r="L733" t="s">
        <v>245</v>
      </c>
      <c r="M733" t="s">
        <v>246</v>
      </c>
      <c r="N733" t="s">
        <v>247</v>
      </c>
      <c r="O733">
        <v>42356</v>
      </c>
      <c r="P733">
        <v>14.95</v>
      </c>
      <c r="Q733">
        <v>34.76</v>
      </c>
      <c r="R733">
        <f t="shared" si="67"/>
        <v>19.809999999999999</v>
      </c>
      <c r="S733">
        <v>46</v>
      </c>
      <c r="T733">
        <f t="shared" si="68"/>
        <v>1598.9599999999998</v>
      </c>
      <c r="U733">
        <v>0.09</v>
      </c>
      <c r="V733">
        <f t="shared" si="69"/>
        <v>143.90639999999999</v>
      </c>
      <c r="W733">
        <f t="shared" si="70"/>
        <v>1455.0535999999997</v>
      </c>
      <c r="X733">
        <v>8.2200000000000006</v>
      </c>
      <c r="Y733">
        <f t="shared" si="71"/>
        <v>1463.2735999999998</v>
      </c>
    </row>
    <row r="734" spans="1:25" x14ac:dyDescent="0.25">
      <c r="A734" t="s">
        <v>1751</v>
      </c>
      <c r="B734">
        <v>42354</v>
      </c>
      <c r="C734" t="str">
        <f t="shared" si="66"/>
        <v>2015</v>
      </c>
      <c r="D734" t="s">
        <v>1343</v>
      </c>
      <c r="E734" t="s">
        <v>288</v>
      </c>
      <c r="F734" t="s">
        <v>257</v>
      </c>
      <c r="G734" t="s">
        <v>258</v>
      </c>
      <c r="H734" t="s">
        <v>274</v>
      </c>
      <c r="I734" t="s">
        <v>284</v>
      </c>
      <c r="J734" t="s">
        <v>304</v>
      </c>
      <c r="K734" t="s">
        <v>285</v>
      </c>
      <c r="L734" t="s">
        <v>245</v>
      </c>
      <c r="M734" t="s">
        <v>246</v>
      </c>
      <c r="N734" t="s">
        <v>247</v>
      </c>
      <c r="O734">
        <v>42355</v>
      </c>
      <c r="P734">
        <v>99.39</v>
      </c>
      <c r="Q734">
        <v>162.93</v>
      </c>
      <c r="R734">
        <f t="shared" si="67"/>
        <v>63.540000000000006</v>
      </c>
      <c r="S734">
        <v>41</v>
      </c>
      <c r="T734">
        <f t="shared" si="68"/>
        <v>6680.13</v>
      </c>
      <c r="U734">
        <v>0.01</v>
      </c>
      <c r="V734">
        <f t="shared" si="69"/>
        <v>66.801299999999998</v>
      </c>
      <c r="W734">
        <f t="shared" si="70"/>
        <v>6613.3287</v>
      </c>
      <c r="X734">
        <v>19.989999999999998</v>
      </c>
      <c r="Y734">
        <f t="shared" si="71"/>
        <v>6633.3186999999998</v>
      </c>
    </row>
    <row r="735" spans="1:25" x14ac:dyDescent="0.25">
      <c r="A735" t="s">
        <v>1752</v>
      </c>
      <c r="B735">
        <v>42357</v>
      </c>
      <c r="C735" t="str">
        <f t="shared" si="66"/>
        <v>2015</v>
      </c>
      <c r="D735" t="s">
        <v>278</v>
      </c>
      <c r="E735" t="s">
        <v>266</v>
      </c>
      <c r="F735" t="s">
        <v>239</v>
      </c>
      <c r="G735" t="s">
        <v>240</v>
      </c>
      <c r="H735" t="s">
        <v>241</v>
      </c>
      <c r="I735" t="s">
        <v>242</v>
      </c>
      <c r="J735" t="s">
        <v>294</v>
      </c>
      <c r="K735" t="s">
        <v>698</v>
      </c>
      <c r="L735" t="s">
        <v>245</v>
      </c>
      <c r="M735" t="s">
        <v>253</v>
      </c>
      <c r="N735" t="s">
        <v>247</v>
      </c>
      <c r="O735">
        <v>42359</v>
      </c>
      <c r="P735">
        <v>3.32</v>
      </c>
      <c r="Q735">
        <v>5.18</v>
      </c>
      <c r="R735">
        <f t="shared" si="67"/>
        <v>1.8599999999999999</v>
      </c>
      <c r="S735">
        <v>25</v>
      </c>
      <c r="T735">
        <f t="shared" si="68"/>
        <v>129.5</v>
      </c>
      <c r="U735">
        <v>0.1</v>
      </c>
      <c r="V735">
        <f t="shared" si="69"/>
        <v>12.950000000000001</v>
      </c>
      <c r="W735">
        <f t="shared" si="70"/>
        <v>116.55</v>
      </c>
      <c r="X735">
        <v>2.04</v>
      </c>
      <c r="Y735">
        <f t="shared" si="71"/>
        <v>118.59</v>
      </c>
    </row>
    <row r="736" spans="1:25" x14ac:dyDescent="0.25">
      <c r="A736" t="s">
        <v>1753</v>
      </c>
      <c r="B736">
        <v>42357</v>
      </c>
      <c r="C736" t="str">
        <f t="shared" si="66"/>
        <v>2015</v>
      </c>
      <c r="D736" t="s">
        <v>1312</v>
      </c>
      <c r="E736" t="s">
        <v>789</v>
      </c>
      <c r="F736" t="s">
        <v>257</v>
      </c>
      <c r="G736" t="s">
        <v>258</v>
      </c>
      <c r="H736" t="s">
        <v>259</v>
      </c>
      <c r="I736" t="s">
        <v>309</v>
      </c>
      <c r="J736" t="s">
        <v>261</v>
      </c>
      <c r="K736" t="s">
        <v>607</v>
      </c>
      <c r="L736" t="s">
        <v>245</v>
      </c>
      <c r="M736" t="s">
        <v>246</v>
      </c>
      <c r="N736" t="s">
        <v>247</v>
      </c>
      <c r="O736">
        <v>42359</v>
      </c>
      <c r="P736">
        <v>4.46</v>
      </c>
      <c r="Q736">
        <v>10.89</v>
      </c>
      <c r="R736">
        <f t="shared" si="67"/>
        <v>6.4300000000000006</v>
      </c>
      <c r="S736">
        <v>30</v>
      </c>
      <c r="T736">
        <f t="shared" si="68"/>
        <v>326.70000000000005</v>
      </c>
      <c r="U736">
        <v>0.08</v>
      </c>
      <c r="V736">
        <f t="shared" si="69"/>
        <v>26.136000000000003</v>
      </c>
      <c r="W736">
        <f t="shared" si="70"/>
        <v>300.56400000000002</v>
      </c>
      <c r="X736">
        <v>4.5</v>
      </c>
      <c r="Y736">
        <f t="shared" si="71"/>
        <v>305.06400000000002</v>
      </c>
    </row>
    <row r="737" spans="1:25" x14ac:dyDescent="0.25">
      <c r="A737" t="s">
        <v>1754</v>
      </c>
      <c r="B737">
        <v>42360</v>
      </c>
      <c r="C737" t="str">
        <f t="shared" si="66"/>
        <v>2015</v>
      </c>
      <c r="D737" t="s">
        <v>690</v>
      </c>
      <c r="E737" t="s">
        <v>691</v>
      </c>
      <c r="F737" t="s">
        <v>448</v>
      </c>
      <c r="G737" t="s">
        <v>449</v>
      </c>
      <c r="H737" t="s">
        <v>241</v>
      </c>
      <c r="I737" t="s">
        <v>504</v>
      </c>
      <c r="J737" t="s">
        <v>294</v>
      </c>
      <c r="K737" t="s">
        <v>429</v>
      </c>
      <c r="L737" t="s">
        <v>268</v>
      </c>
      <c r="M737" t="s">
        <v>246</v>
      </c>
      <c r="N737" t="s">
        <v>247</v>
      </c>
      <c r="O737">
        <v>42362</v>
      </c>
      <c r="P737">
        <v>19.78</v>
      </c>
      <c r="Q737">
        <v>45.99</v>
      </c>
      <c r="R737">
        <f t="shared" si="67"/>
        <v>26.21</v>
      </c>
      <c r="S737">
        <v>11</v>
      </c>
      <c r="T737">
        <f t="shared" si="68"/>
        <v>505.89000000000004</v>
      </c>
      <c r="U737">
        <v>7.0000000000000007E-2</v>
      </c>
      <c r="V737">
        <f t="shared" si="69"/>
        <v>35.412300000000009</v>
      </c>
      <c r="W737">
        <f t="shared" si="70"/>
        <v>470.47770000000003</v>
      </c>
      <c r="X737">
        <v>4.99</v>
      </c>
      <c r="Y737">
        <f t="shared" si="71"/>
        <v>475.46770000000004</v>
      </c>
    </row>
    <row r="738" spans="1:25" x14ac:dyDescent="0.25">
      <c r="A738" t="s">
        <v>1755</v>
      </c>
      <c r="B738">
        <v>42362</v>
      </c>
      <c r="C738" t="str">
        <f t="shared" si="66"/>
        <v>2015</v>
      </c>
      <c r="D738" t="s">
        <v>838</v>
      </c>
      <c r="E738" t="s">
        <v>288</v>
      </c>
      <c r="F738" t="s">
        <v>257</v>
      </c>
      <c r="G738" t="s">
        <v>258</v>
      </c>
      <c r="H738" t="s">
        <v>259</v>
      </c>
      <c r="I738" t="s">
        <v>284</v>
      </c>
      <c r="J738" t="s">
        <v>261</v>
      </c>
      <c r="K738" t="s">
        <v>453</v>
      </c>
      <c r="L738" t="s">
        <v>245</v>
      </c>
      <c r="M738" t="s">
        <v>246</v>
      </c>
      <c r="N738" t="s">
        <v>247</v>
      </c>
      <c r="O738">
        <v>42364</v>
      </c>
      <c r="P738">
        <v>1.18</v>
      </c>
      <c r="Q738">
        <v>1.88</v>
      </c>
      <c r="R738">
        <f t="shared" si="67"/>
        <v>0.7</v>
      </c>
      <c r="S738">
        <v>39</v>
      </c>
      <c r="T738">
        <f t="shared" si="68"/>
        <v>73.319999999999993</v>
      </c>
      <c r="U738">
        <v>7.0000000000000007E-2</v>
      </c>
      <c r="V738">
        <f t="shared" si="69"/>
        <v>5.1323999999999996</v>
      </c>
      <c r="W738">
        <f t="shared" si="70"/>
        <v>68.187599999999989</v>
      </c>
      <c r="X738">
        <v>1.49</v>
      </c>
      <c r="Y738">
        <f t="shared" si="71"/>
        <v>69.677599999999984</v>
      </c>
    </row>
    <row r="739" spans="1:25" x14ac:dyDescent="0.25">
      <c r="A739" t="s">
        <v>1756</v>
      </c>
      <c r="B739">
        <v>42363</v>
      </c>
      <c r="C739" t="str">
        <f t="shared" si="66"/>
        <v>2015</v>
      </c>
      <c r="D739" t="s">
        <v>1147</v>
      </c>
      <c r="E739" t="s">
        <v>320</v>
      </c>
      <c r="F739" t="s">
        <v>257</v>
      </c>
      <c r="G739" t="s">
        <v>258</v>
      </c>
      <c r="H739" t="s">
        <v>259</v>
      </c>
      <c r="I739" t="s">
        <v>260</v>
      </c>
      <c r="J739" t="s">
        <v>279</v>
      </c>
      <c r="K739" t="s">
        <v>939</v>
      </c>
      <c r="L739" t="s">
        <v>268</v>
      </c>
      <c r="M739" t="s">
        <v>647</v>
      </c>
      <c r="N739" t="s">
        <v>247</v>
      </c>
      <c r="O739">
        <v>42370</v>
      </c>
      <c r="P739">
        <v>377.99</v>
      </c>
      <c r="Q739">
        <v>599.99</v>
      </c>
      <c r="R739">
        <f t="shared" si="67"/>
        <v>222</v>
      </c>
      <c r="S739">
        <v>17</v>
      </c>
      <c r="T739">
        <f t="shared" si="68"/>
        <v>10199.83</v>
      </c>
      <c r="U739">
        <v>0.08</v>
      </c>
      <c r="V739">
        <f t="shared" si="69"/>
        <v>815.9864</v>
      </c>
      <c r="W739">
        <f t="shared" si="70"/>
        <v>9383.8436000000002</v>
      </c>
      <c r="X739">
        <v>24.49</v>
      </c>
      <c r="Y739">
        <f t="shared" si="71"/>
        <v>9408.3335999999999</v>
      </c>
    </row>
    <row r="740" spans="1:25" x14ac:dyDescent="0.25">
      <c r="A740" t="s">
        <v>1757</v>
      </c>
      <c r="B740">
        <v>42363</v>
      </c>
      <c r="C740" t="str">
        <f t="shared" si="66"/>
        <v>2015</v>
      </c>
      <c r="D740" t="s">
        <v>602</v>
      </c>
      <c r="E740" t="s">
        <v>428</v>
      </c>
      <c r="F740" t="s">
        <v>257</v>
      </c>
      <c r="G740" t="s">
        <v>258</v>
      </c>
      <c r="H740" t="s">
        <v>259</v>
      </c>
      <c r="I740" t="s">
        <v>333</v>
      </c>
      <c r="J740" t="s">
        <v>243</v>
      </c>
      <c r="K740" t="s">
        <v>289</v>
      </c>
      <c r="L740" t="s">
        <v>245</v>
      </c>
      <c r="M740" t="s">
        <v>253</v>
      </c>
      <c r="N740" t="s">
        <v>247</v>
      </c>
      <c r="O740">
        <v>42364</v>
      </c>
      <c r="P740">
        <v>1.0900000000000001</v>
      </c>
      <c r="Q740">
        <v>1.68</v>
      </c>
      <c r="R740">
        <f t="shared" si="67"/>
        <v>0.58999999999999986</v>
      </c>
      <c r="S740">
        <v>24</v>
      </c>
      <c r="T740">
        <f t="shared" si="68"/>
        <v>40.32</v>
      </c>
      <c r="U740">
        <v>0.05</v>
      </c>
      <c r="V740">
        <f t="shared" si="69"/>
        <v>2.016</v>
      </c>
      <c r="W740">
        <f t="shared" si="70"/>
        <v>38.304000000000002</v>
      </c>
      <c r="X740">
        <v>1</v>
      </c>
      <c r="Y740">
        <f t="shared" si="71"/>
        <v>39.304000000000002</v>
      </c>
    </row>
    <row r="741" spans="1:25" x14ac:dyDescent="0.25">
      <c r="A741" t="s">
        <v>1758</v>
      </c>
      <c r="B741">
        <v>42366</v>
      </c>
      <c r="C741" t="str">
        <f t="shared" si="66"/>
        <v>2015</v>
      </c>
      <c r="D741" t="s">
        <v>1759</v>
      </c>
      <c r="E741" t="s">
        <v>1115</v>
      </c>
      <c r="F741" t="s">
        <v>239</v>
      </c>
      <c r="G741" t="s">
        <v>240</v>
      </c>
      <c r="H741" t="s">
        <v>241</v>
      </c>
      <c r="I741" t="s">
        <v>242</v>
      </c>
      <c r="J741" t="s">
        <v>243</v>
      </c>
      <c r="K741" t="s">
        <v>413</v>
      </c>
      <c r="L741" t="s">
        <v>268</v>
      </c>
      <c r="M741" t="s">
        <v>414</v>
      </c>
      <c r="N741" t="s">
        <v>247</v>
      </c>
      <c r="O741">
        <v>42367</v>
      </c>
      <c r="P741">
        <v>8.82</v>
      </c>
      <c r="Q741">
        <v>20.99</v>
      </c>
      <c r="R741">
        <f t="shared" si="67"/>
        <v>12.169999999999998</v>
      </c>
      <c r="S741">
        <v>30</v>
      </c>
      <c r="T741">
        <f t="shared" si="68"/>
        <v>629.69999999999993</v>
      </c>
      <c r="U741">
        <v>0.03</v>
      </c>
      <c r="V741">
        <f t="shared" si="69"/>
        <v>18.890999999999998</v>
      </c>
      <c r="W741">
        <f t="shared" si="70"/>
        <v>610.80899999999997</v>
      </c>
      <c r="X741">
        <v>4.8099999999999996</v>
      </c>
      <c r="Y741">
        <f t="shared" si="71"/>
        <v>615.61899999999991</v>
      </c>
    </row>
    <row r="742" spans="1:25" x14ac:dyDescent="0.25">
      <c r="A742" t="s">
        <v>1760</v>
      </c>
      <c r="B742">
        <v>42366</v>
      </c>
      <c r="C742" t="str">
        <f t="shared" si="66"/>
        <v>2015</v>
      </c>
      <c r="D742" t="s">
        <v>1072</v>
      </c>
      <c r="E742" t="s">
        <v>463</v>
      </c>
      <c r="F742" t="s">
        <v>257</v>
      </c>
      <c r="G742" t="s">
        <v>258</v>
      </c>
      <c r="H742" t="s">
        <v>293</v>
      </c>
      <c r="I742" t="s">
        <v>333</v>
      </c>
      <c r="J742" t="s">
        <v>261</v>
      </c>
      <c r="K742" t="s">
        <v>453</v>
      </c>
      <c r="L742" t="s">
        <v>245</v>
      </c>
      <c r="M742" t="s">
        <v>246</v>
      </c>
      <c r="N742" t="s">
        <v>247</v>
      </c>
      <c r="O742">
        <v>42368</v>
      </c>
      <c r="P742">
        <v>1.18</v>
      </c>
      <c r="Q742">
        <v>1.88</v>
      </c>
      <c r="R742">
        <f t="shared" si="67"/>
        <v>0.7</v>
      </c>
      <c r="S742">
        <v>1</v>
      </c>
      <c r="T742">
        <f t="shared" si="68"/>
        <v>1.88</v>
      </c>
      <c r="U742">
        <v>0.09</v>
      </c>
      <c r="V742">
        <f t="shared" si="69"/>
        <v>0.16919999999999999</v>
      </c>
      <c r="W742">
        <f t="shared" si="70"/>
        <v>1.7107999999999999</v>
      </c>
      <c r="X742">
        <v>1.49</v>
      </c>
      <c r="Y742">
        <f t="shared" si="71"/>
        <v>3.2008000000000001</v>
      </c>
    </row>
    <row r="743" spans="1:25" x14ac:dyDescent="0.25">
      <c r="A743" t="s">
        <v>1761</v>
      </c>
      <c r="B743">
        <v>42366</v>
      </c>
      <c r="C743" t="str">
        <f t="shared" si="66"/>
        <v>2015</v>
      </c>
      <c r="D743" t="s">
        <v>1660</v>
      </c>
      <c r="E743" t="s">
        <v>1661</v>
      </c>
      <c r="F743" t="s">
        <v>448</v>
      </c>
      <c r="G743" t="s">
        <v>449</v>
      </c>
      <c r="H743" t="s">
        <v>259</v>
      </c>
      <c r="I743" t="s">
        <v>381</v>
      </c>
      <c r="J743" t="s">
        <v>279</v>
      </c>
      <c r="K743" t="s">
        <v>786</v>
      </c>
      <c r="L743" t="s">
        <v>245</v>
      </c>
      <c r="M743" t="s">
        <v>323</v>
      </c>
      <c r="N743" t="s">
        <v>263</v>
      </c>
      <c r="O743">
        <v>42373</v>
      </c>
      <c r="P743">
        <v>16.8</v>
      </c>
      <c r="Q743">
        <v>40.97</v>
      </c>
      <c r="R743">
        <f t="shared" si="67"/>
        <v>24.169999999999998</v>
      </c>
      <c r="S743">
        <v>49</v>
      </c>
      <c r="T743">
        <f t="shared" si="68"/>
        <v>2007.53</v>
      </c>
      <c r="U743">
        <v>0.1</v>
      </c>
      <c r="V743">
        <f t="shared" si="69"/>
        <v>200.75300000000001</v>
      </c>
      <c r="W743">
        <f t="shared" si="70"/>
        <v>1806.777</v>
      </c>
      <c r="X743">
        <v>8.99</v>
      </c>
      <c r="Y743">
        <f t="shared" si="71"/>
        <v>1815.7670000000001</v>
      </c>
    </row>
    <row r="744" spans="1:25" x14ac:dyDescent="0.25">
      <c r="A744" t="s">
        <v>1762</v>
      </c>
      <c r="B744">
        <v>42369</v>
      </c>
      <c r="C744" t="str">
        <f t="shared" si="66"/>
        <v>2015</v>
      </c>
      <c r="D744" t="s">
        <v>988</v>
      </c>
      <c r="E744" t="s">
        <v>989</v>
      </c>
      <c r="F744" t="s">
        <v>448</v>
      </c>
      <c r="G744" t="s">
        <v>449</v>
      </c>
      <c r="H744" t="s">
        <v>241</v>
      </c>
      <c r="I744" t="s">
        <v>299</v>
      </c>
      <c r="J744" t="s">
        <v>243</v>
      </c>
      <c r="K744" t="s">
        <v>776</v>
      </c>
      <c r="L744" t="s">
        <v>245</v>
      </c>
      <c r="M744" t="s">
        <v>246</v>
      </c>
      <c r="N744" t="s">
        <v>247</v>
      </c>
      <c r="O744">
        <v>42370</v>
      </c>
      <c r="P744">
        <v>4.53</v>
      </c>
      <c r="Q744">
        <v>7.3</v>
      </c>
      <c r="R744">
        <f t="shared" si="67"/>
        <v>2.7699999999999996</v>
      </c>
      <c r="S744">
        <v>38</v>
      </c>
      <c r="T744">
        <f t="shared" si="68"/>
        <v>277.39999999999998</v>
      </c>
      <c r="U744">
        <v>0.05</v>
      </c>
      <c r="V744">
        <f t="shared" si="69"/>
        <v>13.87</v>
      </c>
      <c r="W744">
        <f t="shared" si="70"/>
        <v>263.52999999999997</v>
      </c>
      <c r="X744">
        <v>7.72</v>
      </c>
      <c r="Y744">
        <f t="shared" si="71"/>
        <v>271.25</v>
      </c>
    </row>
    <row r="745" spans="1:25" x14ac:dyDescent="0.25">
      <c r="A745" t="s">
        <v>1763</v>
      </c>
      <c r="B745">
        <v>42369</v>
      </c>
      <c r="C745" t="str">
        <f t="shared" si="66"/>
        <v>2015</v>
      </c>
      <c r="D745" t="s">
        <v>988</v>
      </c>
      <c r="E745" t="s">
        <v>989</v>
      </c>
      <c r="F745" t="s">
        <v>448</v>
      </c>
      <c r="G745" t="s">
        <v>449</v>
      </c>
      <c r="H745" t="s">
        <v>241</v>
      </c>
      <c r="I745" t="s">
        <v>299</v>
      </c>
      <c r="J745" t="s">
        <v>304</v>
      </c>
      <c r="K745" t="s">
        <v>799</v>
      </c>
      <c r="L745" t="s">
        <v>245</v>
      </c>
      <c r="M745" t="s">
        <v>246</v>
      </c>
      <c r="N745" t="s">
        <v>247</v>
      </c>
      <c r="O745">
        <v>42370</v>
      </c>
      <c r="P745">
        <v>2.29</v>
      </c>
      <c r="Q745">
        <v>3.69</v>
      </c>
      <c r="R745">
        <f t="shared" si="67"/>
        <v>1.4</v>
      </c>
      <c r="S745">
        <v>41</v>
      </c>
      <c r="T745">
        <f t="shared" si="68"/>
        <v>151.29</v>
      </c>
      <c r="U745">
        <v>0.01</v>
      </c>
      <c r="V745">
        <f t="shared" si="69"/>
        <v>1.5128999999999999</v>
      </c>
      <c r="W745">
        <f t="shared" si="70"/>
        <v>149.77709999999999</v>
      </c>
      <c r="X745">
        <v>0.5</v>
      </c>
      <c r="Y745">
        <f t="shared" si="71"/>
        <v>150.27709999999999</v>
      </c>
    </row>
    <row r="746" spans="1:25" x14ac:dyDescent="0.25">
      <c r="A746" t="s">
        <v>1763</v>
      </c>
      <c r="B746">
        <v>42369</v>
      </c>
      <c r="C746" t="str">
        <f t="shared" si="66"/>
        <v>2015</v>
      </c>
      <c r="D746" t="s">
        <v>988</v>
      </c>
      <c r="E746" t="s">
        <v>989</v>
      </c>
      <c r="F746" t="s">
        <v>448</v>
      </c>
      <c r="G746" t="s">
        <v>449</v>
      </c>
      <c r="H746" t="s">
        <v>241</v>
      </c>
      <c r="I746" t="s">
        <v>299</v>
      </c>
      <c r="J746" t="s">
        <v>243</v>
      </c>
      <c r="K746" t="s">
        <v>572</v>
      </c>
      <c r="L746" t="s">
        <v>245</v>
      </c>
      <c r="M746" t="s">
        <v>253</v>
      </c>
      <c r="N746" t="s">
        <v>263</v>
      </c>
      <c r="O746">
        <v>42370</v>
      </c>
      <c r="P746">
        <v>4.37</v>
      </c>
      <c r="Q746">
        <v>9.11</v>
      </c>
      <c r="R746">
        <f t="shared" si="67"/>
        <v>4.7399999999999993</v>
      </c>
      <c r="S746">
        <v>21</v>
      </c>
      <c r="T746">
        <f t="shared" si="68"/>
        <v>191.31</v>
      </c>
      <c r="U746">
        <v>0.03</v>
      </c>
      <c r="V746">
        <f t="shared" si="69"/>
        <v>5.7393000000000001</v>
      </c>
      <c r="W746">
        <f t="shared" si="70"/>
        <v>185.57069999999999</v>
      </c>
      <c r="X746">
        <v>2.25</v>
      </c>
      <c r="Y746">
        <f t="shared" si="71"/>
        <v>187.82069999999999</v>
      </c>
    </row>
    <row r="747" spans="1:25" x14ac:dyDescent="0.25">
      <c r="A747" t="s">
        <v>1764</v>
      </c>
      <c r="B747">
        <v>42371</v>
      </c>
      <c r="C747" t="str">
        <f t="shared" si="66"/>
        <v>2016</v>
      </c>
      <c r="D747" t="s">
        <v>1765</v>
      </c>
      <c r="E747" t="s">
        <v>1766</v>
      </c>
      <c r="F747" t="s">
        <v>257</v>
      </c>
      <c r="G747" t="s">
        <v>258</v>
      </c>
      <c r="H747" t="s">
        <v>259</v>
      </c>
      <c r="I747" t="s">
        <v>492</v>
      </c>
      <c r="J747" t="s">
        <v>294</v>
      </c>
      <c r="K747" t="s">
        <v>1130</v>
      </c>
      <c r="L747" t="s">
        <v>268</v>
      </c>
      <c r="M747" t="s">
        <v>246</v>
      </c>
      <c r="N747" t="s">
        <v>247</v>
      </c>
      <c r="O747">
        <v>42372</v>
      </c>
      <c r="P747">
        <v>14.7</v>
      </c>
      <c r="Q747">
        <v>29.99</v>
      </c>
      <c r="R747">
        <f t="shared" si="67"/>
        <v>15.29</v>
      </c>
      <c r="S747">
        <v>14</v>
      </c>
      <c r="T747">
        <f t="shared" si="68"/>
        <v>419.85999999999996</v>
      </c>
      <c r="U747">
        <v>0.04</v>
      </c>
      <c r="V747">
        <f t="shared" si="69"/>
        <v>16.7944</v>
      </c>
      <c r="W747">
        <f t="shared" si="70"/>
        <v>403.06559999999996</v>
      </c>
      <c r="X747">
        <v>5.5</v>
      </c>
      <c r="Y747">
        <f t="shared" si="71"/>
        <v>408.56559999999996</v>
      </c>
    </row>
    <row r="748" spans="1:25" x14ac:dyDescent="0.25">
      <c r="A748" t="s">
        <v>1767</v>
      </c>
      <c r="B748">
        <v>42378</v>
      </c>
      <c r="C748" t="str">
        <f t="shared" si="66"/>
        <v>2016</v>
      </c>
      <c r="D748" t="s">
        <v>1312</v>
      </c>
      <c r="E748" t="s">
        <v>789</v>
      </c>
      <c r="F748" t="s">
        <v>257</v>
      </c>
      <c r="G748" t="s">
        <v>258</v>
      </c>
      <c r="H748" t="s">
        <v>241</v>
      </c>
      <c r="I748" t="s">
        <v>309</v>
      </c>
      <c r="J748" t="s">
        <v>243</v>
      </c>
      <c r="K748" t="s">
        <v>399</v>
      </c>
      <c r="L748" t="s">
        <v>245</v>
      </c>
      <c r="M748" t="s">
        <v>253</v>
      </c>
      <c r="N748" t="s">
        <v>247</v>
      </c>
      <c r="O748">
        <v>42380</v>
      </c>
      <c r="P748">
        <v>3.47</v>
      </c>
      <c r="Q748">
        <v>6.68</v>
      </c>
      <c r="R748">
        <f t="shared" si="67"/>
        <v>3.2099999999999995</v>
      </c>
      <c r="S748">
        <v>10</v>
      </c>
      <c r="T748">
        <f t="shared" si="68"/>
        <v>66.8</v>
      </c>
      <c r="U748">
        <v>0.08</v>
      </c>
      <c r="V748">
        <f t="shared" si="69"/>
        <v>5.3440000000000003</v>
      </c>
      <c r="W748">
        <f t="shared" si="70"/>
        <v>61.455999999999996</v>
      </c>
      <c r="X748">
        <v>1.5</v>
      </c>
      <c r="Y748">
        <f t="shared" si="71"/>
        <v>62.955999999999996</v>
      </c>
    </row>
    <row r="749" spans="1:25" x14ac:dyDescent="0.25">
      <c r="A749" t="s">
        <v>1768</v>
      </c>
      <c r="B749">
        <v>42381</v>
      </c>
      <c r="C749" t="str">
        <f t="shared" si="66"/>
        <v>2016</v>
      </c>
      <c r="D749" t="s">
        <v>1355</v>
      </c>
      <c r="E749" t="s">
        <v>673</v>
      </c>
      <c r="F749" t="s">
        <v>257</v>
      </c>
      <c r="G749" t="s">
        <v>258</v>
      </c>
      <c r="H749" t="s">
        <v>241</v>
      </c>
      <c r="I749" t="s">
        <v>372</v>
      </c>
      <c r="J749" t="s">
        <v>243</v>
      </c>
      <c r="K749" t="s">
        <v>443</v>
      </c>
      <c r="L749" t="s">
        <v>245</v>
      </c>
      <c r="M749" t="s">
        <v>246</v>
      </c>
      <c r="N749" t="s">
        <v>247</v>
      </c>
      <c r="O749">
        <v>42383</v>
      </c>
      <c r="P749">
        <v>13.64</v>
      </c>
      <c r="Q749">
        <v>20.98</v>
      </c>
      <c r="R749">
        <f t="shared" si="67"/>
        <v>7.34</v>
      </c>
      <c r="S749">
        <v>34</v>
      </c>
      <c r="T749">
        <f t="shared" si="68"/>
        <v>713.32</v>
      </c>
      <c r="U749">
        <v>7.0000000000000007E-2</v>
      </c>
      <c r="V749">
        <f t="shared" si="69"/>
        <v>49.932400000000008</v>
      </c>
      <c r="W749">
        <f t="shared" si="70"/>
        <v>663.38760000000002</v>
      </c>
      <c r="X749">
        <v>1.49</v>
      </c>
      <c r="Y749">
        <f t="shared" si="71"/>
        <v>664.87760000000003</v>
      </c>
    </row>
    <row r="750" spans="1:25" x14ac:dyDescent="0.25">
      <c r="A750" t="s">
        <v>1769</v>
      </c>
      <c r="B750">
        <v>42386</v>
      </c>
      <c r="C750" t="str">
        <f t="shared" si="66"/>
        <v>2016</v>
      </c>
      <c r="D750" t="s">
        <v>319</v>
      </c>
      <c r="E750" t="s">
        <v>320</v>
      </c>
      <c r="F750" t="s">
        <v>257</v>
      </c>
      <c r="G750" t="s">
        <v>258</v>
      </c>
      <c r="H750" t="s">
        <v>241</v>
      </c>
      <c r="I750" t="s">
        <v>321</v>
      </c>
      <c r="J750" t="s">
        <v>243</v>
      </c>
      <c r="K750" t="s">
        <v>403</v>
      </c>
      <c r="L750" t="s">
        <v>268</v>
      </c>
      <c r="M750" t="s">
        <v>323</v>
      </c>
      <c r="N750" t="s">
        <v>247</v>
      </c>
      <c r="O750">
        <v>42387</v>
      </c>
      <c r="P750">
        <v>1.87</v>
      </c>
      <c r="Q750">
        <v>8.1199999999999992</v>
      </c>
      <c r="R750">
        <f t="shared" si="67"/>
        <v>6.2499999999999991</v>
      </c>
      <c r="S750">
        <v>47</v>
      </c>
      <c r="T750">
        <f t="shared" si="68"/>
        <v>381.64</v>
      </c>
      <c r="U750">
        <v>7.0000000000000007E-2</v>
      </c>
      <c r="V750">
        <f t="shared" si="69"/>
        <v>26.7148</v>
      </c>
      <c r="W750">
        <f t="shared" si="70"/>
        <v>354.92519999999996</v>
      </c>
      <c r="X750">
        <v>2.83</v>
      </c>
      <c r="Y750">
        <f t="shared" si="71"/>
        <v>357.75519999999995</v>
      </c>
    </row>
    <row r="751" spans="1:25" x14ac:dyDescent="0.25">
      <c r="A751" t="s">
        <v>1770</v>
      </c>
      <c r="B751">
        <v>42386</v>
      </c>
      <c r="C751" t="str">
        <f t="shared" si="66"/>
        <v>2016</v>
      </c>
      <c r="D751" t="s">
        <v>1676</v>
      </c>
      <c r="E751" t="s">
        <v>709</v>
      </c>
      <c r="F751" t="s">
        <v>257</v>
      </c>
      <c r="G751" t="s">
        <v>258</v>
      </c>
      <c r="H751" t="s">
        <v>274</v>
      </c>
      <c r="I751" t="s">
        <v>275</v>
      </c>
      <c r="J751" t="s">
        <v>304</v>
      </c>
      <c r="K751" t="s">
        <v>403</v>
      </c>
      <c r="L751" t="s">
        <v>268</v>
      </c>
      <c r="M751" t="s">
        <v>323</v>
      </c>
      <c r="N751" t="s">
        <v>247</v>
      </c>
      <c r="O751">
        <v>42386</v>
      </c>
      <c r="P751">
        <v>1.87</v>
      </c>
      <c r="Q751">
        <v>8.1199999999999992</v>
      </c>
      <c r="R751">
        <f t="shared" si="67"/>
        <v>6.2499999999999991</v>
      </c>
      <c r="S751">
        <v>36</v>
      </c>
      <c r="T751">
        <f t="shared" si="68"/>
        <v>292.32</v>
      </c>
      <c r="U751">
        <v>0.1</v>
      </c>
      <c r="V751">
        <f t="shared" si="69"/>
        <v>29.231999999999999</v>
      </c>
      <c r="W751">
        <f t="shared" si="70"/>
        <v>263.08799999999997</v>
      </c>
      <c r="X751">
        <v>2.83</v>
      </c>
      <c r="Y751">
        <f t="shared" si="71"/>
        <v>265.91799999999995</v>
      </c>
    </row>
    <row r="752" spans="1:25" x14ac:dyDescent="0.25">
      <c r="A752" t="s">
        <v>1771</v>
      </c>
      <c r="B752">
        <v>42386</v>
      </c>
      <c r="C752" t="str">
        <f t="shared" si="66"/>
        <v>2016</v>
      </c>
      <c r="D752" t="s">
        <v>1690</v>
      </c>
      <c r="E752" t="s">
        <v>332</v>
      </c>
      <c r="F752" t="s">
        <v>257</v>
      </c>
      <c r="G752" t="s">
        <v>258</v>
      </c>
      <c r="H752" t="s">
        <v>241</v>
      </c>
      <c r="I752" t="s">
        <v>333</v>
      </c>
      <c r="J752" t="s">
        <v>304</v>
      </c>
      <c r="K752" t="s">
        <v>387</v>
      </c>
      <c r="L752" t="s">
        <v>245</v>
      </c>
      <c r="M752" t="s">
        <v>323</v>
      </c>
      <c r="N752" t="s">
        <v>247</v>
      </c>
      <c r="O752">
        <v>42388</v>
      </c>
      <c r="P752">
        <v>4.79</v>
      </c>
      <c r="Q752">
        <v>11.97</v>
      </c>
      <c r="R752">
        <f t="shared" si="67"/>
        <v>7.1800000000000006</v>
      </c>
      <c r="S752">
        <v>28</v>
      </c>
      <c r="T752">
        <f t="shared" si="68"/>
        <v>335.16</v>
      </c>
      <c r="U752">
        <v>0.03</v>
      </c>
      <c r="V752">
        <f t="shared" si="69"/>
        <v>10.0548</v>
      </c>
      <c r="W752">
        <f t="shared" si="70"/>
        <v>325.10520000000002</v>
      </c>
      <c r="X752">
        <v>5.81</v>
      </c>
      <c r="Y752">
        <f t="shared" si="71"/>
        <v>330.91520000000003</v>
      </c>
    </row>
    <row r="753" spans="1:25" x14ac:dyDescent="0.25">
      <c r="A753" t="s">
        <v>1772</v>
      </c>
      <c r="B753">
        <v>42387</v>
      </c>
      <c r="C753" t="str">
        <f t="shared" si="66"/>
        <v>2016</v>
      </c>
      <c r="D753" t="s">
        <v>1433</v>
      </c>
      <c r="E753" t="s">
        <v>467</v>
      </c>
      <c r="F753" t="s">
        <v>257</v>
      </c>
      <c r="G753" t="s">
        <v>258</v>
      </c>
      <c r="H753" t="s">
        <v>241</v>
      </c>
      <c r="I753" t="s">
        <v>342</v>
      </c>
      <c r="J753" t="s">
        <v>294</v>
      </c>
      <c r="K753" t="s">
        <v>384</v>
      </c>
      <c r="L753" t="s">
        <v>268</v>
      </c>
      <c r="M753" t="s">
        <v>246</v>
      </c>
      <c r="N753" t="s">
        <v>247</v>
      </c>
      <c r="O753">
        <v>42389</v>
      </c>
      <c r="P753">
        <v>8.31</v>
      </c>
      <c r="Q753">
        <v>15.98</v>
      </c>
      <c r="R753">
        <f t="shared" si="67"/>
        <v>7.67</v>
      </c>
      <c r="S753">
        <v>4</v>
      </c>
      <c r="T753">
        <f t="shared" si="68"/>
        <v>63.92</v>
      </c>
      <c r="U753">
        <v>0.09</v>
      </c>
      <c r="V753">
        <f t="shared" si="69"/>
        <v>5.7527999999999997</v>
      </c>
      <c r="W753">
        <f t="shared" si="70"/>
        <v>58.167200000000001</v>
      </c>
      <c r="X753">
        <v>6.5</v>
      </c>
      <c r="Y753">
        <f t="shared" si="71"/>
        <v>64.667200000000008</v>
      </c>
    </row>
    <row r="754" spans="1:25" x14ac:dyDescent="0.25">
      <c r="A754" t="s">
        <v>1773</v>
      </c>
      <c r="B754">
        <v>42388</v>
      </c>
      <c r="C754" t="str">
        <f t="shared" si="66"/>
        <v>2016</v>
      </c>
      <c r="D754" t="s">
        <v>769</v>
      </c>
      <c r="E754" t="s">
        <v>288</v>
      </c>
      <c r="F754" t="s">
        <v>257</v>
      </c>
      <c r="G754" t="s">
        <v>258</v>
      </c>
      <c r="H754" t="s">
        <v>259</v>
      </c>
      <c r="I754" t="s">
        <v>284</v>
      </c>
      <c r="J754" t="s">
        <v>243</v>
      </c>
      <c r="K754" t="s">
        <v>607</v>
      </c>
      <c r="L754" t="s">
        <v>245</v>
      </c>
      <c r="M754" t="s">
        <v>246</v>
      </c>
      <c r="N754" t="s">
        <v>247</v>
      </c>
      <c r="O754">
        <v>42388</v>
      </c>
      <c r="P754">
        <v>4.46</v>
      </c>
      <c r="Q754">
        <v>10.89</v>
      </c>
      <c r="R754">
        <f t="shared" si="67"/>
        <v>6.4300000000000006</v>
      </c>
      <c r="S754">
        <v>25</v>
      </c>
      <c r="T754">
        <f t="shared" si="68"/>
        <v>272.25</v>
      </c>
      <c r="U754">
        <v>0.03</v>
      </c>
      <c r="V754">
        <f t="shared" si="69"/>
        <v>8.1675000000000004</v>
      </c>
      <c r="W754">
        <f t="shared" si="70"/>
        <v>264.08249999999998</v>
      </c>
      <c r="X754">
        <v>4.5</v>
      </c>
      <c r="Y754">
        <f t="shared" si="71"/>
        <v>268.58249999999998</v>
      </c>
    </row>
    <row r="755" spans="1:25" x14ac:dyDescent="0.25">
      <c r="A755" t="s">
        <v>1774</v>
      </c>
      <c r="B755">
        <v>42388</v>
      </c>
      <c r="C755" t="str">
        <f t="shared" si="66"/>
        <v>2016</v>
      </c>
      <c r="D755" t="s">
        <v>1775</v>
      </c>
      <c r="E755" t="s">
        <v>346</v>
      </c>
      <c r="F755" t="s">
        <v>257</v>
      </c>
      <c r="G755" t="s">
        <v>258</v>
      </c>
      <c r="H755" t="s">
        <v>274</v>
      </c>
      <c r="I755" t="s">
        <v>309</v>
      </c>
      <c r="J755" t="s">
        <v>261</v>
      </c>
      <c r="K755" t="s">
        <v>353</v>
      </c>
      <c r="L755" t="s">
        <v>245</v>
      </c>
      <c r="M755" t="s">
        <v>323</v>
      </c>
      <c r="N755" t="s">
        <v>247</v>
      </c>
      <c r="O755">
        <v>42388</v>
      </c>
      <c r="P755">
        <v>0.94</v>
      </c>
      <c r="Q755">
        <v>2.08</v>
      </c>
      <c r="R755">
        <f t="shared" si="67"/>
        <v>1.1400000000000001</v>
      </c>
      <c r="S755">
        <v>33</v>
      </c>
      <c r="T755">
        <f t="shared" si="68"/>
        <v>68.64</v>
      </c>
      <c r="U755">
        <v>0.05</v>
      </c>
      <c r="V755">
        <f t="shared" si="69"/>
        <v>3.4320000000000004</v>
      </c>
      <c r="W755">
        <f t="shared" si="70"/>
        <v>65.207999999999998</v>
      </c>
      <c r="X755">
        <v>2.56</v>
      </c>
      <c r="Y755">
        <f t="shared" si="71"/>
        <v>67.768000000000001</v>
      </c>
    </row>
    <row r="756" spans="1:25" x14ac:dyDescent="0.25">
      <c r="A756" t="s">
        <v>1776</v>
      </c>
      <c r="B756">
        <v>42388</v>
      </c>
      <c r="C756" t="str">
        <f t="shared" si="66"/>
        <v>2016</v>
      </c>
      <c r="D756" t="s">
        <v>1777</v>
      </c>
      <c r="E756" t="s">
        <v>1584</v>
      </c>
      <c r="F756" t="s">
        <v>257</v>
      </c>
      <c r="G756" t="s">
        <v>258</v>
      </c>
      <c r="H756" t="s">
        <v>259</v>
      </c>
      <c r="I756" t="s">
        <v>333</v>
      </c>
      <c r="J756" t="s">
        <v>261</v>
      </c>
      <c r="K756" t="s">
        <v>464</v>
      </c>
      <c r="L756" t="s">
        <v>268</v>
      </c>
      <c r="M756" t="s">
        <v>246</v>
      </c>
      <c r="N756" t="s">
        <v>247</v>
      </c>
      <c r="O756">
        <v>42388</v>
      </c>
      <c r="P756">
        <v>156.5</v>
      </c>
      <c r="Q756">
        <v>300.97000000000003</v>
      </c>
      <c r="R756">
        <f t="shared" si="67"/>
        <v>144.47000000000003</v>
      </c>
      <c r="S756">
        <v>43</v>
      </c>
      <c r="T756">
        <f t="shared" si="68"/>
        <v>12941.710000000001</v>
      </c>
      <c r="U756">
        <v>0.08</v>
      </c>
      <c r="V756">
        <f t="shared" si="69"/>
        <v>1035.3368</v>
      </c>
      <c r="W756">
        <f t="shared" si="70"/>
        <v>11906.373200000002</v>
      </c>
      <c r="X756">
        <v>7.18</v>
      </c>
      <c r="Y756">
        <f t="shared" si="71"/>
        <v>11913.553200000002</v>
      </c>
    </row>
    <row r="757" spans="1:25" x14ac:dyDescent="0.25">
      <c r="A757" t="s">
        <v>1778</v>
      </c>
      <c r="B757">
        <v>42393</v>
      </c>
      <c r="C757" t="str">
        <f t="shared" si="66"/>
        <v>2016</v>
      </c>
      <c r="D757" t="s">
        <v>1779</v>
      </c>
      <c r="E757" t="s">
        <v>816</v>
      </c>
      <c r="F757" t="s">
        <v>257</v>
      </c>
      <c r="G757" t="s">
        <v>258</v>
      </c>
      <c r="H757" t="s">
        <v>241</v>
      </c>
      <c r="I757" t="s">
        <v>492</v>
      </c>
      <c r="J757" t="s">
        <v>261</v>
      </c>
      <c r="K757" t="s">
        <v>676</v>
      </c>
      <c r="L757" t="s">
        <v>245</v>
      </c>
      <c r="M757" t="s">
        <v>323</v>
      </c>
      <c r="N757" t="s">
        <v>247</v>
      </c>
      <c r="O757">
        <v>42394</v>
      </c>
      <c r="P757">
        <v>5.19</v>
      </c>
      <c r="Q757">
        <v>12.98</v>
      </c>
      <c r="R757">
        <f t="shared" si="67"/>
        <v>7.79</v>
      </c>
      <c r="S757">
        <v>50</v>
      </c>
      <c r="T757">
        <f t="shared" si="68"/>
        <v>649</v>
      </c>
      <c r="U757">
        <v>0.08</v>
      </c>
      <c r="V757">
        <f t="shared" si="69"/>
        <v>51.92</v>
      </c>
      <c r="W757">
        <f t="shared" si="70"/>
        <v>597.08000000000004</v>
      </c>
      <c r="X757">
        <v>3.14</v>
      </c>
      <c r="Y757">
        <f t="shared" si="71"/>
        <v>600.22</v>
      </c>
    </row>
    <row r="758" spans="1:25" x14ac:dyDescent="0.25">
      <c r="A758" t="s">
        <v>1780</v>
      </c>
      <c r="B758">
        <v>42395</v>
      </c>
      <c r="C758" t="str">
        <f t="shared" si="66"/>
        <v>2016</v>
      </c>
      <c r="D758" t="s">
        <v>535</v>
      </c>
      <c r="E758" t="s">
        <v>536</v>
      </c>
      <c r="F758" t="s">
        <v>448</v>
      </c>
      <c r="G758" t="s">
        <v>449</v>
      </c>
      <c r="H758" t="s">
        <v>259</v>
      </c>
      <c r="I758" t="s">
        <v>333</v>
      </c>
      <c r="J758" t="s">
        <v>243</v>
      </c>
      <c r="K758" t="s">
        <v>262</v>
      </c>
      <c r="L758" t="s">
        <v>245</v>
      </c>
      <c r="M758" t="s">
        <v>253</v>
      </c>
      <c r="N758" t="s">
        <v>263</v>
      </c>
      <c r="O758">
        <v>42397</v>
      </c>
      <c r="P758">
        <v>2.41</v>
      </c>
      <c r="Q758">
        <v>3.71</v>
      </c>
      <c r="R758">
        <f t="shared" si="67"/>
        <v>1.2999999999999998</v>
      </c>
      <c r="S758">
        <v>16</v>
      </c>
      <c r="T758">
        <f t="shared" si="68"/>
        <v>59.36</v>
      </c>
      <c r="U758">
        <v>0.1</v>
      </c>
      <c r="V758">
        <f t="shared" si="69"/>
        <v>5.9359999999999999</v>
      </c>
      <c r="W758">
        <f t="shared" si="70"/>
        <v>53.423999999999999</v>
      </c>
      <c r="X758">
        <v>1.93</v>
      </c>
      <c r="Y758">
        <f t="shared" si="71"/>
        <v>55.353999999999999</v>
      </c>
    </row>
    <row r="759" spans="1:25" x14ac:dyDescent="0.25">
      <c r="A759" t="s">
        <v>1781</v>
      </c>
      <c r="B759">
        <v>42397</v>
      </c>
      <c r="C759" t="str">
        <f t="shared" si="66"/>
        <v>2016</v>
      </c>
      <c r="D759" t="s">
        <v>1782</v>
      </c>
      <c r="E759" t="s">
        <v>643</v>
      </c>
      <c r="F759" t="s">
        <v>257</v>
      </c>
      <c r="G759" t="s">
        <v>258</v>
      </c>
      <c r="H759" t="s">
        <v>241</v>
      </c>
      <c r="I759" t="s">
        <v>342</v>
      </c>
      <c r="J759" t="s">
        <v>304</v>
      </c>
      <c r="K759" t="s">
        <v>377</v>
      </c>
      <c r="L759" t="s">
        <v>268</v>
      </c>
      <c r="M759" t="s">
        <v>246</v>
      </c>
      <c r="N759" t="s">
        <v>247</v>
      </c>
      <c r="O759">
        <v>42398</v>
      </c>
      <c r="P759">
        <v>39.64</v>
      </c>
      <c r="Q759">
        <v>152.47999999999999</v>
      </c>
      <c r="R759">
        <f t="shared" si="67"/>
        <v>112.83999999999999</v>
      </c>
      <c r="S759">
        <v>27</v>
      </c>
      <c r="T759">
        <f t="shared" si="68"/>
        <v>4116.96</v>
      </c>
      <c r="U759">
        <v>0.1</v>
      </c>
      <c r="V759">
        <f t="shared" si="69"/>
        <v>411.69600000000003</v>
      </c>
      <c r="W759">
        <f t="shared" si="70"/>
        <v>3705.2640000000001</v>
      </c>
      <c r="X759">
        <v>6.5</v>
      </c>
      <c r="Y759">
        <f t="shared" si="71"/>
        <v>3711.7640000000001</v>
      </c>
    </row>
    <row r="760" spans="1:25" x14ac:dyDescent="0.25">
      <c r="A760" t="s">
        <v>1783</v>
      </c>
      <c r="B760">
        <v>42397</v>
      </c>
      <c r="C760" t="str">
        <f t="shared" si="66"/>
        <v>2016</v>
      </c>
      <c r="D760" t="s">
        <v>1784</v>
      </c>
      <c r="E760" t="s">
        <v>1785</v>
      </c>
      <c r="F760" t="s">
        <v>448</v>
      </c>
      <c r="G760" t="s">
        <v>449</v>
      </c>
      <c r="H760" t="s">
        <v>241</v>
      </c>
      <c r="I760" t="s">
        <v>381</v>
      </c>
      <c r="J760" t="s">
        <v>261</v>
      </c>
      <c r="K760" t="s">
        <v>941</v>
      </c>
      <c r="L760" t="s">
        <v>245</v>
      </c>
      <c r="M760" t="s">
        <v>253</v>
      </c>
      <c r="N760" t="s">
        <v>247</v>
      </c>
      <c r="O760">
        <v>42399</v>
      </c>
      <c r="P760">
        <v>2.59</v>
      </c>
      <c r="Q760">
        <v>3.98</v>
      </c>
      <c r="R760">
        <f t="shared" si="67"/>
        <v>1.3900000000000001</v>
      </c>
      <c r="S760">
        <v>41</v>
      </c>
      <c r="T760">
        <f t="shared" si="68"/>
        <v>163.18</v>
      </c>
      <c r="U760">
        <v>0.1</v>
      </c>
      <c r="V760">
        <f t="shared" si="69"/>
        <v>16.318000000000001</v>
      </c>
      <c r="W760">
        <f t="shared" si="70"/>
        <v>146.86199999999999</v>
      </c>
      <c r="X760">
        <v>2.97</v>
      </c>
      <c r="Y760">
        <f t="shared" si="71"/>
        <v>149.83199999999999</v>
      </c>
    </row>
    <row r="761" spans="1:25" x14ac:dyDescent="0.25">
      <c r="A761" t="s">
        <v>1786</v>
      </c>
      <c r="B761">
        <v>42398</v>
      </c>
      <c r="C761" t="str">
        <f t="shared" si="66"/>
        <v>2016</v>
      </c>
      <c r="D761" t="s">
        <v>1590</v>
      </c>
      <c r="E761" t="s">
        <v>912</v>
      </c>
      <c r="F761" t="s">
        <v>257</v>
      </c>
      <c r="G761" t="s">
        <v>258</v>
      </c>
      <c r="H761" t="s">
        <v>241</v>
      </c>
      <c r="I761" t="s">
        <v>372</v>
      </c>
      <c r="J761" t="s">
        <v>294</v>
      </c>
      <c r="K761" t="s">
        <v>630</v>
      </c>
      <c r="L761" t="s">
        <v>245</v>
      </c>
      <c r="M761" t="s">
        <v>253</v>
      </c>
      <c r="N761" t="s">
        <v>247</v>
      </c>
      <c r="O761">
        <v>42400</v>
      </c>
      <c r="P761">
        <v>1.53</v>
      </c>
      <c r="Q761">
        <v>2.78</v>
      </c>
      <c r="R761">
        <f t="shared" si="67"/>
        <v>1.2499999999999998</v>
      </c>
      <c r="S761">
        <v>38</v>
      </c>
      <c r="T761">
        <f t="shared" si="68"/>
        <v>105.63999999999999</v>
      </c>
      <c r="U761">
        <v>0</v>
      </c>
      <c r="V761">
        <f t="shared" si="69"/>
        <v>0</v>
      </c>
      <c r="W761">
        <f t="shared" si="70"/>
        <v>105.63999999999999</v>
      </c>
      <c r="X761">
        <v>1.34</v>
      </c>
      <c r="Y761">
        <f t="shared" si="71"/>
        <v>106.97999999999999</v>
      </c>
    </row>
    <row r="762" spans="1:25" x14ac:dyDescent="0.25">
      <c r="A762" t="s">
        <v>1787</v>
      </c>
      <c r="B762">
        <v>42401</v>
      </c>
      <c r="C762" t="str">
        <f t="shared" si="66"/>
        <v>2016</v>
      </c>
      <c r="D762" t="s">
        <v>1788</v>
      </c>
      <c r="E762" t="s">
        <v>522</v>
      </c>
      <c r="F762" t="s">
        <v>239</v>
      </c>
      <c r="G762" t="s">
        <v>240</v>
      </c>
      <c r="H762" t="s">
        <v>274</v>
      </c>
      <c r="I762" t="s">
        <v>251</v>
      </c>
      <c r="J762" t="s">
        <v>243</v>
      </c>
      <c r="K762" t="s">
        <v>1249</v>
      </c>
      <c r="L762" t="s">
        <v>245</v>
      </c>
      <c r="M762" t="s">
        <v>246</v>
      </c>
      <c r="N762" t="s">
        <v>247</v>
      </c>
      <c r="O762">
        <v>42402</v>
      </c>
      <c r="P762">
        <v>1.19</v>
      </c>
      <c r="Q762">
        <v>1.98</v>
      </c>
      <c r="R762">
        <f t="shared" si="67"/>
        <v>0.79</v>
      </c>
      <c r="S762">
        <v>12</v>
      </c>
      <c r="T762">
        <f t="shared" si="68"/>
        <v>23.759999999999998</v>
      </c>
      <c r="U762">
        <v>7.0000000000000007E-2</v>
      </c>
      <c r="V762">
        <f t="shared" si="69"/>
        <v>1.6632</v>
      </c>
      <c r="W762">
        <f t="shared" si="70"/>
        <v>22.096799999999998</v>
      </c>
      <c r="X762">
        <v>4.7699999999999996</v>
      </c>
      <c r="Y762">
        <f t="shared" si="71"/>
        <v>26.866799999999998</v>
      </c>
    </row>
    <row r="763" spans="1:25" x14ac:dyDescent="0.25">
      <c r="A763" t="s">
        <v>1789</v>
      </c>
      <c r="B763">
        <v>42402</v>
      </c>
      <c r="C763" t="str">
        <f t="shared" si="66"/>
        <v>2016</v>
      </c>
      <c r="D763" t="s">
        <v>1790</v>
      </c>
      <c r="E763" t="s">
        <v>767</v>
      </c>
      <c r="F763" t="s">
        <v>257</v>
      </c>
      <c r="G763" t="s">
        <v>258</v>
      </c>
      <c r="H763" t="s">
        <v>259</v>
      </c>
      <c r="I763" t="s">
        <v>260</v>
      </c>
      <c r="J763" t="s">
        <v>261</v>
      </c>
      <c r="K763" t="s">
        <v>594</v>
      </c>
      <c r="L763" t="s">
        <v>268</v>
      </c>
      <c r="M763" t="s">
        <v>269</v>
      </c>
      <c r="N763" t="s">
        <v>270</v>
      </c>
      <c r="O763">
        <v>42403</v>
      </c>
      <c r="P763">
        <v>278.99</v>
      </c>
      <c r="Q763">
        <v>449.99</v>
      </c>
      <c r="R763">
        <f t="shared" si="67"/>
        <v>171</v>
      </c>
      <c r="S763">
        <v>16</v>
      </c>
      <c r="T763">
        <f t="shared" si="68"/>
        <v>7199.84</v>
      </c>
      <c r="U763">
        <v>0.09</v>
      </c>
      <c r="V763">
        <f t="shared" si="69"/>
        <v>647.98559999999998</v>
      </c>
      <c r="W763">
        <f t="shared" si="70"/>
        <v>6551.8544000000002</v>
      </c>
      <c r="X763">
        <v>49</v>
      </c>
      <c r="Y763">
        <f t="shared" si="71"/>
        <v>6600.8544000000002</v>
      </c>
    </row>
    <row r="764" spans="1:25" x14ac:dyDescent="0.25">
      <c r="A764" t="s">
        <v>1791</v>
      </c>
      <c r="B764">
        <v>42403</v>
      </c>
      <c r="C764" t="str">
        <f t="shared" si="66"/>
        <v>2016</v>
      </c>
      <c r="D764" t="s">
        <v>697</v>
      </c>
      <c r="E764" t="s">
        <v>238</v>
      </c>
      <c r="F764" t="s">
        <v>239</v>
      </c>
      <c r="G764" t="s">
        <v>240</v>
      </c>
      <c r="H764" t="s">
        <v>293</v>
      </c>
      <c r="I764" t="s">
        <v>242</v>
      </c>
      <c r="J764" t="s">
        <v>279</v>
      </c>
      <c r="K764" t="s">
        <v>1728</v>
      </c>
      <c r="L764" t="s">
        <v>245</v>
      </c>
      <c r="M764" t="s">
        <v>253</v>
      </c>
      <c r="N764" t="s">
        <v>247</v>
      </c>
      <c r="O764">
        <v>42405</v>
      </c>
      <c r="P764">
        <v>3.95</v>
      </c>
      <c r="Q764">
        <v>6.08</v>
      </c>
      <c r="R764">
        <f t="shared" si="67"/>
        <v>2.13</v>
      </c>
      <c r="S764">
        <v>42</v>
      </c>
      <c r="T764">
        <f t="shared" si="68"/>
        <v>255.36</v>
      </c>
      <c r="U764">
        <v>0.09</v>
      </c>
      <c r="V764">
        <f t="shared" si="69"/>
        <v>22.982400000000002</v>
      </c>
      <c r="W764">
        <f t="shared" si="70"/>
        <v>232.3776</v>
      </c>
      <c r="X764">
        <v>1.82</v>
      </c>
      <c r="Y764">
        <f t="shared" si="71"/>
        <v>234.19759999999999</v>
      </c>
    </row>
    <row r="765" spans="1:25" x14ac:dyDescent="0.25">
      <c r="A765" t="s">
        <v>1792</v>
      </c>
      <c r="B765">
        <v>42404</v>
      </c>
      <c r="C765" t="str">
        <f t="shared" si="66"/>
        <v>2016</v>
      </c>
      <c r="D765" t="s">
        <v>1793</v>
      </c>
      <c r="E765" t="s">
        <v>1794</v>
      </c>
      <c r="F765" t="s">
        <v>448</v>
      </c>
      <c r="G765" t="s">
        <v>449</v>
      </c>
      <c r="H765" t="s">
        <v>293</v>
      </c>
      <c r="I765" t="s">
        <v>284</v>
      </c>
      <c r="J765" t="s">
        <v>294</v>
      </c>
      <c r="K765" t="s">
        <v>786</v>
      </c>
      <c r="L765" t="s">
        <v>245</v>
      </c>
      <c r="M765" t="s">
        <v>323</v>
      </c>
      <c r="N765" t="s">
        <v>263</v>
      </c>
      <c r="O765">
        <v>42405</v>
      </c>
      <c r="P765">
        <v>16.8</v>
      </c>
      <c r="Q765">
        <v>40.97</v>
      </c>
      <c r="R765">
        <f t="shared" si="67"/>
        <v>24.169999999999998</v>
      </c>
      <c r="S765">
        <v>49</v>
      </c>
      <c r="T765">
        <f t="shared" si="68"/>
        <v>2007.53</v>
      </c>
      <c r="U765">
        <v>0.04</v>
      </c>
      <c r="V765">
        <f t="shared" si="69"/>
        <v>80.301199999999994</v>
      </c>
      <c r="W765">
        <f t="shared" si="70"/>
        <v>1927.2287999999999</v>
      </c>
      <c r="X765">
        <v>8.99</v>
      </c>
      <c r="Y765">
        <f t="shared" si="71"/>
        <v>1936.2187999999999</v>
      </c>
    </row>
    <row r="766" spans="1:25" x14ac:dyDescent="0.25">
      <c r="A766" t="s">
        <v>1795</v>
      </c>
      <c r="B766">
        <v>42408</v>
      </c>
      <c r="C766" t="str">
        <f t="shared" si="66"/>
        <v>2016</v>
      </c>
      <c r="D766" t="s">
        <v>1316</v>
      </c>
      <c r="E766" t="s">
        <v>376</v>
      </c>
      <c r="F766" t="s">
        <v>239</v>
      </c>
      <c r="G766" t="s">
        <v>240</v>
      </c>
      <c r="H766" t="s">
        <v>241</v>
      </c>
      <c r="I766" t="s">
        <v>242</v>
      </c>
      <c r="J766" t="s">
        <v>304</v>
      </c>
      <c r="K766" t="s">
        <v>425</v>
      </c>
      <c r="L766" t="s">
        <v>245</v>
      </c>
      <c r="M766" t="s">
        <v>253</v>
      </c>
      <c r="N766" t="s">
        <v>247</v>
      </c>
      <c r="O766">
        <v>42409</v>
      </c>
      <c r="P766">
        <v>21.56</v>
      </c>
      <c r="Q766">
        <v>36.549999999999997</v>
      </c>
      <c r="R766">
        <f t="shared" si="67"/>
        <v>14.989999999999998</v>
      </c>
      <c r="S766">
        <v>6</v>
      </c>
      <c r="T766">
        <f t="shared" si="68"/>
        <v>219.29999999999998</v>
      </c>
      <c r="U766">
        <v>0.01</v>
      </c>
      <c r="V766">
        <f t="shared" si="69"/>
        <v>2.1930000000000001</v>
      </c>
      <c r="W766">
        <f t="shared" si="70"/>
        <v>217.10699999999997</v>
      </c>
      <c r="X766">
        <v>13.89</v>
      </c>
      <c r="Y766">
        <f t="shared" si="71"/>
        <v>230.99699999999996</v>
      </c>
    </row>
    <row r="767" spans="1:25" x14ac:dyDescent="0.25">
      <c r="A767" t="s">
        <v>1796</v>
      </c>
      <c r="B767">
        <v>42409</v>
      </c>
      <c r="C767" t="str">
        <f t="shared" si="66"/>
        <v>2016</v>
      </c>
      <c r="D767" t="s">
        <v>437</v>
      </c>
      <c r="E767" t="s">
        <v>438</v>
      </c>
      <c r="F767" t="s">
        <v>257</v>
      </c>
      <c r="G767" t="s">
        <v>258</v>
      </c>
      <c r="H767" t="s">
        <v>259</v>
      </c>
      <c r="I767" t="s">
        <v>309</v>
      </c>
      <c r="J767" t="s">
        <v>279</v>
      </c>
      <c r="K767" t="s">
        <v>941</v>
      </c>
      <c r="L767" t="s">
        <v>245</v>
      </c>
      <c r="M767" t="s">
        <v>253</v>
      </c>
      <c r="N767" t="s">
        <v>247</v>
      </c>
      <c r="O767">
        <v>42414</v>
      </c>
      <c r="P767">
        <v>2.59</v>
      </c>
      <c r="Q767">
        <v>3.98</v>
      </c>
      <c r="R767">
        <f t="shared" si="67"/>
        <v>1.3900000000000001</v>
      </c>
      <c r="S767">
        <v>50</v>
      </c>
      <c r="T767">
        <f t="shared" si="68"/>
        <v>199</v>
      </c>
      <c r="U767">
        <v>0.08</v>
      </c>
      <c r="V767">
        <f t="shared" si="69"/>
        <v>15.92</v>
      </c>
      <c r="W767">
        <f t="shared" si="70"/>
        <v>183.08</v>
      </c>
      <c r="X767">
        <v>2.97</v>
      </c>
      <c r="Y767">
        <f t="shared" si="71"/>
        <v>186.05</v>
      </c>
    </row>
    <row r="768" spans="1:25" x14ac:dyDescent="0.25">
      <c r="A768" t="s">
        <v>1797</v>
      </c>
      <c r="B768">
        <v>42410</v>
      </c>
      <c r="C768" t="str">
        <f t="shared" si="66"/>
        <v>2016</v>
      </c>
      <c r="D768" t="s">
        <v>437</v>
      </c>
      <c r="E768" t="s">
        <v>438</v>
      </c>
      <c r="F768" t="s">
        <v>257</v>
      </c>
      <c r="G768" t="s">
        <v>258</v>
      </c>
      <c r="H768" t="s">
        <v>259</v>
      </c>
      <c r="I768" t="s">
        <v>309</v>
      </c>
      <c r="J768" t="s">
        <v>304</v>
      </c>
      <c r="K768" t="s">
        <v>537</v>
      </c>
      <c r="L768" t="s">
        <v>245</v>
      </c>
      <c r="M768" t="s">
        <v>253</v>
      </c>
      <c r="N768" t="s">
        <v>247</v>
      </c>
      <c r="O768">
        <v>42411</v>
      </c>
      <c r="P768">
        <v>11.11</v>
      </c>
      <c r="Q768">
        <v>19.84</v>
      </c>
      <c r="R768">
        <f t="shared" si="67"/>
        <v>8.73</v>
      </c>
      <c r="S768">
        <v>10</v>
      </c>
      <c r="T768">
        <f t="shared" si="68"/>
        <v>198.4</v>
      </c>
      <c r="U768">
        <v>0.05</v>
      </c>
      <c r="V768">
        <f t="shared" si="69"/>
        <v>9.9200000000000017</v>
      </c>
      <c r="W768">
        <f t="shared" si="70"/>
        <v>188.48000000000002</v>
      </c>
      <c r="X768">
        <v>4.0999999999999996</v>
      </c>
      <c r="Y768">
        <f t="shared" si="71"/>
        <v>192.58</v>
      </c>
    </row>
    <row r="769" spans="1:25" x14ac:dyDescent="0.25">
      <c r="A769" t="s">
        <v>1798</v>
      </c>
      <c r="B769">
        <v>42411</v>
      </c>
      <c r="C769" t="str">
        <f t="shared" si="66"/>
        <v>2016</v>
      </c>
      <c r="D769" t="s">
        <v>1006</v>
      </c>
      <c r="E769" t="s">
        <v>745</v>
      </c>
      <c r="F769" t="s">
        <v>257</v>
      </c>
      <c r="G769" t="s">
        <v>258</v>
      </c>
      <c r="H769" t="s">
        <v>274</v>
      </c>
      <c r="I769" t="s">
        <v>372</v>
      </c>
      <c r="J769" t="s">
        <v>304</v>
      </c>
      <c r="K769" t="s">
        <v>748</v>
      </c>
      <c r="L769" t="s">
        <v>268</v>
      </c>
      <c r="M769" t="s">
        <v>246</v>
      </c>
      <c r="N769" t="s">
        <v>247</v>
      </c>
      <c r="O769">
        <v>42413</v>
      </c>
      <c r="P769">
        <v>41.28</v>
      </c>
      <c r="Q769">
        <v>95.99</v>
      </c>
      <c r="R769">
        <f t="shared" si="67"/>
        <v>54.709999999999994</v>
      </c>
      <c r="S769">
        <v>14</v>
      </c>
      <c r="T769">
        <f t="shared" si="68"/>
        <v>1343.86</v>
      </c>
      <c r="U769">
        <v>0.04</v>
      </c>
      <c r="V769">
        <f t="shared" si="69"/>
        <v>53.754399999999997</v>
      </c>
      <c r="W769">
        <f t="shared" si="70"/>
        <v>1290.1055999999999</v>
      </c>
      <c r="X769">
        <v>8.99</v>
      </c>
      <c r="Y769">
        <f t="shared" si="71"/>
        <v>1299.0955999999999</v>
      </c>
    </row>
    <row r="770" spans="1:25" x14ac:dyDescent="0.25">
      <c r="A770" t="s">
        <v>1799</v>
      </c>
      <c r="B770">
        <v>42411</v>
      </c>
      <c r="C770" t="str">
        <f t="shared" si="66"/>
        <v>2016</v>
      </c>
      <c r="D770" t="s">
        <v>1703</v>
      </c>
      <c r="E770" t="s">
        <v>709</v>
      </c>
      <c r="F770" t="s">
        <v>257</v>
      </c>
      <c r="G770" t="s">
        <v>258</v>
      </c>
      <c r="H770" t="s">
        <v>241</v>
      </c>
      <c r="I770" t="s">
        <v>275</v>
      </c>
      <c r="J770" t="s">
        <v>279</v>
      </c>
      <c r="K770" t="s">
        <v>285</v>
      </c>
      <c r="L770" t="s">
        <v>245</v>
      </c>
      <c r="M770" t="s">
        <v>246</v>
      </c>
      <c r="N770" t="s">
        <v>247</v>
      </c>
      <c r="O770">
        <v>42420</v>
      </c>
      <c r="P770">
        <v>99.39</v>
      </c>
      <c r="Q770">
        <v>162.93</v>
      </c>
      <c r="R770">
        <f t="shared" si="67"/>
        <v>63.540000000000006</v>
      </c>
      <c r="S770">
        <v>22</v>
      </c>
      <c r="T770">
        <f t="shared" si="68"/>
        <v>3584.46</v>
      </c>
      <c r="U770">
        <v>7.0000000000000007E-2</v>
      </c>
      <c r="V770">
        <f t="shared" si="69"/>
        <v>250.91220000000001</v>
      </c>
      <c r="W770">
        <f t="shared" si="70"/>
        <v>3333.5477999999998</v>
      </c>
      <c r="X770">
        <v>19.989999999999998</v>
      </c>
      <c r="Y770">
        <f t="shared" si="71"/>
        <v>3353.5377999999996</v>
      </c>
    </row>
    <row r="771" spans="1:25" x14ac:dyDescent="0.25">
      <c r="A771" t="s">
        <v>1800</v>
      </c>
      <c r="B771">
        <v>42412</v>
      </c>
      <c r="C771" t="str">
        <f t="shared" si="66"/>
        <v>2016</v>
      </c>
      <c r="D771" t="s">
        <v>1122</v>
      </c>
      <c r="E771" t="s">
        <v>420</v>
      </c>
      <c r="F771" t="s">
        <v>239</v>
      </c>
      <c r="G771" t="s">
        <v>240</v>
      </c>
      <c r="H771" t="s">
        <v>293</v>
      </c>
      <c r="I771" t="s">
        <v>251</v>
      </c>
      <c r="J771" t="s">
        <v>261</v>
      </c>
      <c r="K771" t="s">
        <v>803</v>
      </c>
      <c r="L771" t="s">
        <v>245</v>
      </c>
      <c r="M771" t="s">
        <v>253</v>
      </c>
      <c r="N771" t="s">
        <v>247</v>
      </c>
      <c r="O771">
        <v>42413</v>
      </c>
      <c r="P771">
        <v>5.22</v>
      </c>
      <c r="Q771">
        <v>9.85</v>
      </c>
      <c r="R771">
        <f t="shared" si="67"/>
        <v>4.63</v>
      </c>
      <c r="S771">
        <v>48</v>
      </c>
      <c r="T771">
        <f t="shared" si="68"/>
        <v>472.79999999999995</v>
      </c>
      <c r="U771">
        <v>0.09</v>
      </c>
      <c r="V771">
        <f t="shared" si="69"/>
        <v>42.551999999999992</v>
      </c>
      <c r="W771">
        <f t="shared" si="70"/>
        <v>430.24799999999993</v>
      </c>
      <c r="X771">
        <v>4.82</v>
      </c>
      <c r="Y771">
        <f t="shared" si="71"/>
        <v>435.06799999999993</v>
      </c>
    </row>
    <row r="772" spans="1:25" x14ac:dyDescent="0.25">
      <c r="A772" t="s">
        <v>1801</v>
      </c>
      <c r="B772">
        <v>42412</v>
      </c>
      <c r="C772" t="str">
        <f t="shared" si="66"/>
        <v>2016</v>
      </c>
      <c r="D772" t="s">
        <v>1122</v>
      </c>
      <c r="E772" t="s">
        <v>420</v>
      </c>
      <c r="F772" t="s">
        <v>239</v>
      </c>
      <c r="G772" t="s">
        <v>240</v>
      </c>
      <c r="H772" t="s">
        <v>293</v>
      </c>
      <c r="I772" t="s">
        <v>251</v>
      </c>
      <c r="J772" t="s">
        <v>261</v>
      </c>
      <c r="K772" t="s">
        <v>817</v>
      </c>
      <c r="L772" t="s">
        <v>245</v>
      </c>
      <c r="M772" t="s">
        <v>253</v>
      </c>
      <c r="N772" t="s">
        <v>247</v>
      </c>
      <c r="O772">
        <v>42413</v>
      </c>
      <c r="P772">
        <v>1.76</v>
      </c>
      <c r="Q772">
        <v>2.94</v>
      </c>
      <c r="R772">
        <f t="shared" si="67"/>
        <v>1.18</v>
      </c>
      <c r="S772">
        <v>18</v>
      </c>
      <c r="T772">
        <f t="shared" si="68"/>
        <v>52.92</v>
      </c>
      <c r="U772">
        <v>0.01</v>
      </c>
      <c r="V772">
        <f t="shared" si="69"/>
        <v>0.5292</v>
      </c>
      <c r="W772">
        <f t="shared" si="70"/>
        <v>52.390799999999999</v>
      </c>
      <c r="X772">
        <v>0.81</v>
      </c>
      <c r="Y772">
        <f t="shared" si="71"/>
        <v>53.200800000000001</v>
      </c>
    </row>
    <row r="773" spans="1:25" x14ac:dyDescent="0.25">
      <c r="A773" t="s">
        <v>1802</v>
      </c>
      <c r="B773">
        <v>42413</v>
      </c>
      <c r="C773" t="str">
        <f t="shared" si="66"/>
        <v>2016</v>
      </c>
      <c r="D773" t="s">
        <v>1216</v>
      </c>
      <c r="E773" t="s">
        <v>292</v>
      </c>
      <c r="F773" t="s">
        <v>257</v>
      </c>
      <c r="G773" t="s">
        <v>258</v>
      </c>
      <c r="H773" t="s">
        <v>274</v>
      </c>
      <c r="I773" t="s">
        <v>260</v>
      </c>
      <c r="J773" t="s">
        <v>243</v>
      </c>
      <c r="K773" t="s">
        <v>439</v>
      </c>
      <c r="L773" t="s">
        <v>440</v>
      </c>
      <c r="M773" t="s">
        <v>323</v>
      </c>
      <c r="N773" t="s">
        <v>247</v>
      </c>
      <c r="O773">
        <v>42414</v>
      </c>
      <c r="P773">
        <v>5.5</v>
      </c>
      <c r="Q773">
        <v>12.22</v>
      </c>
      <c r="R773">
        <f t="shared" si="67"/>
        <v>6.7200000000000006</v>
      </c>
      <c r="S773">
        <v>10</v>
      </c>
      <c r="T773">
        <f t="shared" si="68"/>
        <v>122.2</v>
      </c>
      <c r="U773">
        <v>0.1</v>
      </c>
      <c r="V773">
        <f t="shared" si="69"/>
        <v>12.22</v>
      </c>
      <c r="W773">
        <f t="shared" si="70"/>
        <v>109.98</v>
      </c>
      <c r="X773">
        <v>2.85</v>
      </c>
      <c r="Y773">
        <f t="shared" si="71"/>
        <v>112.83</v>
      </c>
    </row>
    <row r="774" spans="1:25" x14ac:dyDescent="0.25">
      <c r="A774" t="s">
        <v>1803</v>
      </c>
      <c r="B774">
        <v>42413</v>
      </c>
      <c r="C774" t="str">
        <f t="shared" ref="C774:C837" si="72">TEXT(B774,"yyyy")</f>
        <v>2016</v>
      </c>
      <c r="D774" t="s">
        <v>1804</v>
      </c>
      <c r="E774" t="s">
        <v>1805</v>
      </c>
      <c r="F774" t="s">
        <v>257</v>
      </c>
      <c r="G774" t="s">
        <v>258</v>
      </c>
      <c r="H774" t="s">
        <v>259</v>
      </c>
      <c r="I774" t="s">
        <v>275</v>
      </c>
      <c r="J774" t="s">
        <v>243</v>
      </c>
      <c r="K774" t="s">
        <v>963</v>
      </c>
      <c r="L774" t="s">
        <v>245</v>
      </c>
      <c r="M774" t="s">
        <v>323</v>
      </c>
      <c r="N774" t="s">
        <v>263</v>
      </c>
      <c r="O774">
        <v>42416</v>
      </c>
      <c r="P774">
        <v>4.1900000000000004</v>
      </c>
      <c r="Q774">
        <v>10.23</v>
      </c>
      <c r="R774">
        <f t="shared" ref="R774:R837" si="73">Q774-P774</f>
        <v>6.04</v>
      </c>
      <c r="S774">
        <v>19</v>
      </c>
      <c r="T774">
        <f t="shared" ref="T774:T837" si="74">Q774*S774</f>
        <v>194.37</v>
      </c>
      <c r="U774">
        <v>0.08</v>
      </c>
      <c r="V774">
        <f t="shared" ref="V774:V837" si="75">T774*U774</f>
        <v>15.5496</v>
      </c>
      <c r="W774">
        <f t="shared" ref="W774:W837" si="76">T774-V774</f>
        <v>178.82040000000001</v>
      </c>
      <c r="X774">
        <v>4.68</v>
      </c>
      <c r="Y774">
        <f t="shared" ref="Y774:Y837" si="77">W774+X774</f>
        <v>183.50040000000001</v>
      </c>
    </row>
    <row r="775" spans="1:25" x14ac:dyDescent="0.25">
      <c r="A775" t="s">
        <v>1806</v>
      </c>
      <c r="B775">
        <v>42413</v>
      </c>
      <c r="C775" t="str">
        <f t="shared" si="72"/>
        <v>2016</v>
      </c>
      <c r="D775" t="s">
        <v>1284</v>
      </c>
      <c r="E775" t="s">
        <v>1001</v>
      </c>
      <c r="F775" t="s">
        <v>239</v>
      </c>
      <c r="G775" t="s">
        <v>240</v>
      </c>
      <c r="H775" t="s">
        <v>274</v>
      </c>
      <c r="I775" t="s">
        <v>251</v>
      </c>
      <c r="J775" t="s">
        <v>243</v>
      </c>
      <c r="K775" t="s">
        <v>519</v>
      </c>
      <c r="L775" t="s">
        <v>245</v>
      </c>
      <c r="M775" t="s">
        <v>253</v>
      </c>
      <c r="N775" t="s">
        <v>247</v>
      </c>
      <c r="O775">
        <v>42416</v>
      </c>
      <c r="P775">
        <v>2.9</v>
      </c>
      <c r="Q775">
        <v>4.76</v>
      </c>
      <c r="R775">
        <f t="shared" si="73"/>
        <v>1.8599999999999999</v>
      </c>
      <c r="S775">
        <v>33</v>
      </c>
      <c r="T775">
        <f t="shared" si="74"/>
        <v>157.07999999999998</v>
      </c>
      <c r="U775">
        <v>0.06</v>
      </c>
      <c r="V775">
        <f t="shared" si="75"/>
        <v>9.4247999999999994</v>
      </c>
      <c r="W775">
        <f t="shared" si="76"/>
        <v>147.65519999999998</v>
      </c>
      <c r="X775">
        <v>0.88</v>
      </c>
      <c r="Y775">
        <f t="shared" si="77"/>
        <v>148.53519999999997</v>
      </c>
    </row>
    <row r="776" spans="1:25" x14ac:dyDescent="0.25">
      <c r="A776" t="s">
        <v>1807</v>
      </c>
      <c r="B776">
        <v>42416</v>
      </c>
      <c r="C776" t="str">
        <f t="shared" si="72"/>
        <v>2016</v>
      </c>
      <c r="D776" t="s">
        <v>890</v>
      </c>
      <c r="E776" t="s">
        <v>380</v>
      </c>
      <c r="F776" t="s">
        <v>257</v>
      </c>
      <c r="G776" t="s">
        <v>258</v>
      </c>
      <c r="H776" t="s">
        <v>293</v>
      </c>
      <c r="I776" t="s">
        <v>381</v>
      </c>
      <c r="J776" t="s">
        <v>294</v>
      </c>
      <c r="K776" t="s">
        <v>776</v>
      </c>
      <c r="L776" t="s">
        <v>245</v>
      </c>
      <c r="M776" t="s">
        <v>246</v>
      </c>
      <c r="N776" t="s">
        <v>247</v>
      </c>
      <c r="O776">
        <v>42417</v>
      </c>
      <c r="P776">
        <v>4.53</v>
      </c>
      <c r="Q776">
        <v>7.3</v>
      </c>
      <c r="R776">
        <f t="shared" si="73"/>
        <v>2.7699999999999996</v>
      </c>
      <c r="S776">
        <v>36</v>
      </c>
      <c r="T776">
        <f t="shared" si="74"/>
        <v>262.8</v>
      </c>
      <c r="U776">
        <v>0.1</v>
      </c>
      <c r="V776">
        <f t="shared" si="75"/>
        <v>26.28</v>
      </c>
      <c r="W776">
        <f t="shared" si="76"/>
        <v>236.52</v>
      </c>
      <c r="X776">
        <v>7.72</v>
      </c>
      <c r="Y776">
        <f t="shared" si="77"/>
        <v>244.24</v>
      </c>
    </row>
    <row r="777" spans="1:25" x14ac:dyDescent="0.25">
      <c r="A777" t="s">
        <v>1808</v>
      </c>
      <c r="B777">
        <v>42416</v>
      </c>
      <c r="C777" t="str">
        <f t="shared" si="72"/>
        <v>2016</v>
      </c>
      <c r="D777" t="s">
        <v>1809</v>
      </c>
      <c r="E777" t="s">
        <v>701</v>
      </c>
      <c r="F777" t="s">
        <v>257</v>
      </c>
      <c r="G777" t="s">
        <v>258</v>
      </c>
      <c r="H777" t="s">
        <v>259</v>
      </c>
      <c r="I777" t="s">
        <v>275</v>
      </c>
      <c r="J777" t="s">
        <v>279</v>
      </c>
      <c r="K777" t="s">
        <v>941</v>
      </c>
      <c r="L777" t="s">
        <v>245</v>
      </c>
      <c r="M777" t="s">
        <v>253</v>
      </c>
      <c r="N777" t="s">
        <v>247</v>
      </c>
      <c r="O777">
        <v>42421</v>
      </c>
      <c r="P777">
        <v>2.59</v>
      </c>
      <c r="Q777">
        <v>3.98</v>
      </c>
      <c r="R777">
        <f t="shared" si="73"/>
        <v>1.3900000000000001</v>
      </c>
      <c r="S777">
        <v>11</v>
      </c>
      <c r="T777">
        <f t="shared" si="74"/>
        <v>43.78</v>
      </c>
      <c r="U777">
        <v>0.01</v>
      </c>
      <c r="V777">
        <f t="shared" si="75"/>
        <v>0.43780000000000002</v>
      </c>
      <c r="W777">
        <f t="shared" si="76"/>
        <v>43.342199999999998</v>
      </c>
      <c r="X777">
        <v>2.97</v>
      </c>
      <c r="Y777">
        <f t="shared" si="77"/>
        <v>46.312199999999997</v>
      </c>
    </row>
    <row r="778" spans="1:25" x14ac:dyDescent="0.25">
      <c r="A778" t="s">
        <v>1810</v>
      </c>
      <c r="B778">
        <v>42417</v>
      </c>
      <c r="C778" t="str">
        <f t="shared" si="72"/>
        <v>2016</v>
      </c>
      <c r="D778" t="s">
        <v>646</v>
      </c>
      <c r="E778" t="s">
        <v>376</v>
      </c>
      <c r="F778" t="s">
        <v>239</v>
      </c>
      <c r="G778" t="s">
        <v>240</v>
      </c>
      <c r="H778" t="s">
        <v>241</v>
      </c>
      <c r="I778" t="s">
        <v>242</v>
      </c>
      <c r="J778" t="s">
        <v>294</v>
      </c>
      <c r="K778" t="s">
        <v>529</v>
      </c>
      <c r="L778" t="s">
        <v>245</v>
      </c>
      <c r="M778" t="s">
        <v>253</v>
      </c>
      <c r="N778" t="s">
        <v>247</v>
      </c>
      <c r="O778">
        <v>42418</v>
      </c>
      <c r="P778">
        <v>1.6</v>
      </c>
      <c r="Q778">
        <v>2.62</v>
      </c>
      <c r="R778">
        <f t="shared" si="73"/>
        <v>1.02</v>
      </c>
      <c r="S778">
        <v>48</v>
      </c>
      <c r="T778">
        <f t="shared" si="74"/>
        <v>125.76</v>
      </c>
      <c r="U778">
        <v>0.1</v>
      </c>
      <c r="V778">
        <f t="shared" si="75"/>
        <v>12.576000000000001</v>
      </c>
      <c r="W778">
        <f t="shared" si="76"/>
        <v>113.184</v>
      </c>
      <c r="X778">
        <v>0.8</v>
      </c>
      <c r="Y778">
        <f t="shared" si="77"/>
        <v>113.98399999999999</v>
      </c>
    </row>
    <row r="779" spans="1:25" x14ac:dyDescent="0.25">
      <c r="A779" t="s">
        <v>1811</v>
      </c>
      <c r="B779">
        <v>42420</v>
      </c>
      <c r="C779" t="str">
        <f t="shared" si="72"/>
        <v>2016</v>
      </c>
      <c r="D779" t="s">
        <v>451</v>
      </c>
      <c r="E779" t="s">
        <v>1812</v>
      </c>
      <c r="F779" t="s">
        <v>239</v>
      </c>
      <c r="G779" t="s">
        <v>240</v>
      </c>
      <c r="H779" t="s">
        <v>259</v>
      </c>
      <c r="I779" t="s">
        <v>242</v>
      </c>
      <c r="J779" t="s">
        <v>261</v>
      </c>
      <c r="K779" t="s">
        <v>1130</v>
      </c>
      <c r="L779" t="s">
        <v>268</v>
      </c>
      <c r="M779" t="s">
        <v>246</v>
      </c>
      <c r="N779" t="s">
        <v>247</v>
      </c>
      <c r="O779">
        <v>42422</v>
      </c>
      <c r="P779">
        <v>14.7</v>
      </c>
      <c r="Q779">
        <v>29.99</v>
      </c>
      <c r="R779">
        <f t="shared" si="73"/>
        <v>15.29</v>
      </c>
      <c r="S779">
        <v>11</v>
      </c>
      <c r="T779">
        <f t="shared" si="74"/>
        <v>329.89</v>
      </c>
      <c r="U779">
        <v>0.08</v>
      </c>
      <c r="V779">
        <f t="shared" si="75"/>
        <v>26.391199999999998</v>
      </c>
      <c r="W779">
        <f t="shared" si="76"/>
        <v>303.49879999999996</v>
      </c>
      <c r="X779">
        <v>5.5</v>
      </c>
      <c r="Y779">
        <f t="shared" si="77"/>
        <v>308.99879999999996</v>
      </c>
    </row>
    <row r="780" spans="1:25" x14ac:dyDescent="0.25">
      <c r="A780" t="s">
        <v>1813</v>
      </c>
      <c r="B780">
        <v>42422</v>
      </c>
      <c r="C780" t="str">
        <f t="shared" si="72"/>
        <v>2016</v>
      </c>
      <c r="D780" t="s">
        <v>1814</v>
      </c>
      <c r="E780" t="s">
        <v>352</v>
      </c>
      <c r="F780" t="s">
        <v>257</v>
      </c>
      <c r="G780" t="s">
        <v>258</v>
      </c>
      <c r="H780" t="s">
        <v>293</v>
      </c>
      <c r="I780" t="s">
        <v>275</v>
      </c>
      <c r="J780" t="s">
        <v>294</v>
      </c>
      <c r="K780" t="s">
        <v>594</v>
      </c>
      <c r="L780" t="s">
        <v>268</v>
      </c>
      <c r="M780" t="s">
        <v>269</v>
      </c>
      <c r="N780" t="s">
        <v>270</v>
      </c>
      <c r="O780">
        <v>42423</v>
      </c>
      <c r="P780">
        <v>278.99</v>
      </c>
      <c r="Q780">
        <v>449.99</v>
      </c>
      <c r="R780">
        <f t="shared" si="73"/>
        <v>171</v>
      </c>
      <c r="S780">
        <v>38</v>
      </c>
      <c r="T780">
        <f t="shared" si="74"/>
        <v>17099.62</v>
      </c>
      <c r="U780">
        <v>0.01</v>
      </c>
      <c r="V780">
        <f t="shared" si="75"/>
        <v>170.99619999999999</v>
      </c>
      <c r="W780">
        <f t="shared" si="76"/>
        <v>16928.623799999998</v>
      </c>
      <c r="X780">
        <v>49</v>
      </c>
      <c r="Y780">
        <f t="shared" si="77"/>
        <v>16977.623799999998</v>
      </c>
    </row>
    <row r="781" spans="1:25" x14ac:dyDescent="0.25">
      <c r="A781" t="s">
        <v>1815</v>
      </c>
      <c r="B781">
        <v>42423</v>
      </c>
      <c r="C781" t="str">
        <f t="shared" si="72"/>
        <v>2016</v>
      </c>
      <c r="D781" t="s">
        <v>1816</v>
      </c>
      <c r="E781" t="s">
        <v>1551</v>
      </c>
      <c r="F781" t="s">
        <v>257</v>
      </c>
      <c r="G781" t="s">
        <v>258</v>
      </c>
      <c r="H781" t="s">
        <v>293</v>
      </c>
      <c r="I781" t="s">
        <v>309</v>
      </c>
      <c r="J781" t="s">
        <v>304</v>
      </c>
      <c r="K781" t="s">
        <v>998</v>
      </c>
      <c r="L781" t="s">
        <v>245</v>
      </c>
      <c r="M781" t="s">
        <v>246</v>
      </c>
      <c r="N781" t="s">
        <v>247</v>
      </c>
      <c r="O781">
        <v>42424</v>
      </c>
      <c r="P781">
        <v>21.97</v>
      </c>
      <c r="Q781">
        <v>35.44</v>
      </c>
      <c r="R781">
        <f t="shared" si="73"/>
        <v>13.469999999999999</v>
      </c>
      <c r="S781">
        <v>48</v>
      </c>
      <c r="T781">
        <f t="shared" si="74"/>
        <v>1701.12</v>
      </c>
      <c r="U781">
        <v>0.08</v>
      </c>
      <c r="V781">
        <f t="shared" si="75"/>
        <v>136.08959999999999</v>
      </c>
      <c r="W781">
        <f t="shared" si="76"/>
        <v>1565.0303999999999</v>
      </c>
      <c r="X781">
        <v>4.92</v>
      </c>
      <c r="Y781">
        <f t="shared" si="77"/>
        <v>1569.9503999999999</v>
      </c>
    </row>
    <row r="782" spans="1:25" x14ac:dyDescent="0.25">
      <c r="A782" t="s">
        <v>1817</v>
      </c>
      <c r="B782">
        <v>42426</v>
      </c>
      <c r="C782" t="str">
        <f t="shared" si="72"/>
        <v>2016</v>
      </c>
      <c r="D782" t="s">
        <v>1323</v>
      </c>
      <c r="E782" t="s">
        <v>552</v>
      </c>
      <c r="F782" t="s">
        <v>257</v>
      </c>
      <c r="G782" t="s">
        <v>258</v>
      </c>
      <c r="H782" t="s">
        <v>274</v>
      </c>
      <c r="I782" t="s">
        <v>284</v>
      </c>
      <c r="J782" t="s">
        <v>279</v>
      </c>
      <c r="K782" t="s">
        <v>600</v>
      </c>
      <c r="L782" t="s">
        <v>245</v>
      </c>
      <c r="M782" t="s">
        <v>253</v>
      </c>
      <c r="N782" t="s">
        <v>247</v>
      </c>
      <c r="O782">
        <v>42433</v>
      </c>
      <c r="P782">
        <v>2.98</v>
      </c>
      <c r="Q782">
        <v>5.84</v>
      </c>
      <c r="R782">
        <f t="shared" si="73"/>
        <v>2.86</v>
      </c>
      <c r="S782">
        <v>19</v>
      </c>
      <c r="T782">
        <f t="shared" si="74"/>
        <v>110.96</v>
      </c>
      <c r="U782">
        <v>0.01</v>
      </c>
      <c r="V782">
        <f t="shared" si="75"/>
        <v>1.1095999999999999</v>
      </c>
      <c r="W782">
        <f t="shared" si="76"/>
        <v>109.85039999999999</v>
      </c>
      <c r="X782">
        <v>0.83</v>
      </c>
      <c r="Y782">
        <f t="shared" si="77"/>
        <v>110.68039999999999</v>
      </c>
    </row>
    <row r="783" spans="1:25" x14ac:dyDescent="0.25">
      <c r="A783" t="s">
        <v>1818</v>
      </c>
      <c r="B783">
        <v>42429</v>
      </c>
      <c r="C783" t="str">
        <f t="shared" si="72"/>
        <v>2016</v>
      </c>
      <c r="D783" t="s">
        <v>1102</v>
      </c>
      <c r="E783" t="s">
        <v>1103</v>
      </c>
      <c r="F783" t="s">
        <v>448</v>
      </c>
      <c r="G783" t="s">
        <v>449</v>
      </c>
      <c r="H783" t="s">
        <v>293</v>
      </c>
      <c r="I783" t="s">
        <v>284</v>
      </c>
      <c r="J783" t="s">
        <v>304</v>
      </c>
      <c r="K783" t="s">
        <v>295</v>
      </c>
      <c r="L783" t="s">
        <v>245</v>
      </c>
      <c r="M783" t="s">
        <v>246</v>
      </c>
      <c r="N783" t="s">
        <v>247</v>
      </c>
      <c r="O783">
        <v>42429</v>
      </c>
      <c r="P783">
        <v>54.29</v>
      </c>
      <c r="Q783">
        <v>90.48</v>
      </c>
      <c r="R783">
        <f t="shared" si="73"/>
        <v>36.190000000000005</v>
      </c>
      <c r="S783">
        <v>16</v>
      </c>
      <c r="T783">
        <f t="shared" si="74"/>
        <v>1447.68</v>
      </c>
      <c r="U783">
        <v>0</v>
      </c>
      <c r="V783">
        <f t="shared" si="75"/>
        <v>0</v>
      </c>
      <c r="W783">
        <f t="shared" si="76"/>
        <v>1447.68</v>
      </c>
      <c r="X783">
        <v>19.989999999999998</v>
      </c>
      <c r="Y783">
        <f t="shared" si="77"/>
        <v>1467.67</v>
      </c>
    </row>
    <row r="784" spans="1:25" x14ac:dyDescent="0.25">
      <c r="A784" t="s">
        <v>1819</v>
      </c>
      <c r="B784">
        <v>42434</v>
      </c>
      <c r="C784" t="str">
        <f t="shared" si="72"/>
        <v>2016</v>
      </c>
      <c r="D784" t="s">
        <v>1820</v>
      </c>
      <c r="E784" t="s">
        <v>341</v>
      </c>
      <c r="F784" t="s">
        <v>257</v>
      </c>
      <c r="G784" t="s">
        <v>258</v>
      </c>
      <c r="H784" t="s">
        <v>241</v>
      </c>
      <c r="I784" t="s">
        <v>342</v>
      </c>
      <c r="J784" t="s">
        <v>279</v>
      </c>
      <c r="K784" t="s">
        <v>849</v>
      </c>
      <c r="L784" t="s">
        <v>245</v>
      </c>
      <c r="M784" t="s">
        <v>253</v>
      </c>
      <c r="N784" t="s">
        <v>247</v>
      </c>
      <c r="O784">
        <v>42438</v>
      </c>
      <c r="P784">
        <v>0.93</v>
      </c>
      <c r="Q784">
        <v>1.6</v>
      </c>
      <c r="R784">
        <f t="shared" si="73"/>
        <v>0.67</v>
      </c>
      <c r="S784">
        <v>43</v>
      </c>
      <c r="T784">
        <f t="shared" si="74"/>
        <v>68.8</v>
      </c>
      <c r="U784">
        <v>0.01</v>
      </c>
      <c r="V784">
        <f t="shared" si="75"/>
        <v>0.68799999999999994</v>
      </c>
      <c r="W784">
        <f t="shared" si="76"/>
        <v>68.111999999999995</v>
      </c>
      <c r="X784">
        <v>1.29</v>
      </c>
      <c r="Y784">
        <f t="shared" si="77"/>
        <v>69.402000000000001</v>
      </c>
    </row>
    <row r="785" spans="1:25" x14ac:dyDescent="0.25">
      <c r="A785" t="s">
        <v>1821</v>
      </c>
      <c r="B785">
        <v>42435</v>
      </c>
      <c r="C785" t="str">
        <f t="shared" si="72"/>
        <v>2016</v>
      </c>
      <c r="D785" t="s">
        <v>348</v>
      </c>
      <c r="E785" t="s">
        <v>332</v>
      </c>
      <c r="F785" t="s">
        <v>257</v>
      </c>
      <c r="G785" t="s">
        <v>258</v>
      </c>
      <c r="H785" t="s">
        <v>293</v>
      </c>
      <c r="I785" t="s">
        <v>333</v>
      </c>
      <c r="J785" t="s">
        <v>279</v>
      </c>
      <c r="K785" t="s">
        <v>748</v>
      </c>
      <c r="L785" t="s">
        <v>268</v>
      </c>
      <c r="M785" t="s">
        <v>246</v>
      </c>
      <c r="N785" t="s">
        <v>247</v>
      </c>
      <c r="O785">
        <v>42440</v>
      </c>
      <c r="P785">
        <v>41.28</v>
      </c>
      <c r="Q785">
        <v>95.99</v>
      </c>
      <c r="R785">
        <f t="shared" si="73"/>
        <v>54.709999999999994</v>
      </c>
      <c r="S785">
        <v>40</v>
      </c>
      <c r="T785">
        <f t="shared" si="74"/>
        <v>3839.6</v>
      </c>
      <c r="U785">
        <v>0.05</v>
      </c>
      <c r="V785">
        <f t="shared" si="75"/>
        <v>191.98000000000002</v>
      </c>
      <c r="W785">
        <f t="shared" si="76"/>
        <v>3647.62</v>
      </c>
      <c r="X785">
        <v>8.99</v>
      </c>
      <c r="Y785">
        <f t="shared" si="77"/>
        <v>3656.6099999999997</v>
      </c>
    </row>
    <row r="786" spans="1:25" x14ac:dyDescent="0.25">
      <c r="A786" t="s">
        <v>1822</v>
      </c>
      <c r="B786">
        <v>42435</v>
      </c>
      <c r="C786" t="str">
        <f t="shared" si="72"/>
        <v>2016</v>
      </c>
      <c r="D786" t="s">
        <v>1823</v>
      </c>
      <c r="E786" t="s">
        <v>491</v>
      </c>
      <c r="F786" t="s">
        <v>257</v>
      </c>
      <c r="G786" t="s">
        <v>258</v>
      </c>
      <c r="H786" t="s">
        <v>259</v>
      </c>
      <c r="I786" t="s">
        <v>492</v>
      </c>
      <c r="J786" t="s">
        <v>294</v>
      </c>
      <c r="K786" t="s">
        <v>1429</v>
      </c>
      <c r="L786" t="s">
        <v>245</v>
      </c>
      <c r="M786" t="s">
        <v>246</v>
      </c>
      <c r="N786" t="s">
        <v>263</v>
      </c>
      <c r="O786">
        <v>42436</v>
      </c>
      <c r="P786">
        <v>3.99</v>
      </c>
      <c r="Q786">
        <v>6.23</v>
      </c>
      <c r="R786">
        <f t="shared" si="73"/>
        <v>2.2400000000000002</v>
      </c>
      <c r="S786">
        <v>33</v>
      </c>
      <c r="T786">
        <f t="shared" si="74"/>
        <v>205.59</v>
      </c>
      <c r="U786">
        <v>0.08</v>
      </c>
      <c r="V786">
        <f t="shared" si="75"/>
        <v>16.447200000000002</v>
      </c>
      <c r="W786">
        <f t="shared" si="76"/>
        <v>189.14279999999999</v>
      </c>
      <c r="X786">
        <v>6.97</v>
      </c>
      <c r="Y786">
        <f t="shared" si="77"/>
        <v>196.11279999999999</v>
      </c>
    </row>
    <row r="787" spans="1:25" x14ac:dyDescent="0.25">
      <c r="A787" t="s">
        <v>1824</v>
      </c>
      <c r="B787">
        <v>42436</v>
      </c>
      <c r="C787" t="str">
        <f t="shared" si="72"/>
        <v>2016</v>
      </c>
      <c r="D787" t="s">
        <v>596</v>
      </c>
      <c r="E787" t="s">
        <v>352</v>
      </c>
      <c r="F787" t="s">
        <v>257</v>
      </c>
      <c r="G787" t="s">
        <v>258</v>
      </c>
      <c r="H787" t="s">
        <v>241</v>
      </c>
      <c r="I787" t="s">
        <v>275</v>
      </c>
      <c r="J787" t="s">
        <v>304</v>
      </c>
      <c r="K787" t="s">
        <v>786</v>
      </c>
      <c r="L787" t="s">
        <v>245</v>
      </c>
      <c r="M787" t="s">
        <v>323</v>
      </c>
      <c r="N787" t="s">
        <v>247</v>
      </c>
      <c r="O787">
        <v>42437</v>
      </c>
      <c r="P787">
        <v>16.8</v>
      </c>
      <c r="Q787">
        <v>40.97</v>
      </c>
      <c r="R787">
        <f t="shared" si="73"/>
        <v>24.169999999999998</v>
      </c>
      <c r="S787">
        <v>14</v>
      </c>
      <c r="T787">
        <f t="shared" si="74"/>
        <v>573.57999999999993</v>
      </c>
      <c r="U787">
        <v>0</v>
      </c>
      <c r="V787">
        <f t="shared" si="75"/>
        <v>0</v>
      </c>
      <c r="W787">
        <f t="shared" si="76"/>
        <v>573.57999999999993</v>
      </c>
      <c r="X787">
        <v>8.99</v>
      </c>
      <c r="Y787">
        <f t="shared" si="77"/>
        <v>582.56999999999994</v>
      </c>
    </row>
    <row r="788" spans="1:25" x14ac:dyDescent="0.25">
      <c r="A788" t="s">
        <v>1825</v>
      </c>
      <c r="B788">
        <v>42438</v>
      </c>
      <c r="C788" t="str">
        <f t="shared" si="72"/>
        <v>2016</v>
      </c>
      <c r="D788" t="s">
        <v>1826</v>
      </c>
      <c r="E788" t="s">
        <v>612</v>
      </c>
      <c r="F788" t="s">
        <v>239</v>
      </c>
      <c r="G788" t="s">
        <v>240</v>
      </c>
      <c r="H788" t="s">
        <v>259</v>
      </c>
      <c r="I788" t="s">
        <v>242</v>
      </c>
      <c r="J788" t="s">
        <v>304</v>
      </c>
      <c r="K788" t="s">
        <v>373</v>
      </c>
      <c r="L788" t="s">
        <v>268</v>
      </c>
      <c r="M788" t="s">
        <v>246</v>
      </c>
      <c r="N788" t="s">
        <v>247</v>
      </c>
      <c r="O788">
        <v>42439</v>
      </c>
      <c r="P788">
        <v>6.39</v>
      </c>
      <c r="Q788">
        <v>19.98</v>
      </c>
      <c r="R788">
        <f t="shared" si="73"/>
        <v>13.59</v>
      </c>
      <c r="S788">
        <v>39</v>
      </c>
      <c r="T788">
        <f t="shared" si="74"/>
        <v>779.22</v>
      </c>
      <c r="U788">
        <v>0.05</v>
      </c>
      <c r="V788">
        <f t="shared" si="75"/>
        <v>38.961000000000006</v>
      </c>
      <c r="W788">
        <f t="shared" si="76"/>
        <v>740.25900000000001</v>
      </c>
      <c r="X788">
        <v>4</v>
      </c>
      <c r="Y788">
        <f t="shared" si="77"/>
        <v>744.25900000000001</v>
      </c>
    </row>
    <row r="789" spans="1:25" x14ac:dyDescent="0.25">
      <c r="A789" t="s">
        <v>1827</v>
      </c>
      <c r="B789">
        <v>42440</v>
      </c>
      <c r="C789" t="str">
        <f t="shared" si="72"/>
        <v>2016</v>
      </c>
      <c r="D789" t="s">
        <v>930</v>
      </c>
      <c r="E789" t="s">
        <v>643</v>
      </c>
      <c r="F789" t="s">
        <v>257</v>
      </c>
      <c r="G789" t="s">
        <v>258</v>
      </c>
      <c r="H789" t="s">
        <v>293</v>
      </c>
      <c r="I789" t="s">
        <v>342</v>
      </c>
      <c r="J789" t="s">
        <v>304</v>
      </c>
      <c r="K789" t="s">
        <v>734</v>
      </c>
      <c r="L789" t="s">
        <v>245</v>
      </c>
      <c r="M789" t="s">
        <v>246</v>
      </c>
      <c r="N789" t="s">
        <v>247</v>
      </c>
      <c r="O789">
        <v>42442</v>
      </c>
      <c r="P789">
        <v>14.95</v>
      </c>
      <c r="Q789">
        <v>34.76</v>
      </c>
      <c r="R789">
        <f t="shared" si="73"/>
        <v>19.809999999999999</v>
      </c>
      <c r="S789">
        <v>27</v>
      </c>
      <c r="T789">
        <f t="shared" si="74"/>
        <v>938.52</v>
      </c>
      <c r="U789">
        <v>0.1</v>
      </c>
      <c r="V789">
        <f t="shared" si="75"/>
        <v>93.852000000000004</v>
      </c>
      <c r="W789">
        <f t="shared" si="76"/>
        <v>844.66800000000001</v>
      </c>
      <c r="X789">
        <v>8.2200000000000006</v>
      </c>
      <c r="Y789">
        <f t="shared" si="77"/>
        <v>852.88800000000003</v>
      </c>
    </row>
    <row r="790" spans="1:25" x14ac:dyDescent="0.25">
      <c r="A790" t="s">
        <v>1828</v>
      </c>
      <c r="B790">
        <v>42441</v>
      </c>
      <c r="C790" t="str">
        <f t="shared" si="72"/>
        <v>2016</v>
      </c>
      <c r="D790" t="s">
        <v>1602</v>
      </c>
      <c r="E790" t="s">
        <v>944</v>
      </c>
      <c r="F790" t="s">
        <v>257</v>
      </c>
      <c r="G790" t="s">
        <v>258</v>
      </c>
      <c r="H790" t="s">
        <v>241</v>
      </c>
      <c r="I790" t="s">
        <v>333</v>
      </c>
      <c r="J790" t="s">
        <v>304</v>
      </c>
      <c r="K790" t="s">
        <v>1293</v>
      </c>
      <c r="L790" t="s">
        <v>245</v>
      </c>
      <c r="M790" t="s">
        <v>253</v>
      </c>
      <c r="N790" t="s">
        <v>247</v>
      </c>
      <c r="O790">
        <v>42441</v>
      </c>
      <c r="P790">
        <v>0.94</v>
      </c>
      <c r="Q790">
        <v>1.88</v>
      </c>
      <c r="R790">
        <f t="shared" si="73"/>
        <v>0.94</v>
      </c>
      <c r="S790">
        <v>36</v>
      </c>
      <c r="T790">
        <f t="shared" si="74"/>
        <v>67.679999999999993</v>
      </c>
      <c r="U790">
        <v>0.04</v>
      </c>
      <c r="V790">
        <f t="shared" si="75"/>
        <v>2.7071999999999998</v>
      </c>
      <c r="W790">
        <f t="shared" si="76"/>
        <v>64.972799999999992</v>
      </c>
      <c r="X790">
        <v>0.79</v>
      </c>
      <c r="Y790">
        <f t="shared" si="77"/>
        <v>65.762799999999999</v>
      </c>
    </row>
    <row r="791" spans="1:25" x14ac:dyDescent="0.25">
      <c r="A791" t="s">
        <v>1829</v>
      </c>
      <c r="B791">
        <v>42441</v>
      </c>
      <c r="C791" t="str">
        <f t="shared" si="72"/>
        <v>2016</v>
      </c>
      <c r="D791" t="s">
        <v>693</v>
      </c>
      <c r="E791" t="s">
        <v>694</v>
      </c>
      <c r="F791" t="s">
        <v>257</v>
      </c>
      <c r="G791" t="s">
        <v>258</v>
      </c>
      <c r="H791" t="s">
        <v>259</v>
      </c>
      <c r="I791" t="s">
        <v>284</v>
      </c>
      <c r="J791" t="s">
        <v>279</v>
      </c>
      <c r="K791" t="s">
        <v>849</v>
      </c>
      <c r="L791" t="s">
        <v>245</v>
      </c>
      <c r="M791" t="s">
        <v>253</v>
      </c>
      <c r="N791" t="s">
        <v>247</v>
      </c>
      <c r="O791">
        <v>42446</v>
      </c>
      <c r="P791">
        <v>0.93</v>
      </c>
      <c r="Q791">
        <v>1.6</v>
      </c>
      <c r="R791">
        <f t="shared" si="73"/>
        <v>0.67</v>
      </c>
      <c r="S791">
        <v>40</v>
      </c>
      <c r="T791">
        <f t="shared" si="74"/>
        <v>64</v>
      </c>
      <c r="U791">
        <v>0.01</v>
      </c>
      <c r="V791">
        <f t="shared" si="75"/>
        <v>0.64</v>
      </c>
      <c r="W791">
        <f t="shared" si="76"/>
        <v>63.36</v>
      </c>
      <c r="X791">
        <v>1.29</v>
      </c>
      <c r="Y791">
        <f t="shared" si="77"/>
        <v>64.650000000000006</v>
      </c>
    </row>
    <row r="792" spans="1:25" x14ac:dyDescent="0.25">
      <c r="A792" t="s">
        <v>1830</v>
      </c>
      <c r="B792">
        <v>42443</v>
      </c>
      <c r="C792" t="str">
        <f t="shared" si="72"/>
        <v>2016</v>
      </c>
      <c r="D792" t="s">
        <v>1831</v>
      </c>
      <c r="E792" t="s">
        <v>552</v>
      </c>
      <c r="F792" t="s">
        <v>257</v>
      </c>
      <c r="G792" t="s">
        <v>258</v>
      </c>
      <c r="H792" t="s">
        <v>241</v>
      </c>
      <c r="I792" t="s">
        <v>284</v>
      </c>
      <c r="J792" t="s">
        <v>279</v>
      </c>
      <c r="K792" t="s">
        <v>475</v>
      </c>
      <c r="L792" t="s">
        <v>245</v>
      </c>
      <c r="M792" t="s">
        <v>246</v>
      </c>
      <c r="N792" t="s">
        <v>247</v>
      </c>
      <c r="O792">
        <v>42447</v>
      </c>
      <c r="P792">
        <v>12.39</v>
      </c>
      <c r="Q792">
        <v>19.98</v>
      </c>
      <c r="R792">
        <f t="shared" si="73"/>
        <v>7.59</v>
      </c>
      <c r="S792">
        <v>47</v>
      </c>
      <c r="T792">
        <f t="shared" si="74"/>
        <v>939.06000000000006</v>
      </c>
      <c r="U792">
        <v>0</v>
      </c>
      <c r="V792">
        <f t="shared" si="75"/>
        <v>0</v>
      </c>
      <c r="W792">
        <f t="shared" si="76"/>
        <v>939.06000000000006</v>
      </c>
      <c r="X792">
        <v>5.77</v>
      </c>
      <c r="Y792">
        <f t="shared" si="77"/>
        <v>944.83</v>
      </c>
    </row>
    <row r="793" spans="1:25" x14ac:dyDescent="0.25">
      <c r="A793" t="s">
        <v>1832</v>
      </c>
      <c r="B793">
        <v>42446</v>
      </c>
      <c r="C793" t="str">
        <f t="shared" si="72"/>
        <v>2016</v>
      </c>
      <c r="D793" t="s">
        <v>311</v>
      </c>
      <c r="E793" t="s">
        <v>312</v>
      </c>
      <c r="F793" t="s">
        <v>257</v>
      </c>
      <c r="G793" t="s">
        <v>258</v>
      </c>
      <c r="H793" t="s">
        <v>274</v>
      </c>
      <c r="I793" t="s">
        <v>284</v>
      </c>
      <c r="J793" t="s">
        <v>261</v>
      </c>
      <c r="K793" t="s">
        <v>425</v>
      </c>
      <c r="L793" t="s">
        <v>245</v>
      </c>
      <c r="M793" t="s">
        <v>253</v>
      </c>
      <c r="N793" t="s">
        <v>247</v>
      </c>
      <c r="O793">
        <v>42448</v>
      </c>
      <c r="P793">
        <v>21.56</v>
      </c>
      <c r="Q793">
        <v>36.549999999999997</v>
      </c>
      <c r="R793">
        <f t="shared" si="73"/>
        <v>14.989999999999998</v>
      </c>
      <c r="S793">
        <v>2</v>
      </c>
      <c r="T793">
        <f t="shared" si="74"/>
        <v>73.099999999999994</v>
      </c>
      <c r="U793">
        <v>0.03</v>
      </c>
      <c r="V793">
        <f t="shared" si="75"/>
        <v>2.1929999999999996</v>
      </c>
      <c r="W793">
        <f t="shared" si="76"/>
        <v>70.906999999999996</v>
      </c>
      <c r="X793">
        <v>13.89</v>
      </c>
      <c r="Y793">
        <f t="shared" si="77"/>
        <v>84.796999999999997</v>
      </c>
    </row>
    <row r="794" spans="1:25" x14ac:dyDescent="0.25">
      <c r="A794" t="s">
        <v>1832</v>
      </c>
      <c r="B794">
        <v>42446</v>
      </c>
      <c r="C794" t="str">
        <f t="shared" si="72"/>
        <v>2016</v>
      </c>
      <c r="D794" t="s">
        <v>1132</v>
      </c>
      <c r="E794" t="s">
        <v>1133</v>
      </c>
      <c r="F794" t="s">
        <v>257</v>
      </c>
      <c r="G794" t="s">
        <v>258</v>
      </c>
      <c r="H794" t="s">
        <v>259</v>
      </c>
      <c r="I794" t="s">
        <v>372</v>
      </c>
      <c r="J794" t="s">
        <v>261</v>
      </c>
      <c r="K794" t="s">
        <v>582</v>
      </c>
      <c r="L794" t="s">
        <v>245</v>
      </c>
      <c r="M794" t="s">
        <v>253</v>
      </c>
      <c r="N794" t="s">
        <v>247</v>
      </c>
      <c r="O794">
        <v>42449</v>
      </c>
      <c r="P794">
        <v>0.24</v>
      </c>
      <c r="Q794">
        <v>1.26</v>
      </c>
      <c r="R794">
        <f t="shared" si="73"/>
        <v>1.02</v>
      </c>
      <c r="S794">
        <v>47</v>
      </c>
      <c r="T794">
        <f t="shared" si="74"/>
        <v>59.22</v>
      </c>
      <c r="U794">
        <v>7.0000000000000007E-2</v>
      </c>
      <c r="V794">
        <f t="shared" si="75"/>
        <v>4.1454000000000004</v>
      </c>
      <c r="W794">
        <f t="shared" si="76"/>
        <v>55.074599999999997</v>
      </c>
      <c r="X794">
        <v>0.7</v>
      </c>
      <c r="Y794">
        <f t="shared" si="77"/>
        <v>55.7746</v>
      </c>
    </row>
    <row r="795" spans="1:25" x14ac:dyDescent="0.25">
      <c r="A795" t="s">
        <v>1833</v>
      </c>
      <c r="B795">
        <v>42446</v>
      </c>
      <c r="C795" t="str">
        <f t="shared" si="72"/>
        <v>2016</v>
      </c>
      <c r="D795" t="s">
        <v>1834</v>
      </c>
      <c r="E795" t="s">
        <v>637</v>
      </c>
      <c r="F795" t="s">
        <v>239</v>
      </c>
      <c r="G795" t="s">
        <v>240</v>
      </c>
      <c r="H795" t="s">
        <v>293</v>
      </c>
      <c r="I795" t="s">
        <v>242</v>
      </c>
      <c r="J795" t="s">
        <v>304</v>
      </c>
      <c r="K795" t="s">
        <v>403</v>
      </c>
      <c r="L795" t="s">
        <v>268</v>
      </c>
      <c r="M795" t="s">
        <v>323</v>
      </c>
      <c r="N795" t="s">
        <v>263</v>
      </c>
      <c r="O795">
        <v>42447</v>
      </c>
      <c r="P795">
        <v>1.87</v>
      </c>
      <c r="Q795">
        <v>8.1199999999999992</v>
      </c>
      <c r="R795">
        <f t="shared" si="73"/>
        <v>6.2499999999999991</v>
      </c>
      <c r="S795">
        <v>37</v>
      </c>
      <c r="T795">
        <f t="shared" si="74"/>
        <v>300.44</v>
      </c>
      <c r="U795">
        <v>0.01</v>
      </c>
      <c r="V795">
        <f t="shared" si="75"/>
        <v>3.0044</v>
      </c>
      <c r="W795">
        <f t="shared" si="76"/>
        <v>297.43560000000002</v>
      </c>
      <c r="X795">
        <v>2.83</v>
      </c>
      <c r="Y795">
        <f t="shared" si="77"/>
        <v>300.26560000000001</v>
      </c>
    </row>
    <row r="796" spans="1:25" x14ac:dyDescent="0.25">
      <c r="A796" t="s">
        <v>1835</v>
      </c>
      <c r="B796">
        <v>42447</v>
      </c>
      <c r="C796" t="str">
        <f t="shared" si="72"/>
        <v>2016</v>
      </c>
      <c r="D796" t="s">
        <v>1823</v>
      </c>
      <c r="E796" t="s">
        <v>491</v>
      </c>
      <c r="F796" t="s">
        <v>257</v>
      </c>
      <c r="G796" t="s">
        <v>258</v>
      </c>
      <c r="H796" t="s">
        <v>259</v>
      </c>
      <c r="I796" t="s">
        <v>492</v>
      </c>
      <c r="J796" t="s">
        <v>279</v>
      </c>
      <c r="K796" t="s">
        <v>1138</v>
      </c>
      <c r="L796" t="s">
        <v>245</v>
      </c>
      <c r="M796" t="s">
        <v>246</v>
      </c>
      <c r="N796" t="s">
        <v>247</v>
      </c>
      <c r="O796">
        <v>42452</v>
      </c>
      <c r="P796">
        <v>1.84</v>
      </c>
      <c r="Q796">
        <v>2.88</v>
      </c>
      <c r="R796">
        <f t="shared" si="73"/>
        <v>1.0399999999999998</v>
      </c>
      <c r="S796">
        <v>18</v>
      </c>
      <c r="T796">
        <f t="shared" si="74"/>
        <v>51.839999999999996</v>
      </c>
      <c r="U796">
        <v>0.02</v>
      </c>
      <c r="V796">
        <f t="shared" si="75"/>
        <v>1.0367999999999999</v>
      </c>
      <c r="W796">
        <f t="shared" si="76"/>
        <v>50.803199999999997</v>
      </c>
      <c r="X796">
        <v>5.33</v>
      </c>
      <c r="Y796">
        <f t="shared" si="77"/>
        <v>56.133199999999995</v>
      </c>
    </row>
    <row r="797" spans="1:25" x14ac:dyDescent="0.25">
      <c r="A797" t="s">
        <v>1836</v>
      </c>
      <c r="B797">
        <v>42447</v>
      </c>
      <c r="C797" t="str">
        <f t="shared" si="72"/>
        <v>2016</v>
      </c>
      <c r="D797" t="s">
        <v>1837</v>
      </c>
      <c r="E797" t="s">
        <v>376</v>
      </c>
      <c r="F797" t="s">
        <v>239</v>
      </c>
      <c r="G797" t="s">
        <v>240</v>
      </c>
      <c r="H797" t="s">
        <v>241</v>
      </c>
      <c r="I797" t="s">
        <v>242</v>
      </c>
      <c r="J797" t="s">
        <v>243</v>
      </c>
      <c r="K797" t="s">
        <v>435</v>
      </c>
      <c r="L797" t="s">
        <v>245</v>
      </c>
      <c r="M797" t="s">
        <v>253</v>
      </c>
      <c r="N797" t="s">
        <v>247</v>
      </c>
      <c r="O797">
        <v>42447</v>
      </c>
      <c r="P797">
        <v>3.75</v>
      </c>
      <c r="Q797">
        <v>7.08</v>
      </c>
      <c r="R797">
        <f t="shared" si="73"/>
        <v>3.33</v>
      </c>
      <c r="S797">
        <v>16</v>
      </c>
      <c r="T797">
        <f t="shared" si="74"/>
        <v>113.28</v>
      </c>
      <c r="U797">
        <v>0.02</v>
      </c>
      <c r="V797">
        <f t="shared" si="75"/>
        <v>2.2656000000000001</v>
      </c>
      <c r="W797">
        <f t="shared" si="76"/>
        <v>111.01439999999999</v>
      </c>
      <c r="X797">
        <v>2.35</v>
      </c>
      <c r="Y797">
        <f t="shared" si="77"/>
        <v>113.36439999999999</v>
      </c>
    </row>
    <row r="798" spans="1:25" x14ac:dyDescent="0.25">
      <c r="A798" t="s">
        <v>1838</v>
      </c>
      <c r="B798">
        <v>42449</v>
      </c>
      <c r="C798" t="str">
        <f t="shared" si="72"/>
        <v>2016</v>
      </c>
      <c r="D798" t="s">
        <v>1839</v>
      </c>
      <c r="E798" t="s">
        <v>1658</v>
      </c>
      <c r="F798" t="s">
        <v>257</v>
      </c>
      <c r="G798" t="s">
        <v>258</v>
      </c>
      <c r="H798" t="s">
        <v>259</v>
      </c>
      <c r="I798" t="s">
        <v>260</v>
      </c>
      <c r="J798" t="s">
        <v>294</v>
      </c>
      <c r="K798" t="s">
        <v>519</v>
      </c>
      <c r="L798" t="s">
        <v>245</v>
      </c>
      <c r="M798" t="s">
        <v>253</v>
      </c>
      <c r="N798" t="s">
        <v>247</v>
      </c>
      <c r="O798">
        <v>42451</v>
      </c>
      <c r="P798">
        <v>2.9</v>
      </c>
      <c r="Q798">
        <v>4.76</v>
      </c>
      <c r="R798">
        <f t="shared" si="73"/>
        <v>1.8599999999999999</v>
      </c>
      <c r="S798">
        <v>23</v>
      </c>
      <c r="T798">
        <f t="shared" si="74"/>
        <v>109.47999999999999</v>
      </c>
      <c r="U798">
        <v>0.05</v>
      </c>
      <c r="V798">
        <f t="shared" si="75"/>
        <v>5.4740000000000002</v>
      </c>
      <c r="W798">
        <f t="shared" si="76"/>
        <v>104.00599999999999</v>
      </c>
      <c r="X798">
        <v>0.88</v>
      </c>
      <c r="Y798">
        <f t="shared" si="77"/>
        <v>104.88599999999998</v>
      </c>
    </row>
    <row r="799" spans="1:25" x14ac:dyDescent="0.25">
      <c r="A799" t="s">
        <v>1840</v>
      </c>
      <c r="B799">
        <v>42450</v>
      </c>
      <c r="C799" t="str">
        <f t="shared" si="72"/>
        <v>2016</v>
      </c>
      <c r="D799" t="s">
        <v>1841</v>
      </c>
      <c r="E799" t="s">
        <v>420</v>
      </c>
      <c r="F799" t="s">
        <v>239</v>
      </c>
      <c r="G799" t="s">
        <v>240</v>
      </c>
      <c r="H799" t="s">
        <v>259</v>
      </c>
      <c r="I799" t="s">
        <v>251</v>
      </c>
      <c r="J799" t="s">
        <v>304</v>
      </c>
      <c r="K799" t="s">
        <v>413</v>
      </c>
      <c r="L799" t="s">
        <v>268</v>
      </c>
      <c r="M799" t="s">
        <v>414</v>
      </c>
      <c r="N799" t="s">
        <v>247</v>
      </c>
      <c r="O799">
        <v>42451</v>
      </c>
      <c r="P799">
        <v>8.82</v>
      </c>
      <c r="Q799">
        <v>20.99</v>
      </c>
      <c r="R799">
        <f t="shared" si="73"/>
        <v>12.169999999999998</v>
      </c>
      <c r="S799">
        <v>2</v>
      </c>
      <c r="T799">
        <f t="shared" si="74"/>
        <v>41.98</v>
      </c>
      <c r="U799">
        <v>7.0000000000000007E-2</v>
      </c>
      <c r="V799">
        <f t="shared" si="75"/>
        <v>2.9386000000000001</v>
      </c>
      <c r="W799">
        <f t="shared" si="76"/>
        <v>39.041399999999996</v>
      </c>
      <c r="X799">
        <v>4.8099999999999996</v>
      </c>
      <c r="Y799">
        <f t="shared" si="77"/>
        <v>43.851399999999998</v>
      </c>
    </row>
    <row r="800" spans="1:25" x14ac:dyDescent="0.25">
      <c r="A800" t="s">
        <v>1842</v>
      </c>
      <c r="B800">
        <v>42454</v>
      </c>
      <c r="C800" t="str">
        <f t="shared" si="72"/>
        <v>2016</v>
      </c>
      <c r="D800" t="s">
        <v>784</v>
      </c>
      <c r="E800" t="s">
        <v>637</v>
      </c>
      <c r="F800" t="s">
        <v>239</v>
      </c>
      <c r="G800" t="s">
        <v>240</v>
      </c>
      <c r="H800" t="s">
        <v>259</v>
      </c>
      <c r="I800" t="s">
        <v>251</v>
      </c>
      <c r="J800" t="s">
        <v>294</v>
      </c>
      <c r="K800" t="s">
        <v>888</v>
      </c>
      <c r="L800" t="s">
        <v>245</v>
      </c>
      <c r="M800" t="s">
        <v>253</v>
      </c>
      <c r="N800" t="s">
        <v>247</v>
      </c>
      <c r="O800">
        <v>42454</v>
      </c>
      <c r="P800">
        <v>2.31</v>
      </c>
      <c r="Q800">
        <v>3.78</v>
      </c>
      <c r="R800">
        <f t="shared" si="73"/>
        <v>1.4699999999999998</v>
      </c>
      <c r="S800">
        <v>28</v>
      </c>
      <c r="T800">
        <f t="shared" si="74"/>
        <v>105.83999999999999</v>
      </c>
      <c r="U800">
        <v>0</v>
      </c>
      <c r="V800">
        <f t="shared" si="75"/>
        <v>0</v>
      </c>
      <c r="W800">
        <f t="shared" si="76"/>
        <v>105.83999999999999</v>
      </c>
      <c r="X800">
        <v>0.71</v>
      </c>
      <c r="Y800">
        <f t="shared" si="77"/>
        <v>106.54999999999998</v>
      </c>
    </row>
    <row r="801" spans="1:25" x14ac:dyDescent="0.25">
      <c r="A801" t="s">
        <v>1843</v>
      </c>
      <c r="B801">
        <v>42455</v>
      </c>
      <c r="C801" t="str">
        <f t="shared" si="72"/>
        <v>2016</v>
      </c>
      <c r="D801" t="s">
        <v>1844</v>
      </c>
      <c r="E801" t="s">
        <v>928</v>
      </c>
      <c r="F801" t="s">
        <v>257</v>
      </c>
      <c r="G801" t="s">
        <v>258</v>
      </c>
      <c r="H801" t="s">
        <v>259</v>
      </c>
      <c r="I801" t="s">
        <v>284</v>
      </c>
      <c r="J801" t="s">
        <v>279</v>
      </c>
      <c r="K801" t="s">
        <v>718</v>
      </c>
      <c r="L801" t="s">
        <v>245</v>
      </c>
      <c r="M801" t="s">
        <v>323</v>
      </c>
      <c r="N801" t="s">
        <v>247</v>
      </c>
      <c r="O801">
        <v>42457</v>
      </c>
      <c r="P801">
        <v>2.5</v>
      </c>
      <c r="Q801">
        <v>5.68</v>
      </c>
      <c r="R801">
        <f t="shared" si="73"/>
        <v>3.1799999999999997</v>
      </c>
      <c r="S801">
        <v>45</v>
      </c>
      <c r="T801">
        <f t="shared" si="74"/>
        <v>255.6</v>
      </c>
      <c r="U801">
        <v>0.01</v>
      </c>
      <c r="V801">
        <f t="shared" si="75"/>
        <v>2.556</v>
      </c>
      <c r="W801">
        <f t="shared" si="76"/>
        <v>253.04399999999998</v>
      </c>
      <c r="X801">
        <v>3.6</v>
      </c>
      <c r="Y801">
        <f t="shared" si="77"/>
        <v>256.64400000000001</v>
      </c>
    </row>
    <row r="802" spans="1:25" x14ac:dyDescent="0.25">
      <c r="A802" t="s">
        <v>1845</v>
      </c>
      <c r="B802">
        <v>42455</v>
      </c>
      <c r="C802" t="str">
        <f t="shared" si="72"/>
        <v>2016</v>
      </c>
      <c r="D802" t="s">
        <v>1793</v>
      </c>
      <c r="E802" t="s">
        <v>1794</v>
      </c>
      <c r="F802" t="s">
        <v>448</v>
      </c>
      <c r="G802" t="s">
        <v>449</v>
      </c>
      <c r="H802" t="s">
        <v>293</v>
      </c>
      <c r="I802" t="s">
        <v>284</v>
      </c>
      <c r="J802" t="s">
        <v>261</v>
      </c>
      <c r="K802" t="s">
        <v>368</v>
      </c>
      <c r="L802" t="s">
        <v>245</v>
      </c>
      <c r="M802" t="s">
        <v>246</v>
      </c>
      <c r="N802" t="s">
        <v>247</v>
      </c>
      <c r="O802">
        <v>42457</v>
      </c>
      <c r="P802">
        <v>1.59</v>
      </c>
      <c r="Q802">
        <v>2.61</v>
      </c>
      <c r="R802">
        <f t="shared" si="73"/>
        <v>1.0199999999999998</v>
      </c>
      <c r="S802">
        <v>8</v>
      </c>
      <c r="T802">
        <f t="shared" si="74"/>
        <v>20.88</v>
      </c>
      <c r="U802">
        <v>0.02</v>
      </c>
      <c r="V802">
        <f t="shared" si="75"/>
        <v>0.41759999999999997</v>
      </c>
      <c r="W802">
        <f t="shared" si="76"/>
        <v>20.462399999999999</v>
      </c>
      <c r="X802">
        <v>0.5</v>
      </c>
      <c r="Y802">
        <f t="shared" si="77"/>
        <v>20.962399999999999</v>
      </c>
    </row>
    <row r="803" spans="1:25" x14ac:dyDescent="0.25">
      <c r="A803" t="s">
        <v>1846</v>
      </c>
      <c r="B803">
        <v>42456</v>
      </c>
      <c r="C803" t="str">
        <f t="shared" si="72"/>
        <v>2016</v>
      </c>
      <c r="D803" t="s">
        <v>1114</v>
      </c>
      <c r="E803" t="s">
        <v>1115</v>
      </c>
      <c r="F803" t="s">
        <v>239</v>
      </c>
      <c r="G803" t="s">
        <v>240</v>
      </c>
      <c r="H803" t="s">
        <v>274</v>
      </c>
      <c r="I803" t="s">
        <v>251</v>
      </c>
      <c r="J803" t="s">
        <v>243</v>
      </c>
      <c r="K803" t="s">
        <v>594</v>
      </c>
      <c r="L803" t="s">
        <v>268</v>
      </c>
      <c r="M803" t="s">
        <v>647</v>
      </c>
      <c r="N803" t="s">
        <v>247</v>
      </c>
      <c r="O803">
        <v>42457</v>
      </c>
      <c r="P803">
        <v>216</v>
      </c>
      <c r="Q803">
        <v>449.99</v>
      </c>
      <c r="R803">
        <f t="shared" si="73"/>
        <v>233.99</v>
      </c>
      <c r="S803">
        <v>49</v>
      </c>
      <c r="T803">
        <f t="shared" si="74"/>
        <v>22049.510000000002</v>
      </c>
      <c r="U803">
        <v>0.06</v>
      </c>
      <c r="V803">
        <f t="shared" si="75"/>
        <v>1322.9706000000001</v>
      </c>
      <c r="W803">
        <f t="shared" si="76"/>
        <v>20726.539400000001</v>
      </c>
      <c r="X803">
        <v>24.49</v>
      </c>
      <c r="Y803">
        <f t="shared" si="77"/>
        <v>20751.029400000003</v>
      </c>
    </row>
    <row r="804" spans="1:25" x14ac:dyDescent="0.25">
      <c r="A804" t="s">
        <v>1847</v>
      </c>
      <c r="B804">
        <v>42456</v>
      </c>
      <c r="C804" t="str">
        <f t="shared" si="72"/>
        <v>2016</v>
      </c>
      <c r="D804" t="s">
        <v>1848</v>
      </c>
      <c r="E804" t="s">
        <v>806</v>
      </c>
      <c r="F804" t="s">
        <v>257</v>
      </c>
      <c r="G804" t="s">
        <v>258</v>
      </c>
      <c r="H804" t="s">
        <v>241</v>
      </c>
      <c r="I804" t="s">
        <v>299</v>
      </c>
      <c r="J804" t="s">
        <v>279</v>
      </c>
      <c r="K804" t="s">
        <v>267</v>
      </c>
      <c r="L804" t="s">
        <v>268</v>
      </c>
      <c r="M804" t="s">
        <v>269</v>
      </c>
      <c r="N804" t="s">
        <v>270</v>
      </c>
      <c r="O804">
        <v>42463</v>
      </c>
      <c r="P804">
        <v>75</v>
      </c>
      <c r="Q804">
        <v>120.97</v>
      </c>
      <c r="R804">
        <f t="shared" si="73"/>
        <v>45.97</v>
      </c>
      <c r="S804">
        <v>42</v>
      </c>
      <c r="T804">
        <f t="shared" si="74"/>
        <v>5080.74</v>
      </c>
      <c r="U804">
        <v>0</v>
      </c>
      <c r="V804">
        <f t="shared" si="75"/>
        <v>0</v>
      </c>
      <c r="W804">
        <f t="shared" si="76"/>
        <v>5080.74</v>
      </c>
      <c r="X804">
        <v>26.3</v>
      </c>
      <c r="Y804">
        <f t="shared" si="77"/>
        <v>5107.04</v>
      </c>
    </row>
    <row r="805" spans="1:25" x14ac:dyDescent="0.25">
      <c r="A805" t="s">
        <v>1849</v>
      </c>
      <c r="B805">
        <v>42458</v>
      </c>
      <c r="C805" t="str">
        <f t="shared" si="72"/>
        <v>2016</v>
      </c>
      <c r="D805" t="s">
        <v>1706</v>
      </c>
      <c r="E805" t="s">
        <v>1290</v>
      </c>
      <c r="F805" t="s">
        <v>257</v>
      </c>
      <c r="G805" t="s">
        <v>258</v>
      </c>
      <c r="H805" t="s">
        <v>259</v>
      </c>
      <c r="I805" t="s">
        <v>260</v>
      </c>
      <c r="J805" t="s">
        <v>261</v>
      </c>
      <c r="K805" t="s">
        <v>676</v>
      </c>
      <c r="L805" t="s">
        <v>245</v>
      </c>
      <c r="M805" t="s">
        <v>323</v>
      </c>
      <c r="N805" t="s">
        <v>247</v>
      </c>
      <c r="O805">
        <v>42459</v>
      </c>
      <c r="P805">
        <v>5.19</v>
      </c>
      <c r="Q805">
        <v>12.98</v>
      </c>
      <c r="R805">
        <f t="shared" si="73"/>
        <v>7.79</v>
      </c>
      <c r="S805">
        <v>45</v>
      </c>
      <c r="T805">
        <f t="shared" si="74"/>
        <v>584.1</v>
      </c>
      <c r="U805">
        <v>0.05</v>
      </c>
      <c r="V805">
        <f t="shared" si="75"/>
        <v>29.205000000000002</v>
      </c>
      <c r="W805">
        <f t="shared" si="76"/>
        <v>554.89499999999998</v>
      </c>
      <c r="X805">
        <v>3.14</v>
      </c>
      <c r="Y805">
        <f t="shared" si="77"/>
        <v>558.03499999999997</v>
      </c>
    </row>
    <row r="806" spans="1:25" x14ac:dyDescent="0.25">
      <c r="A806" t="s">
        <v>1850</v>
      </c>
      <c r="B806">
        <v>42458</v>
      </c>
      <c r="C806" t="str">
        <f t="shared" si="72"/>
        <v>2016</v>
      </c>
      <c r="D806" t="s">
        <v>1851</v>
      </c>
      <c r="E806" t="s">
        <v>612</v>
      </c>
      <c r="F806" t="s">
        <v>239</v>
      </c>
      <c r="G806" t="s">
        <v>240</v>
      </c>
      <c r="H806" t="s">
        <v>259</v>
      </c>
      <c r="I806" t="s">
        <v>242</v>
      </c>
      <c r="J806" t="s">
        <v>279</v>
      </c>
      <c r="K806" t="s">
        <v>617</v>
      </c>
      <c r="L806" t="s">
        <v>245</v>
      </c>
      <c r="M806" t="s">
        <v>246</v>
      </c>
      <c r="N806" t="s">
        <v>247</v>
      </c>
      <c r="O806">
        <v>42460</v>
      </c>
      <c r="P806">
        <v>1.94</v>
      </c>
      <c r="Q806">
        <v>3.08</v>
      </c>
      <c r="R806">
        <f t="shared" si="73"/>
        <v>1.1400000000000001</v>
      </c>
      <c r="S806">
        <v>42</v>
      </c>
      <c r="T806">
        <f t="shared" si="74"/>
        <v>129.36000000000001</v>
      </c>
      <c r="U806">
        <v>0.09</v>
      </c>
      <c r="V806">
        <f t="shared" si="75"/>
        <v>11.6424</v>
      </c>
      <c r="W806">
        <f t="shared" si="76"/>
        <v>117.71760000000002</v>
      </c>
      <c r="X806">
        <v>0.99</v>
      </c>
      <c r="Y806">
        <f t="shared" si="77"/>
        <v>118.70760000000001</v>
      </c>
    </row>
    <row r="807" spans="1:25" x14ac:dyDescent="0.25">
      <c r="A807" t="s">
        <v>1852</v>
      </c>
      <c r="B807">
        <v>42459</v>
      </c>
      <c r="C807" t="str">
        <f t="shared" si="72"/>
        <v>2016</v>
      </c>
      <c r="D807" t="s">
        <v>1853</v>
      </c>
      <c r="E807" t="s">
        <v>332</v>
      </c>
      <c r="F807" t="s">
        <v>257</v>
      </c>
      <c r="G807" t="s">
        <v>258</v>
      </c>
      <c r="H807" t="s">
        <v>259</v>
      </c>
      <c r="I807" t="s">
        <v>333</v>
      </c>
      <c r="J807" t="s">
        <v>294</v>
      </c>
      <c r="K807" t="s">
        <v>353</v>
      </c>
      <c r="L807" t="s">
        <v>245</v>
      </c>
      <c r="M807" t="s">
        <v>323</v>
      </c>
      <c r="N807" t="s">
        <v>247</v>
      </c>
      <c r="O807">
        <v>42460</v>
      </c>
      <c r="P807">
        <v>0.94</v>
      </c>
      <c r="Q807">
        <v>2.08</v>
      </c>
      <c r="R807">
        <f t="shared" si="73"/>
        <v>1.1400000000000001</v>
      </c>
      <c r="S807">
        <v>2</v>
      </c>
      <c r="T807">
        <f t="shared" si="74"/>
        <v>4.16</v>
      </c>
      <c r="U807">
        <v>0.01</v>
      </c>
      <c r="V807">
        <f t="shared" si="75"/>
        <v>4.1600000000000005E-2</v>
      </c>
      <c r="W807">
        <f t="shared" si="76"/>
        <v>4.1184000000000003</v>
      </c>
      <c r="X807">
        <v>2.56</v>
      </c>
      <c r="Y807">
        <f t="shared" si="77"/>
        <v>6.6783999999999999</v>
      </c>
    </row>
    <row r="808" spans="1:25" x14ac:dyDescent="0.25">
      <c r="A808" t="s">
        <v>1854</v>
      </c>
      <c r="B808">
        <v>42462</v>
      </c>
      <c r="C808" t="str">
        <f t="shared" si="72"/>
        <v>2016</v>
      </c>
      <c r="D808" t="s">
        <v>1855</v>
      </c>
      <c r="E808" t="s">
        <v>432</v>
      </c>
      <c r="F808" t="s">
        <v>257</v>
      </c>
      <c r="G808" t="s">
        <v>258</v>
      </c>
      <c r="H808" t="s">
        <v>259</v>
      </c>
      <c r="I808" t="s">
        <v>333</v>
      </c>
      <c r="J808" t="s">
        <v>279</v>
      </c>
      <c r="K808" t="s">
        <v>421</v>
      </c>
      <c r="L808" t="s">
        <v>245</v>
      </c>
      <c r="M808" t="s">
        <v>246</v>
      </c>
      <c r="N808" t="s">
        <v>247</v>
      </c>
      <c r="O808">
        <v>42470</v>
      </c>
      <c r="P808">
        <v>13.88</v>
      </c>
      <c r="Q808">
        <v>22.38</v>
      </c>
      <c r="R808">
        <f t="shared" si="73"/>
        <v>8.4999999999999982</v>
      </c>
      <c r="S808">
        <v>16</v>
      </c>
      <c r="T808">
        <f t="shared" si="74"/>
        <v>358.08</v>
      </c>
      <c r="U808">
        <v>0.09</v>
      </c>
      <c r="V808">
        <f t="shared" si="75"/>
        <v>32.227199999999996</v>
      </c>
      <c r="W808">
        <f t="shared" si="76"/>
        <v>325.8528</v>
      </c>
      <c r="X808">
        <v>15.1</v>
      </c>
      <c r="Y808">
        <f t="shared" si="77"/>
        <v>340.95280000000002</v>
      </c>
    </row>
    <row r="809" spans="1:25" x14ac:dyDescent="0.25">
      <c r="A809" t="s">
        <v>1856</v>
      </c>
      <c r="B809">
        <v>42463</v>
      </c>
      <c r="C809" t="str">
        <f t="shared" si="72"/>
        <v>2016</v>
      </c>
      <c r="D809" t="s">
        <v>331</v>
      </c>
      <c r="E809" t="s">
        <v>332</v>
      </c>
      <c r="F809" t="s">
        <v>257</v>
      </c>
      <c r="G809" t="s">
        <v>258</v>
      </c>
      <c r="H809" t="s">
        <v>293</v>
      </c>
      <c r="I809" t="s">
        <v>333</v>
      </c>
      <c r="J809" t="s">
        <v>279</v>
      </c>
      <c r="K809" t="s">
        <v>582</v>
      </c>
      <c r="L809" t="s">
        <v>245</v>
      </c>
      <c r="M809" t="s">
        <v>253</v>
      </c>
      <c r="N809" t="s">
        <v>263</v>
      </c>
      <c r="O809">
        <v>42463</v>
      </c>
      <c r="P809">
        <v>0.24</v>
      </c>
      <c r="Q809">
        <v>1.26</v>
      </c>
      <c r="R809">
        <f t="shared" si="73"/>
        <v>1.02</v>
      </c>
      <c r="S809">
        <v>40</v>
      </c>
      <c r="T809">
        <f t="shared" si="74"/>
        <v>50.4</v>
      </c>
      <c r="U809">
        <v>0.04</v>
      </c>
      <c r="V809">
        <f t="shared" si="75"/>
        <v>2.016</v>
      </c>
      <c r="W809">
        <f t="shared" si="76"/>
        <v>48.384</v>
      </c>
      <c r="X809">
        <v>0.7</v>
      </c>
      <c r="Y809">
        <f t="shared" si="77"/>
        <v>49.084000000000003</v>
      </c>
    </row>
    <row r="810" spans="1:25" x14ac:dyDescent="0.25">
      <c r="A810" t="s">
        <v>1857</v>
      </c>
      <c r="B810">
        <v>42465</v>
      </c>
      <c r="C810" t="str">
        <f t="shared" si="72"/>
        <v>2016</v>
      </c>
      <c r="D810" t="s">
        <v>1858</v>
      </c>
      <c r="E810" t="s">
        <v>288</v>
      </c>
      <c r="F810" t="s">
        <v>257</v>
      </c>
      <c r="G810" t="s">
        <v>258</v>
      </c>
      <c r="H810" t="s">
        <v>274</v>
      </c>
      <c r="I810" t="s">
        <v>284</v>
      </c>
      <c r="J810" t="s">
        <v>279</v>
      </c>
      <c r="K810" t="s">
        <v>879</v>
      </c>
      <c r="L810" t="s">
        <v>245</v>
      </c>
      <c r="M810" t="s">
        <v>323</v>
      </c>
      <c r="N810" t="s">
        <v>247</v>
      </c>
      <c r="O810">
        <v>42471</v>
      </c>
      <c r="P810">
        <v>4.0999999999999996</v>
      </c>
      <c r="Q810">
        <v>9.31</v>
      </c>
      <c r="R810">
        <f t="shared" si="73"/>
        <v>5.2100000000000009</v>
      </c>
      <c r="S810">
        <v>35</v>
      </c>
      <c r="T810">
        <f t="shared" si="74"/>
        <v>325.85000000000002</v>
      </c>
      <c r="U810">
        <v>0.05</v>
      </c>
      <c r="V810">
        <f t="shared" si="75"/>
        <v>16.2925</v>
      </c>
      <c r="W810">
        <f t="shared" si="76"/>
        <v>309.5575</v>
      </c>
      <c r="X810">
        <v>3.98</v>
      </c>
      <c r="Y810">
        <f t="shared" si="77"/>
        <v>313.53750000000002</v>
      </c>
    </row>
    <row r="811" spans="1:25" x14ac:dyDescent="0.25">
      <c r="A811" t="s">
        <v>1859</v>
      </c>
      <c r="B811">
        <v>42466</v>
      </c>
      <c r="C811" t="str">
        <f t="shared" si="72"/>
        <v>2016</v>
      </c>
      <c r="D811" t="s">
        <v>1860</v>
      </c>
      <c r="E811" t="s">
        <v>606</v>
      </c>
      <c r="F811" t="s">
        <v>448</v>
      </c>
      <c r="G811" t="s">
        <v>449</v>
      </c>
      <c r="H811" t="s">
        <v>241</v>
      </c>
      <c r="I811" t="s">
        <v>284</v>
      </c>
      <c r="J811" t="s">
        <v>294</v>
      </c>
      <c r="K811" t="s">
        <v>630</v>
      </c>
      <c r="L811" t="s">
        <v>245</v>
      </c>
      <c r="M811" t="s">
        <v>253</v>
      </c>
      <c r="N811" t="s">
        <v>247</v>
      </c>
      <c r="O811">
        <v>42468</v>
      </c>
      <c r="P811">
        <v>1.53</v>
      </c>
      <c r="Q811">
        <v>2.78</v>
      </c>
      <c r="R811">
        <f t="shared" si="73"/>
        <v>1.2499999999999998</v>
      </c>
      <c r="S811">
        <v>10</v>
      </c>
      <c r="T811">
        <f t="shared" si="74"/>
        <v>27.799999999999997</v>
      </c>
      <c r="U811">
        <v>0.01</v>
      </c>
      <c r="V811">
        <f t="shared" si="75"/>
        <v>0.27799999999999997</v>
      </c>
      <c r="W811">
        <f t="shared" si="76"/>
        <v>27.521999999999998</v>
      </c>
      <c r="X811">
        <v>1.34</v>
      </c>
      <c r="Y811">
        <f t="shared" si="77"/>
        <v>28.861999999999998</v>
      </c>
    </row>
    <row r="812" spans="1:25" x14ac:dyDescent="0.25">
      <c r="A812" t="s">
        <v>1861</v>
      </c>
      <c r="B812">
        <v>42470</v>
      </c>
      <c r="C812" t="str">
        <f t="shared" si="72"/>
        <v>2016</v>
      </c>
      <c r="D812" t="s">
        <v>1397</v>
      </c>
      <c r="E812" t="s">
        <v>643</v>
      </c>
      <c r="F812" t="s">
        <v>257</v>
      </c>
      <c r="G812" t="s">
        <v>258</v>
      </c>
      <c r="H812" t="s">
        <v>293</v>
      </c>
      <c r="I812" t="s">
        <v>342</v>
      </c>
      <c r="J812" t="s">
        <v>261</v>
      </c>
      <c r="K812" t="s">
        <v>373</v>
      </c>
      <c r="L812" t="s">
        <v>268</v>
      </c>
      <c r="M812" t="s">
        <v>246</v>
      </c>
      <c r="N812" t="s">
        <v>247</v>
      </c>
      <c r="O812">
        <v>42472</v>
      </c>
      <c r="P812">
        <v>6.39</v>
      </c>
      <c r="Q812">
        <v>19.98</v>
      </c>
      <c r="R812">
        <f t="shared" si="73"/>
        <v>13.59</v>
      </c>
      <c r="S812">
        <v>35</v>
      </c>
      <c r="T812">
        <f t="shared" si="74"/>
        <v>699.30000000000007</v>
      </c>
      <c r="U812">
        <v>0.1</v>
      </c>
      <c r="V812">
        <f t="shared" si="75"/>
        <v>69.930000000000007</v>
      </c>
      <c r="W812">
        <f t="shared" si="76"/>
        <v>629.37000000000012</v>
      </c>
      <c r="X812">
        <v>4</v>
      </c>
      <c r="Y812">
        <f t="shared" si="77"/>
        <v>633.37000000000012</v>
      </c>
    </row>
    <row r="813" spans="1:25" x14ac:dyDescent="0.25">
      <c r="A813" t="s">
        <v>1862</v>
      </c>
      <c r="B813">
        <v>42471</v>
      </c>
      <c r="C813" t="str">
        <f t="shared" si="72"/>
        <v>2016</v>
      </c>
      <c r="D813" t="s">
        <v>370</v>
      </c>
      <c r="E813" t="s">
        <v>371</v>
      </c>
      <c r="F813" t="s">
        <v>257</v>
      </c>
      <c r="G813" t="s">
        <v>258</v>
      </c>
      <c r="H813" t="s">
        <v>259</v>
      </c>
      <c r="I813" t="s">
        <v>372</v>
      </c>
      <c r="J813" t="s">
        <v>294</v>
      </c>
      <c r="K813" t="s">
        <v>1429</v>
      </c>
      <c r="L813" t="s">
        <v>245</v>
      </c>
      <c r="M813" t="s">
        <v>246</v>
      </c>
      <c r="N813" t="s">
        <v>247</v>
      </c>
      <c r="O813">
        <v>42473</v>
      </c>
      <c r="P813">
        <v>3.99</v>
      </c>
      <c r="Q813">
        <v>6.23</v>
      </c>
      <c r="R813">
        <f t="shared" si="73"/>
        <v>2.2400000000000002</v>
      </c>
      <c r="S813">
        <v>21</v>
      </c>
      <c r="T813">
        <f t="shared" si="74"/>
        <v>130.83000000000001</v>
      </c>
      <c r="U813">
        <v>0.05</v>
      </c>
      <c r="V813">
        <f t="shared" si="75"/>
        <v>6.541500000000001</v>
      </c>
      <c r="W813">
        <f t="shared" si="76"/>
        <v>124.28850000000001</v>
      </c>
      <c r="X813">
        <v>6.97</v>
      </c>
      <c r="Y813">
        <f t="shared" si="77"/>
        <v>131.25850000000003</v>
      </c>
    </row>
    <row r="814" spans="1:25" x14ac:dyDescent="0.25">
      <c r="A814" t="s">
        <v>1863</v>
      </c>
      <c r="B814">
        <v>42471</v>
      </c>
      <c r="C814" t="str">
        <f t="shared" si="72"/>
        <v>2016</v>
      </c>
      <c r="D814" t="s">
        <v>563</v>
      </c>
      <c r="E814" t="s">
        <v>589</v>
      </c>
      <c r="F814" t="s">
        <v>239</v>
      </c>
      <c r="G814" t="s">
        <v>240</v>
      </c>
      <c r="H814" t="s">
        <v>259</v>
      </c>
      <c r="I814" t="s">
        <v>251</v>
      </c>
      <c r="J814" t="s">
        <v>261</v>
      </c>
      <c r="K814" t="s">
        <v>1151</v>
      </c>
      <c r="L814" t="s">
        <v>245</v>
      </c>
      <c r="M814" t="s">
        <v>253</v>
      </c>
      <c r="N814" t="s">
        <v>247</v>
      </c>
      <c r="O814">
        <v>42471</v>
      </c>
      <c r="P814">
        <v>0.92</v>
      </c>
      <c r="Q814">
        <v>1.81</v>
      </c>
      <c r="R814">
        <f t="shared" si="73"/>
        <v>0.89</v>
      </c>
      <c r="S814">
        <v>22</v>
      </c>
      <c r="T814">
        <f t="shared" si="74"/>
        <v>39.82</v>
      </c>
      <c r="U814">
        <v>0.09</v>
      </c>
      <c r="V814">
        <f t="shared" si="75"/>
        <v>3.5838000000000001</v>
      </c>
      <c r="W814">
        <f t="shared" si="76"/>
        <v>36.236199999999997</v>
      </c>
      <c r="X814">
        <v>1.56</v>
      </c>
      <c r="Y814">
        <f t="shared" si="77"/>
        <v>37.796199999999999</v>
      </c>
    </row>
    <row r="815" spans="1:25" x14ac:dyDescent="0.25">
      <c r="A815" t="s">
        <v>1864</v>
      </c>
      <c r="B815">
        <v>42471</v>
      </c>
      <c r="C815" t="str">
        <f t="shared" si="72"/>
        <v>2016</v>
      </c>
      <c r="D815" t="s">
        <v>1865</v>
      </c>
      <c r="E815" t="s">
        <v>709</v>
      </c>
      <c r="F815" t="s">
        <v>257</v>
      </c>
      <c r="G815" t="s">
        <v>258</v>
      </c>
      <c r="H815" t="s">
        <v>241</v>
      </c>
      <c r="I815" t="s">
        <v>275</v>
      </c>
      <c r="J815" t="s">
        <v>243</v>
      </c>
      <c r="K815" t="s">
        <v>252</v>
      </c>
      <c r="L815" t="s">
        <v>245</v>
      </c>
      <c r="M815" t="s">
        <v>253</v>
      </c>
      <c r="N815" t="s">
        <v>263</v>
      </c>
      <c r="O815">
        <v>42472</v>
      </c>
      <c r="P815">
        <v>2.39</v>
      </c>
      <c r="Q815">
        <v>4.26</v>
      </c>
      <c r="R815">
        <f t="shared" si="73"/>
        <v>1.8699999999999997</v>
      </c>
      <c r="S815">
        <v>34</v>
      </c>
      <c r="T815">
        <f t="shared" si="74"/>
        <v>144.84</v>
      </c>
      <c r="U815">
        <v>0.03</v>
      </c>
      <c r="V815">
        <f t="shared" si="75"/>
        <v>4.3452000000000002</v>
      </c>
      <c r="W815">
        <f t="shared" si="76"/>
        <v>140.4948</v>
      </c>
      <c r="X815">
        <v>1.2</v>
      </c>
      <c r="Y815">
        <f t="shared" si="77"/>
        <v>141.69479999999999</v>
      </c>
    </row>
    <row r="816" spans="1:25" x14ac:dyDescent="0.25">
      <c r="A816" t="s">
        <v>1866</v>
      </c>
      <c r="B816">
        <v>42473</v>
      </c>
      <c r="C816" t="str">
        <f t="shared" si="72"/>
        <v>2016</v>
      </c>
      <c r="D816" t="s">
        <v>1171</v>
      </c>
      <c r="E816" t="s">
        <v>356</v>
      </c>
      <c r="F816" t="s">
        <v>239</v>
      </c>
      <c r="G816" t="s">
        <v>240</v>
      </c>
      <c r="H816" t="s">
        <v>259</v>
      </c>
      <c r="I816" t="s">
        <v>251</v>
      </c>
      <c r="J816" t="s">
        <v>261</v>
      </c>
      <c r="K816" t="s">
        <v>594</v>
      </c>
      <c r="L816" t="s">
        <v>268</v>
      </c>
      <c r="M816" t="s">
        <v>269</v>
      </c>
      <c r="N816" t="s">
        <v>270</v>
      </c>
      <c r="O816">
        <v>42475</v>
      </c>
      <c r="P816">
        <v>278.99</v>
      </c>
      <c r="Q816">
        <v>449.99</v>
      </c>
      <c r="R816">
        <f t="shared" si="73"/>
        <v>171</v>
      </c>
      <c r="S816">
        <v>43</v>
      </c>
      <c r="T816">
        <f t="shared" si="74"/>
        <v>19349.57</v>
      </c>
      <c r="U816">
        <v>0.06</v>
      </c>
      <c r="V816">
        <f t="shared" si="75"/>
        <v>1160.9741999999999</v>
      </c>
      <c r="W816">
        <f t="shared" si="76"/>
        <v>18188.595799999999</v>
      </c>
      <c r="X816">
        <v>49</v>
      </c>
      <c r="Y816">
        <f t="shared" si="77"/>
        <v>18237.595799999999</v>
      </c>
    </row>
    <row r="817" spans="1:25" x14ac:dyDescent="0.25">
      <c r="A817" t="s">
        <v>1867</v>
      </c>
      <c r="B817">
        <v>42477</v>
      </c>
      <c r="C817" t="str">
        <f t="shared" si="72"/>
        <v>2016</v>
      </c>
      <c r="D817" t="s">
        <v>771</v>
      </c>
      <c r="E817" t="s">
        <v>288</v>
      </c>
      <c r="F817" t="s">
        <v>257</v>
      </c>
      <c r="G817" t="s">
        <v>258</v>
      </c>
      <c r="H817" t="s">
        <v>274</v>
      </c>
      <c r="I817" t="s">
        <v>284</v>
      </c>
      <c r="J817" t="s">
        <v>279</v>
      </c>
      <c r="K817" t="s">
        <v>1021</v>
      </c>
      <c r="L817" t="s">
        <v>245</v>
      </c>
      <c r="M817" t="s">
        <v>253</v>
      </c>
      <c r="N817" t="s">
        <v>247</v>
      </c>
      <c r="O817">
        <v>42479</v>
      </c>
      <c r="P817">
        <v>1.05</v>
      </c>
      <c r="Q817">
        <v>1.95</v>
      </c>
      <c r="R817">
        <f t="shared" si="73"/>
        <v>0.89999999999999991</v>
      </c>
      <c r="S817">
        <v>23</v>
      </c>
      <c r="T817">
        <f t="shared" si="74"/>
        <v>44.85</v>
      </c>
      <c r="U817">
        <v>0.09</v>
      </c>
      <c r="V817">
        <f t="shared" si="75"/>
        <v>4.0365000000000002</v>
      </c>
      <c r="W817">
        <f t="shared" si="76"/>
        <v>40.813500000000005</v>
      </c>
      <c r="X817">
        <v>1.63</v>
      </c>
      <c r="Y817">
        <f t="shared" si="77"/>
        <v>42.443500000000007</v>
      </c>
    </row>
    <row r="818" spans="1:25" x14ac:dyDescent="0.25">
      <c r="A818" t="s">
        <v>1868</v>
      </c>
      <c r="B818">
        <v>42478</v>
      </c>
      <c r="C818" t="str">
        <f t="shared" si="72"/>
        <v>2016</v>
      </c>
      <c r="D818" t="s">
        <v>1869</v>
      </c>
      <c r="E818" t="s">
        <v>412</v>
      </c>
      <c r="F818" t="s">
        <v>257</v>
      </c>
      <c r="G818" t="s">
        <v>258</v>
      </c>
      <c r="H818" t="s">
        <v>259</v>
      </c>
      <c r="I818" t="s">
        <v>342</v>
      </c>
      <c r="J818" t="s">
        <v>304</v>
      </c>
      <c r="K818" t="s">
        <v>668</v>
      </c>
      <c r="L818" t="s">
        <v>440</v>
      </c>
      <c r="M818" t="s">
        <v>647</v>
      </c>
      <c r="N818" t="s">
        <v>247</v>
      </c>
      <c r="O818">
        <v>42479</v>
      </c>
      <c r="P818">
        <v>56.16</v>
      </c>
      <c r="Q818">
        <v>136.97999999999999</v>
      </c>
      <c r="R818">
        <f t="shared" si="73"/>
        <v>80.819999999999993</v>
      </c>
      <c r="S818">
        <v>14</v>
      </c>
      <c r="T818">
        <f t="shared" si="74"/>
        <v>1917.7199999999998</v>
      </c>
      <c r="U818">
        <v>0</v>
      </c>
      <c r="V818">
        <f t="shared" si="75"/>
        <v>0</v>
      </c>
      <c r="W818">
        <f t="shared" si="76"/>
        <v>1917.7199999999998</v>
      </c>
      <c r="X818">
        <v>24.49</v>
      </c>
      <c r="Y818">
        <f t="shared" si="77"/>
        <v>1942.2099999999998</v>
      </c>
    </row>
    <row r="819" spans="1:25" x14ac:dyDescent="0.25">
      <c r="A819" t="s">
        <v>1870</v>
      </c>
      <c r="B819">
        <v>42478</v>
      </c>
      <c r="C819" t="str">
        <f t="shared" si="72"/>
        <v>2016</v>
      </c>
      <c r="D819" t="s">
        <v>1869</v>
      </c>
      <c r="E819" t="s">
        <v>412</v>
      </c>
      <c r="F819" t="s">
        <v>257</v>
      </c>
      <c r="G819" t="s">
        <v>258</v>
      </c>
      <c r="H819" t="s">
        <v>259</v>
      </c>
      <c r="I819" t="s">
        <v>342</v>
      </c>
      <c r="J819" t="s">
        <v>304</v>
      </c>
      <c r="K819" t="s">
        <v>656</v>
      </c>
      <c r="L819" t="s">
        <v>245</v>
      </c>
      <c r="M819" t="s">
        <v>253</v>
      </c>
      <c r="N819" t="s">
        <v>247</v>
      </c>
      <c r="O819">
        <v>42480</v>
      </c>
      <c r="P819">
        <v>0.93</v>
      </c>
      <c r="Q819">
        <v>1.48</v>
      </c>
      <c r="R819">
        <f t="shared" si="73"/>
        <v>0.54999999999999993</v>
      </c>
      <c r="S819">
        <v>3</v>
      </c>
      <c r="T819">
        <f t="shared" si="74"/>
        <v>4.4399999999999995</v>
      </c>
      <c r="U819">
        <v>0.1</v>
      </c>
      <c r="V819">
        <f t="shared" si="75"/>
        <v>0.44399999999999995</v>
      </c>
      <c r="W819">
        <f t="shared" si="76"/>
        <v>3.9959999999999996</v>
      </c>
      <c r="X819">
        <v>0.7</v>
      </c>
      <c r="Y819">
        <f t="shared" si="77"/>
        <v>4.6959999999999997</v>
      </c>
    </row>
    <row r="820" spans="1:25" x14ac:dyDescent="0.25">
      <c r="A820" t="s">
        <v>1871</v>
      </c>
      <c r="B820">
        <v>42483</v>
      </c>
      <c r="C820" t="str">
        <f t="shared" si="72"/>
        <v>2016</v>
      </c>
      <c r="D820" t="s">
        <v>1227</v>
      </c>
      <c r="E820" t="s">
        <v>760</v>
      </c>
      <c r="F820" t="s">
        <v>448</v>
      </c>
      <c r="G820" t="s">
        <v>449</v>
      </c>
      <c r="H820" t="s">
        <v>259</v>
      </c>
      <c r="I820" t="s">
        <v>333</v>
      </c>
      <c r="J820" t="s">
        <v>294</v>
      </c>
      <c r="K820" t="s">
        <v>582</v>
      </c>
      <c r="L820" t="s">
        <v>245</v>
      </c>
      <c r="M820" t="s">
        <v>253</v>
      </c>
      <c r="N820" t="s">
        <v>247</v>
      </c>
      <c r="O820">
        <v>42484</v>
      </c>
      <c r="P820">
        <v>0.24</v>
      </c>
      <c r="Q820">
        <v>1.26</v>
      </c>
      <c r="R820">
        <f t="shared" si="73"/>
        <v>1.02</v>
      </c>
      <c r="S820">
        <v>11</v>
      </c>
      <c r="T820">
        <f t="shared" si="74"/>
        <v>13.86</v>
      </c>
      <c r="U820">
        <v>0</v>
      </c>
      <c r="V820">
        <f t="shared" si="75"/>
        <v>0</v>
      </c>
      <c r="W820">
        <f t="shared" si="76"/>
        <v>13.86</v>
      </c>
      <c r="X820">
        <v>0.7</v>
      </c>
      <c r="Y820">
        <f t="shared" si="77"/>
        <v>14.559999999999999</v>
      </c>
    </row>
    <row r="821" spans="1:25" x14ac:dyDescent="0.25">
      <c r="A821" t="s">
        <v>1872</v>
      </c>
      <c r="B821">
        <v>42483</v>
      </c>
      <c r="C821" t="str">
        <f t="shared" si="72"/>
        <v>2016</v>
      </c>
      <c r="D821" t="s">
        <v>1873</v>
      </c>
      <c r="E821" t="s">
        <v>633</v>
      </c>
      <c r="F821" t="s">
        <v>239</v>
      </c>
      <c r="G821" t="s">
        <v>240</v>
      </c>
      <c r="H821" t="s">
        <v>241</v>
      </c>
      <c r="I821" t="s">
        <v>242</v>
      </c>
      <c r="J821" t="s">
        <v>294</v>
      </c>
      <c r="K821" t="s">
        <v>425</v>
      </c>
      <c r="L821" t="s">
        <v>245</v>
      </c>
      <c r="M821" t="s">
        <v>253</v>
      </c>
      <c r="N821" t="s">
        <v>247</v>
      </c>
      <c r="O821">
        <v>42485</v>
      </c>
      <c r="P821">
        <v>21.56</v>
      </c>
      <c r="Q821">
        <v>36.549999999999997</v>
      </c>
      <c r="R821">
        <f t="shared" si="73"/>
        <v>14.989999999999998</v>
      </c>
      <c r="S821">
        <v>17</v>
      </c>
      <c r="T821">
        <f t="shared" si="74"/>
        <v>621.34999999999991</v>
      </c>
      <c r="U821">
        <v>0.09</v>
      </c>
      <c r="V821">
        <f t="shared" si="75"/>
        <v>55.921499999999988</v>
      </c>
      <c r="W821">
        <f t="shared" si="76"/>
        <v>565.42849999999987</v>
      </c>
      <c r="X821">
        <v>13.89</v>
      </c>
      <c r="Y821">
        <f t="shared" si="77"/>
        <v>579.31849999999986</v>
      </c>
    </row>
    <row r="822" spans="1:25" x14ac:dyDescent="0.25">
      <c r="A822" t="s">
        <v>1874</v>
      </c>
      <c r="B822">
        <v>42483</v>
      </c>
      <c r="C822" t="str">
        <f t="shared" si="72"/>
        <v>2016</v>
      </c>
      <c r="D822" t="s">
        <v>1431</v>
      </c>
      <c r="E822" t="s">
        <v>938</v>
      </c>
      <c r="F822" t="s">
        <v>239</v>
      </c>
      <c r="G822" t="s">
        <v>240</v>
      </c>
      <c r="H822" t="s">
        <v>274</v>
      </c>
      <c r="I822" t="s">
        <v>242</v>
      </c>
      <c r="J822" t="s">
        <v>294</v>
      </c>
      <c r="K822" t="s">
        <v>338</v>
      </c>
      <c r="L822" t="s">
        <v>245</v>
      </c>
      <c r="M822" t="s">
        <v>253</v>
      </c>
      <c r="N822" t="s">
        <v>247</v>
      </c>
      <c r="O822">
        <v>42484</v>
      </c>
      <c r="P822">
        <v>1.82</v>
      </c>
      <c r="Q822">
        <v>2.98</v>
      </c>
      <c r="R822">
        <f t="shared" si="73"/>
        <v>1.1599999999999999</v>
      </c>
      <c r="S822">
        <v>32</v>
      </c>
      <c r="T822">
        <f t="shared" si="74"/>
        <v>95.36</v>
      </c>
      <c r="U822">
        <v>0.01</v>
      </c>
      <c r="V822">
        <f t="shared" si="75"/>
        <v>0.9536</v>
      </c>
      <c r="W822">
        <f t="shared" si="76"/>
        <v>94.406400000000005</v>
      </c>
      <c r="X822">
        <v>1.58</v>
      </c>
      <c r="Y822">
        <f t="shared" si="77"/>
        <v>95.986400000000003</v>
      </c>
    </row>
    <row r="823" spans="1:25" x14ac:dyDescent="0.25">
      <c r="A823" t="s">
        <v>1875</v>
      </c>
      <c r="B823">
        <v>42484</v>
      </c>
      <c r="C823" t="str">
        <f t="shared" si="72"/>
        <v>2016</v>
      </c>
      <c r="D823" t="s">
        <v>1876</v>
      </c>
      <c r="E823" t="s">
        <v>288</v>
      </c>
      <c r="F823" t="s">
        <v>257</v>
      </c>
      <c r="G823" t="s">
        <v>258</v>
      </c>
      <c r="H823" t="s">
        <v>241</v>
      </c>
      <c r="I823" t="s">
        <v>284</v>
      </c>
      <c r="J823" t="s">
        <v>243</v>
      </c>
      <c r="K823" t="s">
        <v>661</v>
      </c>
      <c r="L823" t="s">
        <v>245</v>
      </c>
      <c r="M823" t="s">
        <v>246</v>
      </c>
      <c r="N823" t="s">
        <v>247</v>
      </c>
      <c r="O823">
        <v>42486</v>
      </c>
      <c r="P823">
        <v>2.1800000000000002</v>
      </c>
      <c r="Q823">
        <v>3.52</v>
      </c>
      <c r="R823">
        <f t="shared" si="73"/>
        <v>1.3399999999999999</v>
      </c>
      <c r="S823">
        <v>32</v>
      </c>
      <c r="T823">
        <f t="shared" si="74"/>
        <v>112.64</v>
      </c>
      <c r="U823">
        <v>7.0000000000000007E-2</v>
      </c>
      <c r="V823">
        <f t="shared" si="75"/>
        <v>7.8848000000000011</v>
      </c>
      <c r="W823">
        <f t="shared" si="76"/>
        <v>104.7552</v>
      </c>
      <c r="X823">
        <v>6.83</v>
      </c>
      <c r="Y823">
        <f t="shared" si="77"/>
        <v>111.5852</v>
      </c>
    </row>
    <row r="824" spans="1:25" x14ac:dyDescent="0.25">
      <c r="A824" t="s">
        <v>1877</v>
      </c>
      <c r="B824">
        <v>42485</v>
      </c>
      <c r="C824" t="str">
        <f t="shared" si="72"/>
        <v>2016</v>
      </c>
      <c r="D824" t="s">
        <v>1289</v>
      </c>
      <c r="E824" t="s">
        <v>1290</v>
      </c>
      <c r="F824" t="s">
        <v>257</v>
      </c>
      <c r="G824" t="s">
        <v>258</v>
      </c>
      <c r="H824" t="s">
        <v>241</v>
      </c>
      <c r="I824" t="s">
        <v>260</v>
      </c>
      <c r="J824" t="s">
        <v>294</v>
      </c>
      <c r="K824" t="s">
        <v>384</v>
      </c>
      <c r="L824" t="s">
        <v>268</v>
      </c>
      <c r="M824" t="s">
        <v>246</v>
      </c>
      <c r="N824" t="s">
        <v>247</v>
      </c>
      <c r="O824">
        <v>42486</v>
      </c>
      <c r="P824">
        <v>8.31</v>
      </c>
      <c r="Q824">
        <v>15.98</v>
      </c>
      <c r="R824">
        <f t="shared" si="73"/>
        <v>7.67</v>
      </c>
      <c r="S824">
        <v>18</v>
      </c>
      <c r="T824">
        <f t="shared" si="74"/>
        <v>287.64</v>
      </c>
      <c r="U824">
        <v>0.1</v>
      </c>
      <c r="V824">
        <f t="shared" si="75"/>
        <v>28.763999999999999</v>
      </c>
      <c r="W824">
        <f t="shared" si="76"/>
        <v>258.87599999999998</v>
      </c>
      <c r="X824">
        <v>6.5</v>
      </c>
      <c r="Y824">
        <f t="shared" si="77"/>
        <v>265.37599999999998</v>
      </c>
    </row>
    <row r="825" spans="1:25" x14ac:dyDescent="0.25">
      <c r="A825" t="s">
        <v>1878</v>
      </c>
      <c r="B825">
        <v>42485</v>
      </c>
      <c r="C825" t="str">
        <f t="shared" si="72"/>
        <v>2016</v>
      </c>
      <c r="D825" t="s">
        <v>1879</v>
      </c>
      <c r="E825" t="s">
        <v>650</v>
      </c>
      <c r="F825" t="s">
        <v>257</v>
      </c>
      <c r="G825" t="s">
        <v>258</v>
      </c>
      <c r="H825" t="s">
        <v>274</v>
      </c>
      <c r="I825" t="s">
        <v>299</v>
      </c>
      <c r="J825" t="s">
        <v>304</v>
      </c>
      <c r="K825" t="s">
        <v>485</v>
      </c>
      <c r="L825" t="s">
        <v>245</v>
      </c>
      <c r="M825" t="s">
        <v>253</v>
      </c>
      <c r="N825" t="s">
        <v>247</v>
      </c>
      <c r="O825">
        <v>42487</v>
      </c>
      <c r="P825">
        <v>3.48</v>
      </c>
      <c r="Q825">
        <v>5.43</v>
      </c>
      <c r="R825">
        <f t="shared" si="73"/>
        <v>1.9499999999999997</v>
      </c>
      <c r="S825">
        <v>37</v>
      </c>
      <c r="T825">
        <f t="shared" si="74"/>
        <v>200.91</v>
      </c>
      <c r="U825">
        <v>0.09</v>
      </c>
      <c r="V825">
        <f t="shared" si="75"/>
        <v>18.081899999999997</v>
      </c>
      <c r="W825">
        <f t="shared" si="76"/>
        <v>182.82810000000001</v>
      </c>
      <c r="X825">
        <v>0.95</v>
      </c>
      <c r="Y825">
        <f t="shared" si="77"/>
        <v>183.77809999999999</v>
      </c>
    </row>
    <row r="826" spans="1:25" x14ac:dyDescent="0.25">
      <c r="A826" t="s">
        <v>1880</v>
      </c>
      <c r="B826">
        <v>42487</v>
      </c>
      <c r="C826" t="str">
        <f t="shared" si="72"/>
        <v>2016</v>
      </c>
      <c r="D826" t="s">
        <v>1881</v>
      </c>
      <c r="E826" t="s">
        <v>637</v>
      </c>
      <c r="F826" t="s">
        <v>239</v>
      </c>
      <c r="G826" t="s">
        <v>240</v>
      </c>
      <c r="H826" t="s">
        <v>274</v>
      </c>
      <c r="I826" t="s">
        <v>242</v>
      </c>
      <c r="J826" t="s">
        <v>243</v>
      </c>
      <c r="K826" t="s">
        <v>472</v>
      </c>
      <c r="L826" t="s">
        <v>245</v>
      </c>
      <c r="M826" t="s">
        <v>246</v>
      </c>
      <c r="N826" t="s">
        <v>247</v>
      </c>
      <c r="O826">
        <v>42488</v>
      </c>
      <c r="P826">
        <v>2.25</v>
      </c>
      <c r="Q826">
        <v>3.69</v>
      </c>
      <c r="R826">
        <f t="shared" si="73"/>
        <v>1.44</v>
      </c>
      <c r="S826">
        <v>46</v>
      </c>
      <c r="T826">
        <f t="shared" si="74"/>
        <v>169.74</v>
      </c>
      <c r="U826">
        <v>0.04</v>
      </c>
      <c r="V826">
        <f t="shared" si="75"/>
        <v>6.7896000000000001</v>
      </c>
      <c r="W826">
        <f t="shared" si="76"/>
        <v>162.9504</v>
      </c>
      <c r="X826">
        <v>2.5</v>
      </c>
      <c r="Y826">
        <f t="shared" si="77"/>
        <v>165.4504</v>
      </c>
    </row>
    <row r="827" spans="1:25" x14ac:dyDescent="0.25">
      <c r="A827" t="s">
        <v>1882</v>
      </c>
      <c r="B827">
        <v>42491</v>
      </c>
      <c r="C827" t="str">
        <f t="shared" si="72"/>
        <v>2016</v>
      </c>
      <c r="D827" t="s">
        <v>1660</v>
      </c>
      <c r="E827" t="s">
        <v>1661</v>
      </c>
      <c r="F827" t="s">
        <v>448</v>
      </c>
      <c r="G827" t="s">
        <v>449</v>
      </c>
      <c r="H827" t="s">
        <v>274</v>
      </c>
      <c r="I827" t="s">
        <v>381</v>
      </c>
      <c r="J827" t="s">
        <v>294</v>
      </c>
      <c r="K827" t="s">
        <v>625</v>
      </c>
      <c r="L827" t="s">
        <v>245</v>
      </c>
      <c r="M827" t="s">
        <v>246</v>
      </c>
      <c r="N827" t="s">
        <v>247</v>
      </c>
      <c r="O827">
        <v>42493</v>
      </c>
      <c r="P827">
        <v>1.84</v>
      </c>
      <c r="Q827">
        <v>2.88</v>
      </c>
      <c r="R827">
        <f t="shared" si="73"/>
        <v>1.0399999999999998</v>
      </c>
      <c r="S827">
        <v>45</v>
      </c>
      <c r="T827">
        <f t="shared" si="74"/>
        <v>129.6</v>
      </c>
      <c r="U827">
        <v>0.02</v>
      </c>
      <c r="V827">
        <f t="shared" si="75"/>
        <v>2.5920000000000001</v>
      </c>
      <c r="W827">
        <f t="shared" si="76"/>
        <v>127.008</v>
      </c>
      <c r="X827">
        <v>1.49</v>
      </c>
      <c r="Y827">
        <f t="shared" si="77"/>
        <v>128.49799999999999</v>
      </c>
    </row>
    <row r="828" spans="1:25" x14ac:dyDescent="0.25">
      <c r="A828" t="s">
        <v>1883</v>
      </c>
      <c r="B828">
        <v>42491</v>
      </c>
      <c r="C828" t="str">
        <f t="shared" si="72"/>
        <v>2016</v>
      </c>
      <c r="D828" t="s">
        <v>1660</v>
      </c>
      <c r="E828" t="s">
        <v>1661</v>
      </c>
      <c r="F828" t="s">
        <v>448</v>
      </c>
      <c r="G828" t="s">
        <v>449</v>
      </c>
      <c r="H828" t="s">
        <v>274</v>
      </c>
      <c r="I828" t="s">
        <v>381</v>
      </c>
      <c r="J828" t="s">
        <v>294</v>
      </c>
      <c r="K828" t="s">
        <v>607</v>
      </c>
      <c r="L828" t="s">
        <v>245</v>
      </c>
      <c r="M828" t="s">
        <v>246</v>
      </c>
      <c r="N828" t="s">
        <v>247</v>
      </c>
      <c r="O828">
        <v>42492</v>
      </c>
      <c r="P828">
        <v>4.46</v>
      </c>
      <c r="Q828">
        <v>10.89</v>
      </c>
      <c r="R828">
        <f t="shared" si="73"/>
        <v>6.4300000000000006</v>
      </c>
      <c r="S828">
        <v>39</v>
      </c>
      <c r="T828">
        <f t="shared" si="74"/>
        <v>424.71000000000004</v>
      </c>
      <c r="U828">
        <v>0.06</v>
      </c>
      <c r="V828">
        <f t="shared" si="75"/>
        <v>25.482600000000001</v>
      </c>
      <c r="W828">
        <f t="shared" si="76"/>
        <v>399.22740000000005</v>
      </c>
      <c r="X828">
        <v>4.5</v>
      </c>
      <c r="Y828">
        <f t="shared" si="77"/>
        <v>403.72740000000005</v>
      </c>
    </row>
    <row r="829" spans="1:25" x14ac:dyDescent="0.25">
      <c r="A829" t="s">
        <v>1884</v>
      </c>
      <c r="B829">
        <v>42492</v>
      </c>
      <c r="C829" t="str">
        <f t="shared" si="72"/>
        <v>2016</v>
      </c>
      <c r="D829" t="s">
        <v>1292</v>
      </c>
      <c r="E829" t="s">
        <v>238</v>
      </c>
      <c r="F829" t="s">
        <v>239</v>
      </c>
      <c r="G829" t="s">
        <v>240</v>
      </c>
      <c r="H829" t="s">
        <v>241</v>
      </c>
      <c r="I829" t="s">
        <v>242</v>
      </c>
      <c r="J829" t="s">
        <v>243</v>
      </c>
      <c r="K829" t="s">
        <v>439</v>
      </c>
      <c r="L829" t="s">
        <v>440</v>
      </c>
      <c r="M829" t="s">
        <v>323</v>
      </c>
      <c r="N829" t="s">
        <v>247</v>
      </c>
      <c r="O829">
        <v>42494</v>
      </c>
      <c r="P829">
        <v>5.5</v>
      </c>
      <c r="Q829">
        <v>12.22</v>
      </c>
      <c r="R829">
        <f t="shared" si="73"/>
        <v>6.7200000000000006</v>
      </c>
      <c r="S829">
        <v>46</v>
      </c>
      <c r="T829">
        <f t="shared" si="74"/>
        <v>562.12</v>
      </c>
      <c r="U829">
        <v>0.06</v>
      </c>
      <c r="V829">
        <f t="shared" si="75"/>
        <v>33.727199999999996</v>
      </c>
      <c r="W829">
        <f t="shared" si="76"/>
        <v>528.39279999999997</v>
      </c>
      <c r="X829">
        <v>2.85</v>
      </c>
      <c r="Y829">
        <f t="shared" si="77"/>
        <v>531.24279999999999</v>
      </c>
    </row>
    <row r="830" spans="1:25" x14ac:dyDescent="0.25">
      <c r="A830" t="s">
        <v>1885</v>
      </c>
      <c r="B830">
        <v>42492</v>
      </c>
      <c r="C830" t="str">
        <f t="shared" si="72"/>
        <v>2016</v>
      </c>
      <c r="D830" t="s">
        <v>1292</v>
      </c>
      <c r="E830" t="s">
        <v>238</v>
      </c>
      <c r="F830" t="s">
        <v>239</v>
      </c>
      <c r="G830" t="s">
        <v>240</v>
      </c>
      <c r="H830" t="s">
        <v>241</v>
      </c>
      <c r="I830" t="s">
        <v>242</v>
      </c>
      <c r="J830" t="s">
        <v>243</v>
      </c>
      <c r="K830" t="s">
        <v>634</v>
      </c>
      <c r="L830" t="s">
        <v>245</v>
      </c>
      <c r="M830" t="s">
        <v>246</v>
      </c>
      <c r="N830" t="s">
        <v>247</v>
      </c>
      <c r="O830">
        <v>42493</v>
      </c>
      <c r="P830">
        <v>2.2599999999999998</v>
      </c>
      <c r="Q830">
        <v>3.58</v>
      </c>
      <c r="R830">
        <f t="shared" si="73"/>
        <v>1.3200000000000003</v>
      </c>
      <c r="S830">
        <v>8</v>
      </c>
      <c r="T830">
        <f t="shared" si="74"/>
        <v>28.64</v>
      </c>
      <c r="U830">
        <v>0.09</v>
      </c>
      <c r="V830">
        <f t="shared" si="75"/>
        <v>2.5775999999999999</v>
      </c>
      <c r="W830">
        <f t="shared" si="76"/>
        <v>26.0624</v>
      </c>
      <c r="X830">
        <v>5.47</v>
      </c>
      <c r="Y830">
        <f t="shared" si="77"/>
        <v>31.532399999999999</v>
      </c>
    </row>
    <row r="831" spans="1:25" x14ac:dyDescent="0.25">
      <c r="A831" t="s">
        <v>1886</v>
      </c>
      <c r="B831">
        <v>42492</v>
      </c>
      <c r="C831" t="str">
        <f t="shared" si="72"/>
        <v>2016</v>
      </c>
      <c r="D831" t="s">
        <v>518</v>
      </c>
      <c r="E831" t="s">
        <v>359</v>
      </c>
      <c r="F831" t="s">
        <v>239</v>
      </c>
      <c r="G831" t="s">
        <v>240</v>
      </c>
      <c r="H831" t="s">
        <v>274</v>
      </c>
      <c r="I831" t="s">
        <v>251</v>
      </c>
      <c r="J831" t="s">
        <v>294</v>
      </c>
      <c r="K831" t="s">
        <v>718</v>
      </c>
      <c r="L831" t="s">
        <v>245</v>
      </c>
      <c r="M831" t="s">
        <v>323</v>
      </c>
      <c r="N831" t="s">
        <v>247</v>
      </c>
      <c r="O831">
        <v>42493</v>
      </c>
      <c r="P831">
        <v>2.5</v>
      </c>
      <c r="Q831">
        <v>5.68</v>
      </c>
      <c r="R831">
        <f t="shared" si="73"/>
        <v>3.1799999999999997</v>
      </c>
      <c r="S831">
        <v>25</v>
      </c>
      <c r="T831">
        <f t="shared" si="74"/>
        <v>142</v>
      </c>
      <c r="U831">
        <v>0.1</v>
      </c>
      <c r="V831">
        <f t="shared" si="75"/>
        <v>14.200000000000001</v>
      </c>
      <c r="W831">
        <f t="shared" si="76"/>
        <v>127.8</v>
      </c>
      <c r="X831">
        <v>3.6</v>
      </c>
      <c r="Y831">
        <f t="shared" si="77"/>
        <v>131.4</v>
      </c>
    </row>
    <row r="832" spans="1:25" x14ac:dyDescent="0.25">
      <c r="A832" t="s">
        <v>1887</v>
      </c>
      <c r="B832">
        <v>42495</v>
      </c>
      <c r="C832" t="str">
        <f t="shared" si="72"/>
        <v>2016</v>
      </c>
      <c r="D832" t="s">
        <v>1888</v>
      </c>
      <c r="E832" t="s">
        <v>467</v>
      </c>
      <c r="F832" t="s">
        <v>257</v>
      </c>
      <c r="G832" t="s">
        <v>258</v>
      </c>
      <c r="H832" t="s">
        <v>241</v>
      </c>
      <c r="I832" t="s">
        <v>342</v>
      </c>
      <c r="J832" t="s">
        <v>304</v>
      </c>
      <c r="K832" t="s">
        <v>244</v>
      </c>
      <c r="L832" t="s">
        <v>245</v>
      </c>
      <c r="M832" t="s">
        <v>246</v>
      </c>
      <c r="N832" t="s">
        <v>247</v>
      </c>
      <c r="O832">
        <v>42497</v>
      </c>
      <c r="P832">
        <v>3.52</v>
      </c>
      <c r="Q832">
        <v>5.58</v>
      </c>
      <c r="R832">
        <f t="shared" si="73"/>
        <v>2.06</v>
      </c>
      <c r="S832">
        <v>13</v>
      </c>
      <c r="T832">
        <f t="shared" si="74"/>
        <v>72.540000000000006</v>
      </c>
      <c r="U832">
        <v>0.06</v>
      </c>
      <c r="V832">
        <f t="shared" si="75"/>
        <v>4.3524000000000003</v>
      </c>
      <c r="W832">
        <f t="shared" si="76"/>
        <v>68.187600000000003</v>
      </c>
      <c r="X832">
        <v>2.99</v>
      </c>
      <c r="Y832">
        <f t="shared" si="77"/>
        <v>71.177599999999998</v>
      </c>
    </row>
    <row r="833" spans="1:25" x14ac:dyDescent="0.25">
      <c r="A833" t="s">
        <v>1889</v>
      </c>
      <c r="B833">
        <v>42498</v>
      </c>
      <c r="C833" t="str">
        <f t="shared" si="72"/>
        <v>2016</v>
      </c>
      <c r="D833" t="s">
        <v>1056</v>
      </c>
      <c r="E833" t="s">
        <v>467</v>
      </c>
      <c r="F833" t="s">
        <v>257</v>
      </c>
      <c r="G833" t="s">
        <v>258</v>
      </c>
      <c r="H833" t="s">
        <v>259</v>
      </c>
      <c r="I833" t="s">
        <v>342</v>
      </c>
      <c r="J833" t="s">
        <v>279</v>
      </c>
      <c r="K833" t="s">
        <v>614</v>
      </c>
      <c r="L833" t="s">
        <v>245</v>
      </c>
      <c r="M833" t="s">
        <v>253</v>
      </c>
      <c r="N833" t="s">
        <v>247</v>
      </c>
      <c r="O833">
        <v>42502</v>
      </c>
      <c r="P833">
        <v>1.95</v>
      </c>
      <c r="Q833">
        <v>3.98</v>
      </c>
      <c r="R833">
        <f t="shared" si="73"/>
        <v>2.0300000000000002</v>
      </c>
      <c r="S833">
        <v>27</v>
      </c>
      <c r="T833">
        <f t="shared" si="74"/>
        <v>107.46</v>
      </c>
      <c r="U833">
        <v>0.06</v>
      </c>
      <c r="V833">
        <f t="shared" si="75"/>
        <v>6.4475999999999996</v>
      </c>
      <c r="W833">
        <f t="shared" si="76"/>
        <v>101.0124</v>
      </c>
      <c r="X833">
        <v>0.83</v>
      </c>
      <c r="Y833">
        <f t="shared" si="77"/>
        <v>101.8424</v>
      </c>
    </row>
    <row r="834" spans="1:25" x14ac:dyDescent="0.25">
      <c r="A834" t="s">
        <v>1890</v>
      </c>
      <c r="B834">
        <v>42498</v>
      </c>
      <c r="C834" t="str">
        <f t="shared" si="72"/>
        <v>2016</v>
      </c>
      <c r="D834" t="s">
        <v>1816</v>
      </c>
      <c r="E834" t="s">
        <v>1551</v>
      </c>
      <c r="F834" t="s">
        <v>257</v>
      </c>
      <c r="G834" t="s">
        <v>258</v>
      </c>
      <c r="H834" t="s">
        <v>259</v>
      </c>
      <c r="I834" t="s">
        <v>309</v>
      </c>
      <c r="J834" t="s">
        <v>279</v>
      </c>
      <c r="K834" t="s">
        <v>317</v>
      </c>
      <c r="L834" t="s">
        <v>245</v>
      </c>
      <c r="M834" t="s">
        <v>253</v>
      </c>
      <c r="N834" t="s">
        <v>247</v>
      </c>
      <c r="O834">
        <v>42498</v>
      </c>
      <c r="P834">
        <v>0.71</v>
      </c>
      <c r="Q834">
        <v>1.1399999999999999</v>
      </c>
      <c r="R834">
        <f t="shared" si="73"/>
        <v>0.42999999999999994</v>
      </c>
      <c r="S834">
        <v>20</v>
      </c>
      <c r="T834">
        <f t="shared" si="74"/>
        <v>22.799999999999997</v>
      </c>
      <c r="U834">
        <v>0.09</v>
      </c>
      <c r="V834">
        <f t="shared" si="75"/>
        <v>2.0519999999999996</v>
      </c>
      <c r="W834">
        <f t="shared" si="76"/>
        <v>20.747999999999998</v>
      </c>
      <c r="X834">
        <v>0.7</v>
      </c>
      <c r="Y834">
        <f t="shared" si="77"/>
        <v>21.447999999999997</v>
      </c>
    </row>
    <row r="835" spans="1:25" x14ac:dyDescent="0.25">
      <c r="A835" t="s">
        <v>1891</v>
      </c>
      <c r="B835">
        <v>42499</v>
      </c>
      <c r="C835" t="str">
        <f t="shared" si="72"/>
        <v>2016</v>
      </c>
      <c r="D835" t="s">
        <v>766</v>
      </c>
      <c r="E835" t="s">
        <v>767</v>
      </c>
      <c r="F835" t="s">
        <v>257</v>
      </c>
      <c r="G835" t="s">
        <v>258</v>
      </c>
      <c r="H835" t="s">
        <v>259</v>
      </c>
      <c r="I835" t="s">
        <v>260</v>
      </c>
      <c r="J835" t="s">
        <v>243</v>
      </c>
      <c r="K835" t="s">
        <v>1042</v>
      </c>
      <c r="L835" t="s">
        <v>245</v>
      </c>
      <c r="M835" t="s">
        <v>246</v>
      </c>
      <c r="N835" t="s">
        <v>247</v>
      </c>
      <c r="O835">
        <v>42501</v>
      </c>
      <c r="P835">
        <v>84.22</v>
      </c>
      <c r="Q835">
        <v>210.55</v>
      </c>
      <c r="R835">
        <f t="shared" si="73"/>
        <v>126.33000000000001</v>
      </c>
      <c r="S835">
        <v>4</v>
      </c>
      <c r="T835">
        <f t="shared" si="74"/>
        <v>842.2</v>
      </c>
      <c r="U835">
        <v>0.05</v>
      </c>
      <c r="V835">
        <f t="shared" si="75"/>
        <v>42.110000000000007</v>
      </c>
      <c r="W835">
        <f t="shared" si="76"/>
        <v>800.09</v>
      </c>
      <c r="X835">
        <v>9.99</v>
      </c>
      <c r="Y835">
        <f t="shared" si="77"/>
        <v>810.08</v>
      </c>
    </row>
    <row r="836" spans="1:25" x14ac:dyDescent="0.25">
      <c r="A836" t="s">
        <v>1892</v>
      </c>
      <c r="B836">
        <v>42500</v>
      </c>
      <c r="C836" t="str">
        <f t="shared" si="72"/>
        <v>2016</v>
      </c>
      <c r="D836" t="s">
        <v>539</v>
      </c>
      <c r="E836" t="s">
        <v>540</v>
      </c>
      <c r="F836" t="s">
        <v>448</v>
      </c>
      <c r="G836" t="s">
        <v>449</v>
      </c>
      <c r="H836" t="s">
        <v>259</v>
      </c>
      <c r="I836" t="s">
        <v>299</v>
      </c>
      <c r="J836" t="s">
        <v>294</v>
      </c>
      <c r="K836" t="s">
        <v>349</v>
      </c>
      <c r="L836" t="s">
        <v>245</v>
      </c>
      <c r="M836" t="s">
        <v>246</v>
      </c>
      <c r="N836" t="s">
        <v>247</v>
      </c>
      <c r="O836">
        <v>42502</v>
      </c>
      <c r="P836">
        <v>3.52</v>
      </c>
      <c r="Q836">
        <v>5.68</v>
      </c>
      <c r="R836">
        <f t="shared" si="73"/>
        <v>2.1599999999999997</v>
      </c>
      <c r="S836">
        <v>34</v>
      </c>
      <c r="T836">
        <f t="shared" si="74"/>
        <v>193.12</v>
      </c>
      <c r="U836">
        <v>0.06</v>
      </c>
      <c r="V836">
        <f t="shared" si="75"/>
        <v>11.587199999999999</v>
      </c>
      <c r="W836">
        <f t="shared" si="76"/>
        <v>181.53280000000001</v>
      </c>
      <c r="X836">
        <v>1.39</v>
      </c>
      <c r="Y836">
        <f t="shared" si="77"/>
        <v>182.9228</v>
      </c>
    </row>
    <row r="837" spans="1:25" x14ac:dyDescent="0.25">
      <c r="A837" t="s">
        <v>1893</v>
      </c>
      <c r="B837">
        <v>42502</v>
      </c>
      <c r="C837" t="str">
        <f t="shared" si="72"/>
        <v>2016</v>
      </c>
      <c r="D837" t="s">
        <v>1095</v>
      </c>
      <c r="E837" t="s">
        <v>528</v>
      </c>
      <c r="F837" t="s">
        <v>239</v>
      </c>
      <c r="G837" t="s">
        <v>240</v>
      </c>
      <c r="H837" t="s">
        <v>259</v>
      </c>
      <c r="I837" t="s">
        <v>251</v>
      </c>
      <c r="J837" t="s">
        <v>261</v>
      </c>
      <c r="K837" t="s">
        <v>661</v>
      </c>
      <c r="L837" t="s">
        <v>245</v>
      </c>
      <c r="M837" t="s">
        <v>246</v>
      </c>
      <c r="N837" t="s">
        <v>247</v>
      </c>
      <c r="O837">
        <v>42504</v>
      </c>
      <c r="P837">
        <v>2.1800000000000002</v>
      </c>
      <c r="Q837">
        <v>3.52</v>
      </c>
      <c r="R837">
        <f t="shared" si="73"/>
        <v>1.3399999999999999</v>
      </c>
      <c r="S837">
        <v>42</v>
      </c>
      <c r="T837">
        <f t="shared" si="74"/>
        <v>147.84</v>
      </c>
      <c r="U837">
        <v>0.04</v>
      </c>
      <c r="V837">
        <f t="shared" si="75"/>
        <v>5.9136000000000006</v>
      </c>
      <c r="W837">
        <f t="shared" si="76"/>
        <v>141.9264</v>
      </c>
      <c r="X837">
        <v>6.83</v>
      </c>
      <c r="Y837">
        <f t="shared" si="77"/>
        <v>148.75640000000001</v>
      </c>
    </row>
    <row r="838" spans="1:25" x14ac:dyDescent="0.25">
      <c r="A838" t="s">
        <v>1894</v>
      </c>
      <c r="B838">
        <v>42504</v>
      </c>
      <c r="C838" t="str">
        <f t="shared" ref="C838:C901" si="78">TEXT(B838,"yyyy")</f>
        <v>2016</v>
      </c>
      <c r="D838" t="s">
        <v>1157</v>
      </c>
      <c r="E838" t="s">
        <v>1014</v>
      </c>
      <c r="F838" t="s">
        <v>257</v>
      </c>
      <c r="G838" t="s">
        <v>258</v>
      </c>
      <c r="H838" t="s">
        <v>259</v>
      </c>
      <c r="I838" t="s">
        <v>492</v>
      </c>
      <c r="J838" t="s">
        <v>294</v>
      </c>
      <c r="K838" t="s">
        <v>799</v>
      </c>
      <c r="L838" t="s">
        <v>245</v>
      </c>
      <c r="M838" t="s">
        <v>246</v>
      </c>
      <c r="N838" t="s">
        <v>247</v>
      </c>
      <c r="O838">
        <v>42506</v>
      </c>
      <c r="P838">
        <v>2.29</v>
      </c>
      <c r="Q838">
        <v>3.69</v>
      </c>
      <c r="R838">
        <f t="shared" ref="R838:R901" si="79">Q838-P838</f>
        <v>1.4</v>
      </c>
      <c r="S838">
        <v>47</v>
      </c>
      <c r="T838">
        <f t="shared" ref="T838:T901" si="80">Q838*S838</f>
        <v>173.43</v>
      </c>
      <c r="U838">
        <v>0.05</v>
      </c>
      <c r="V838">
        <f t="shared" ref="V838:V901" si="81">T838*U838</f>
        <v>8.6715</v>
      </c>
      <c r="W838">
        <f t="shared" ref="W838:W901" si="82">T838-V838</f>
        <v>164.7585</v>
      </c>
      <c r="X838">
        <v>0.5</v>
      </c>
      <c r="Y838">
        <f t="shared" ref="Y838:Y901" si="83">W838+X838</f>
        <v>165.2585</v>
      </c>
    </row>
    <row r="839" spans="1:25" x14ac:dyDescent="0.25">
      <c r="A839" t="s">
        <v>1895</v>
      </c>
      <c r="B839">
        <v>42504</v>
      </c>
      <c r="C839" t="str">
        <f t="shared" si="78"/>
        <v>2016</v>
      </c>
      <c r="D839" t="s">
        <v>1222</v>
      </c>
      <c r="E839" t="s">
        <v>1001</v>
      </c>
      <c r="F839" t="s">
        <v>239</v>
      </c>
      <c r="G839" t="s">
        <v>240</v>
      </c>
      <c r="H839" t="s">
        <v>293</v>
      </c>
      <c r="I839" t="s">
        <v>251</v>
      </c>
      <c r="J839" t="s">
        <v>294</v>
      </c>
      <c r="K839" t="s">
        <v>543</v>
      </c>
      <c r="L839" t="s">
        <v>245</v>
      </c>
      <c r="M839" t="s">
        <v>246</v>
      </c>
      <c r="N839" t="s">
        <v>247</v>
      </c>
      <c r="O839">
        <v>42506</v>
      </c>
      <c r="P839">
        <v>1.33</v>
      </c>
      <c r="Q839">
        <v>2.08</v>
      </c>
      <c r="R839">
        <f t="shared" si="79"/>
        <v>0.75</v>
      </c>
      <c r="S839">
        <v>43</v>
      </c>
      <c r="T839">
        <f t="shared" si="80"/>
        <v>89.44</v>
      </c>
      <c r="U839">
        <v>0.05</v>
      </c>
      <c r="V839">
        <f t="shared" si="81"/>
        <v>4.4720000000000004</v>
      </c>
      <c r="W839">
        <f t="shared" si="82"/>
        <v>84.968000000000004</v>
      </c>
      <c r="X839">
        <v>1.49</v>
      </c>
      <c r="Y839">
        <f t="shared" si="83"/>
        <v>86.457999999999998</v>
      </c>
    </row>
    <row r="840" spans="1:25" x14ac:dyDescent="0.25">
      <c r="A840" t="s">
        <v>1895</v>
      </c>
      <c r="B840">
        <v>42507</v>
      </c>
      <c r="C840" t="str">
        <f t="shared" si="78"/>
        <v>2016</v>
      </c>
      <c r="D840" t="s">
        <v>1896</v>
      </c>
      <c r="E840" t="s">
        <v>546</v>
      </c>
      <c r="F840" t="s">
        <v>257</v>
      </c>
      <c r="G840" t="s">
        <v>258</v>
      </c>
      <c r="H840" t="s">
        <v>293</v>
      </c>
      <c r="I840" t="s">
        <v>260</v>
      </c>
      <c r="J840" t="s">
        <v>243</v>
      </c>
      <c r="K840" t="s">
        <v>576</v>
      </c>
      <c r="L840" t="s">
        <v>245</v>
      </c>
      <c r="M840" t="s">
        <v>253</v>
      </c>
      <c r="N840" t="s">
        <v>247</v>
      </c>
      <c r="O840">
        <v>42508</v>
      </c>
      <c r="P840">
        <v>3.88</v>
      </c>
      <c r="Q840">
        <v>6.47</v>
      </c>
      <c r="R840">
        <f t="shared" si="79"/>
        <v>2.59</v>
      </c>
      <c r="S840">
        <v>7</v>
      </c>
      <c r="T840">
        <f t="shared" si="80"/>
        <v>45.29</v>
      </c>
      <c r="U840">
        <v>0.02</v>
      </c>
      <c r="V840">
        <f t="shared" si="81"/>
        <v>0.90580000000000005</v>
      </c>
      <c r="W840">
        <f t="shared" si="82"/>
        <v>44.3842</v>
      </c>
      <c r="X840">
        <v>1.22</v>
      </c>
      <c r="Y840">
        <f t="shared" si="83"/>
        <v>45.604199999999999</v>
      </c>
    </row>
    <row r="841" spans="1:25" x14ac:dyDescent="0.25">
      <c r="A841" t="s">
        <v>1897</v>
      </c>
      <c r="B841">
        <v>42508</v>
      </c>
      <c r="C841" t="str">
        <f t="shared" si="78"/>
        <v>2016</v>
      </c>
      <c r="D841" t="s">
        <v>1898</v>
      </c>
      <c r="E841" t="s">
        <v>522</v>
      </c>
      <c r="F841" t="s">
        <v>239</v>
      </c>
      <c r="G841" t="s">
        <v>240</v>
      </c>
      <c r="H841" t="s">
        <v>259</v>
      </c>
      <c r="I841" t="s">
        <v>251</v>
      </c>
      <c r="J841" t="s">
        <v>294</v>
      </c>
      <c r="K841" t="s">
        <v>734</v>
      </c>
      <c r="L841" t="s">
        <v>245</v>
      </c>
      <c r="M841" t="s">
        <v>246</v>
      </c>
      <c r="N841" t="s">
        <v>247</v>
      </c>
      <c r="O841">
        <v>42510</v>
      </c>
      <c r="P841">
        <v>14.95</v>
      </c>
      <c r="Q841">
        <v>34.76</v>
      </c>
      <c r="R841">
        <f t="shared" si="79"/>
        <v>19.809999999999999</v>
      </c>
      <c r="S841">
        <v>8</v>
      </c>
      <c r="T841">
        <f t="shared" si="80"/>
        <v>278.08</v>
      </c>
      <c r="U841">
        <v>0</v>
      </c>
      <c r="V841">
        <f t="shared" si="81"/>
        <v>0</v>
      </c>
      <c r="W841">
        <f t="shared" si="82"/>
        <v>278.08</v>
      </c>
      <c r="X841">
        <v>8.2200000000000006</v>
      </c>
      <c r="Y841">
        <f t="shared" si="83"/>
        <v>286.3</v>
      </c>
    </row>
    <row r="842" spans="1:25" x14ac:dyDescent="0.25">
      <c r="A842" t="s">
        <v>1899</v>
      </c>
      <c r="B842">
        <v>42509</v>
      </c>
      <c r="C842" t="str">
        <f t="shared" si="78"/>
        <v>2016</v>
      </c>
      <c r="D842" t="s">
        <v>1900</v>
      </c>
      <c r="E842" t="s">
        <v>1901</v>
      </c>
      <c r="F842" t="s">
        <v>257</v>
      </c>
      <c r="G842" t="s">
        <v>258</v>
      </c>
      <c r="H842" t="s">
        <v>241</v>
      </c>
      <c r="I842" t="s">
        <v>321</v>
      </c>
      <c r="J842" t="s">
        <v>304</v>
      </c>
      <c r="K842" t="s">
        <v>817</v>
      </c>
      <c r="L842" t="s">
        <v>245</v>
      </c>
      <c r="M842" t="s">
        <v>253</v>
      </c>
      <c r="N842" t="s">
        <v>247</v>
      </c>
      <c r="O842">
        <v>42510</v>
      </c>
      <c r="P842">
        <v>1.76</v>
      </c>
      <c r="Q842">
        <v>2.94</v>
      </c>
      <c r="R842">
        <f t="shared" si="79"/>
        <v>1.18</v>
      </c>
      <c r="S842">
        <v>31</v>
      </c>
      <c r="T842">
        <f t="shared" si="80"/>
        <v>91.14</v>
      </c>
      <c r="U842">
        <v>0.04</v>
      </c>
      <c r="V842">
        <f t="shared" si="81"/>
        <v>3.6456</v>
      </c>
      <c r="W842">
        <f t="shared" si="82"/>
        <v>87.494399999999999</v>
      </c>
      <c r="X842">
        <v>0.81</v>
      </c>
      <c r="Y842">
        <f t="shared" si="83"/>
        <v>88.304400000000001</v>
      </c>
    </row>
    <row r="843" spans="1:25" x14ac:dyDescent="0.25">
      <c r="A843" t="s">
        <v>1902</v>
      </c>
      <c r="B843">
        <v>42511</v>
      </c>
      <c r="C843" t="str">
        <f t="shared" si="78"/>
        <v>2016</v>
      </c>
      <c r="D843" t="s">
        <v>1903</v>
      </c>
      <c r="E843" t="s">
        <v>432</v>
      </c>
      <c r="F843" t="s">
        <v>257</v>
      </c>
      <c r="G843" t="s">
        <v>258</v>
      </c>
      <c r="H843" t="s">
        <v>259</v>
      </c>
      <c r="I843" t="s">
        <v>333</v>
      </c>
      <c r="J843" t="s">
        <v>261</v>
      </c>
      <c r="K843" t="s">
        <v>439</v>
      </c>
      <c r="L843" t="s">
        <v>440</v>
      </c>
      <c r="M843" t="s">
        <v>323</v>
      </c>
      <c r="N843" t="s">
        <v>247</v>
      </c>
      <c r="O843">
        <v>42512</v>
      </c>
      <c r="P843">
        <v>5.5</v>
      </c>
      <c r="Q843">
        <v>12.22</v>
      </c>
      <c r="R843">
        <f t="shared" si="79"/>
        <v>6.7200000000000006</v>
      </c>
      <c r="S843">
        <v>10</v>
      </c>
      <c r="T843">
        <f t="shared" si="80"/>
        <v>122.2</v>
      </c>
      <c r="U843">
        <v>0.01</v>
      </c>
      <c r="V843">
        <f t="shared" si="81"/>
        <v>1.222</v>
      </c>
      <c r="W843">
        <f t="shared" si="82"/>
        <v>120.97800000000001</v>
      </c>
      <c r="X843">
        <v>2.85</v>
      </c>
      <c r="Y843">
        <f t="shared" si="83"/>
        <v>123.828</v>
      </c>
    </row>
    <row r="844" spans="1:25" x14ac:dyDescent="0.25">
      <c r="A844" t="s">
        <v>1904</v>
      </c>
      <c r="B844">
        <v>42511</v>
      </c>
      <c r="C844" t="str">
        <f t="shared" si="78"/>
        <v>2016</v>
      </c>
      <c r="D844" t="s">
        <v>605</v>
      </c>
      <c r="E844" t="s">
        <v>606</v>
      </c>
      <c r="F844" t="s">
        <v>448</v>
      </c>
      <c r="G844" t="s">
        <v>449</v>
      </c>
      <c r="H844" t="s">
        <v>293</v>
      </c>
      <c r="I844" t="s">
        <v>284</v>
      </c>
      <c r="J844" t="s">
        <v>261</v>
      </c>
      <c r="K844" t="s">
        <v>949</v>
      </c>
      <c r="L844" t="s">
        <v>245</v>
      </c>
      <c r="M844" t="s">
        <v>246</v>
      </c>
      <c r="N844" t="s">
        <v>247</v>
      </c>
      <c r="O844">
        <v>42511</v>
      </c>
      <c r="P844">
        <v>52.07</v>
      </c>
      <c r="Q844">
        <v>83.98</v>
      </c>
      <c r="R844">
        <f t="shared" si="79"/>
        <v>31.910000000000004</v>
      </c>
      <c r="S844">
        <v>46</v>
      </c>
      <c r="T844">
        <f t="shared" si="80"/>
        <v>3863.0800000000004</v>
      </c>
      <c r="U844">
        <v>0.06</v>
      </c>
      <c r="V844">
        <f t="shared" si="81"/>
        <v>231.78480000000002</v>
      </c>
      <c r="W844">
        <f t="shared" si="82"/>
        <v>3631.2952000000005</v>
      </c>
      <c r="X844">
        <v>5.01</v>
      </c>
      <c r="Y844">
        <f t="shared" si="83"/>
        <v>3636.3052000000007</v>
      </c>
    </row>
    <row r="845" spans="1:25" x14ac:dyDescent="0.25">
      <c r="A845" t="s">
        <v>1905</v>
      </c>
      <c r="B845">
        <v>42511</v>
      </c>
      <c r="C845" t="str">
        <f t="shared" si="78"/>
        <v>2016</v>
      </c>
      <c r="D845" t="s">
        <v>1180</v>
      </c>
      <c r="E845" t="s">
        <v>332</v>
      </c>
      <c r="F845" t="s">
        <v>257</v>
      </c>
      <c r="G845" t="s">
        <v>258</v>
      </c>
      <c r="H845" t="s">
        <v>259</v>
      </c>
      <c r="I845" t="s">
        <v>333</v>
      </c>
      <c r="J845" t="s">
        <v>261</v>
      </c>
      <c r="K845" t="s">
        <v>734</v>
      </c>
      <c r="L845" t="s">
        <v>245</v>
      </c>
      <c r="M845" t="s">
        <v>246</v>
      </c>
      <c r="N845" t="s">
        <v>247</v>
      </c>
      <c r="O845">
        <v>42512</v>
      </c>
      <c r="P845">
        <v>14.95</v>
      </c>
      <c r="Q845">
        <v>34.76</v>
      </c>
      <c r="R845">
        <f t="shared" si="79"/>
        <v>19.809999999999999</v>
      </c>
      <c r="S845">
        <v>47</v>
      </c>
      <c r="T845">
        <f t="shared" si="80"/>
        <v>1633.7199999999998</v>
      </c>
      <c r="U845">
        <v>0.09</v>
      </c>
      <c r="V845">
        <f t="shared" si="81"/>
        <v>147.03479999999999</v>
      </c>
      <c r="W845">
        <f t="shared" si="82"/>
        <v>1486.6851999999999</v>
      </c>
      <c r="X845">
        <v>8.2200000000000006</v>
      </c>
      <c r="Y845">
        <f t="shared" si="83"/>
        <v>1494.9051999999999</v>
      </c>
    </row>
    <row r="846" spans="1:25" x14ac:dyDescent="0.25">
      <c r="A846" t="s">
        <v>1906</v>
      </c>
      <c r="B846">
        <v>42512</v>
      </c>
      <c r="C846" t="str">
        <f t="shared" si="78"/>
        <v>2016</v>
      </c>
      <c r="D846" t="s">
        <v>446</v>
      </c>
      <c r="E846" t="s">
        <v>447</v>
      </c>
      <c r="F846" t="s">
        <v>448</v>
      </c>
      <c r="G846" t="s">
        <v>449</v>
      </c>
      <c r="H846" t="s">
        <v>259</v>
      </c>
      <c r="I846" t="s">
        <v>333</v>
      </c>
      <c r="J846" t="s">
        <v>304</v>
      </c>
      <c r="K846" t="s">
        <v>607</v>
      </c>
      <c r="L846" t="s">
        <v>245</v>
      </c>
      <c r="M846" t="s">
        <v>246</v>
      </c>
      <c r="N846" t="s">
        <v>247</v>
      </c>
      <c r="O846">
        <v>42514</v>
      </c>
      <c r="P846">
        <v>4.46</v>
      </c>
      <c r="Q846">
        <v>10.89</v>
      </c>
      <c r="R846">
        <f t="shared" si="79"/>
        <v>6.4300000000000006</v>
      </c>
      <c r="S846">
        <v>1</v>
      </c>
      <c r="T846">
        <f t="shared" si="80"/>
        <v>10.89</v>
      </c>
      <c r="U846">
        <v>0</v>
      </c>
      <c r="V846">
        <f t="shared" si="81"/>
        <v>0</v>
      </c>
      <c r="W846">
        <f t="shared" si="82"/>
        <v>10.89</v>
      </c>
      <c r="X846">
        <v>4.5</v>
      </c>
      <c r="Y846">
        <f t="shared" si="83"/>
        <v>15.39</v>
      </c>
    </row>
    <row r="847" spans="1:25" x14ac:dyDescent="0.25">
      <c r="A847" t="s">
        <v>1907</v>
      </c>
      <c r="B847">
        <v>42512</v>
      </c>
      <c r="C847" t="str">
        <f t="shared" si="78"/>
        <v>2016</v>
      </c>
      <c r="D847" t="s">
        <v>1703</v>
      </c>
      <c r="E847" t="s">
        <v>709</v>
      </c>
      <c r="F847" t="s">
        <v>257</v>
      </c>
      <c r="G847" t="s">
        <v>258</v>
      </c>
      <c r="H847" t="s">
        <v>241</v>
      </c>
      <c r="I847" t="s">
        <v>275</v>
      </c>
      <c r="J847" t="s">
        <v>294</v>
      </c>
      <c r="K847" t="s">
        <v>453</v>
      </c>
      <c r="L847" t="s">
        <v>245</v>
      </c>
      <c r="M847" t="s">
        <v>246</v>
      </c>
      <c r="N847" t="s">
        <v>247</v>
      </c>
      <c r="O847">
        <v>42513</v>
      </c>
      <c r="P847">
        <v>1.18</v>
      </c>
      <c r="Q847">
        <v>1.88</v>
      </c>
      <c r="R847">
        <f t="shared" si="79"/>
        <v>0.7</v>
      </c>
      <c r="S847">
        <v>22</v>
      </c>
      <c r="T847">
        <f t="shared" si="80"/>
        <v>41.36</v>
      </c>
      <c r="U847">
        <v>0.09</v>
      </c>
      <c r="V847">
        <f t="shared" si="81"/>
        <v>3.7223999999999999</v>
      </c>
      <c r="W847">
        <f t="shared" si="82"/>
        <v>37.637599999999999</v>
      </c>
      <c r="X847">
        <v>1.49</v>
      </c>
      <c r="Y847">
        <f t="shared" si="83"/>
        <v>39.127600000000001</v>
      </c>
    </row>
    <row r="848" spans="1:25" x14ac:dyDescent="0.25">
      <c r="A848" t="s">
        <v>1908</v>
      </c>
      <c r="B848">
        <v>42513</v>
      </c>
      <c r="C848" t="str">
        <f t="shared" si="78"/>
        <v>2016</v>
      </c>
      <c r="D848" t="s">
        <v>1909</v>
      </c>
      <c r="E848" t="s">
        <v>511</v>
      </c>
      <c r="F848" t="s">
        <v>257</v>
      </c>
      <c r="G848" t="s">
        <v>258</v>
      </c>
      <c r="H848" t="s">
        <v>293</v>
      </c>
      <c r="I848" t="s">
        <v>381</v>
      </c>
      <c r="J848" t="s">
        <v>243</v>
      </c>
      <c r="K848" t="s">
        <v>252</v>
      </c>
      <c r="L848" t="s">
        <v>245</v>
      </c>
      <c r="M848" t="s">
        <v>253</v>
      </c>
      <c r="N848" t="s">
        <v>263</v>
      </c>
      <c r="O848">
        <v>42514</v>
      </c>
      <c r="P848">
        <v>2.39</v>
      </c>
      <c r="Q848">
        <v>4.26</v>
      </c>
      <c r="R848">
        <f t="shared" si="79"/>
        <v>1.8699999999999997</v>
      </c>
      <c r="S848">
        <v>5</v>
      </c>
      <c r="T848">
        <f t="shared" si="80"/>
        <v>21.299999999999997</v>
      </c>
      <c r="U848">
        <v>0.01</v>
      </c>
      <c r="V848">
        <f t="shared" si="81"/>
        <v>0.21299999999999997</v>
      </c>
      <c r="W848">
        <f t="shared" si="82"/>
        <v>21.086999999999996</v>
      </c>
      <c r="X848">
        <v>1.2</v>
      </c>
      <c r="Y848">
        <f t="shared" si="83"/>
        <v>22.286999999999995</v>
      </c>
    </row>
    <row r="849" spans="1:25" x14ac:dyDescent="0.25">
      <c r="A849" t="s">
        <v>1910</v>
      </c>
      <c r="B849">
        <v>42516</v>
      </c>
      <c r="C849" t="str">
        <f t="shared" si="78"/>
        <v>2016</v>
      </c>
      <c r="D849" t="s">
        <v>1911</v>
      </c>
      <c r="E849" t="s">
        <v>393</v>
      </c>
      <c r="F849" t="s">
        <v>257</v>
      </c>
      <c r="G849" t="s">
        <v>258</v>
      </c>
      <c r="H849" t="s">
        <v>293</v>
      </c>
      <c r="I849" t="s">
        <v>342</v>
      </c>
      <c r="J849" t="s">
        <v>304</v>
      </c>
      <c r="K849" t="s">
        <v>986</v>
      </c>
      <c r="L849" t="s">
        <v>245</v>
      </c>
      <c r="M849" t="s">
        <v>246</v>
      </c>
      <c r="N849" t="s">
        <v>247</v>
      </c>
      <c r="O849">
        <v>42517</v>
      </c>
      <c r="P849">
        <v>52.04</v>
      </c>
      <c r="Q849">
        <v>83.93</v>
      </c>
      <c r="R849">
        <f t="shared" si="79"/>
        <v>31.890000000000008</v>
      </c>
      <c r="S849">
        <v>5</v>
      </c>
      <c r="T849">
        <f t="shared" si="80"/>
        <v>419.65000000000003</v>
      </c>
      <c r="U849">
        <v>0.04</v>
      </c>
      <c r="V849">
        <f t="shared" si="81"/>
        <v>16.786000000000001</v>
      </c>
      <c r="W849">
        <f t="shared" si="82"/>
        <v>402.86400000000003</v>
      </c>
      <c r="X849">
        <v>19.989999999999998</v>
      </c>
      <c r="Y849">
        <f t="shared" si="83"/>
        <v>422.85400000000004</v>
      </c>
    </row>
    <row r="850" spans="1:25" x14ac:dyDescent="0.25">
      <c r="A850" t="s">
        <v>1912</v>
      </c>
      <c r="B850">
        <v>42517</v>
      </c>
      <c r="C850" t="str">
        <f t="shared" si="78"/>
        <v>2016</v>
      </c>
      <c r="D850" t="s">
        <v>1913</v>
      </c>
      <c r="E850" t="s">
        <v>1914</v>
      </c>
      <c r="F850" t="s">
        <v>257</v>
      </c>
      <c r="G850" t="s">
        <v>258</v>
      </c>
      <c r="H850" t="s">
        <v>259</v>
      </c>
      <c r="I850" t="s">
        <v>342</v>
      </c>
      <c r="J850" t="s">
        <v>294</v>
      </c>
      <c r="K850" t="s">
        <v>300</v>
      </c>
      <c r="L850" t="s">
        <v>245</v>
      </c>
      <c r="M850" t="s">
        <v>246</v>
      </c>
      <c r="N850" t="s">
        <v>247</v>
      </c>
      <c r="O850">
        <v>42517</v>
      </c>
      <c r="P850">
        <v>5.33</v>
      </c>
      <c r="Q850">
        <v>8.6</v>
      </c>
      <c r="R850">
        <f t="shared" si="79"/>
        <v>3.2699999999999996</v>
      </c>
      <c r="S850">
        <v>1</v>
      </c>
      <c r="T850">
        <f t="shared" si="80"/>
        <v>8.6</v>
      </c>
      <c r="U850">
        <v>0.06</v>
      </c>
      <c r="V850">
        <f t="shared" si="81"/>
        <v>0.51600000000000001</v>
      </c>
      <c r="W850">
        <f t="shared" si="82"/>
        <v>8.0839999999999996</v>
      </c>
      <c r="X850">
        <v>6.19</v>
      </c>
      <c r="Y850">
        <f t="shared" si="83"/>
        <v>14.274000000000001</v>
      </c>
    </row>
    <row r="851" spans="1:25" x14ac:dyDescent="0.25">
      <c r="A851" t="s">
        <v>1915</v>
      </c>
      <c r="B851">
        <v>42519</v>
      </c>
      <c r="C851" t="str">
        <f t="shared" si="78"/>
        <v>2016</v>
      </c>
      <c r="D851" t="s">
        <v>1916</v>
      </c>
      <c r="E851" t="s">
        <v>1805</v>
      </c>
      <c r="F851" t="s">
        <v>257</v>
      </c>
      <c r="G851" t="s">
        <v>258</v>
      </c>
      <c r="H851" t="s">
        <v>274</v>
      </c>
      <c r="I851" t="s">
        <v>275</v>
      </c>
      <c r="J851" t="s">
        <v>304</v>
      </c>
      <c r="K851" t="s">
        <v>734</v>
      </c>
      <c r="L851" t="s">
        <v>245</v>
      </c>
      <c r="M851" t="s">
        <v>246</v>
      </c>
      <c r="N851" t="s">
        <v>247</v>
      </c>
      <c r="O851">
        <v>42520</v>
      </c>
      <c r="P851">
        <v>14.95</v>
      </c>
      <c r="Q851">
        <v>34.76</v>
      </c>
      <c r="R851">
        <f t="shared" si="79"/>
        <v>19.809999999999999</v>
      </c>
      <c r="S851">
        <v>32</v>
      </c>
      <c r="T851">
        <f t="shared" si="80"/>
        <v>1112.32</v>
      </c>
      <c r="U851">
        <v>0.02</v>
      </c>
      <c r="V851">
        <f t="shared" si="81"/>
        <v>22.246399999999998</v>
      </c>
      <c r="W851">
        <f t="shared" si="82"/>
        <v>1090.0735999999999</v>
      </c>
      <c r="X851">
        <v>8.2200000000000006</v>
      </c>
      <c r="Y851">
        <f t="shared" si="83"/>
        <v>1098.2936</v>
      </c>
    </row>
    <row r="852" spans="1:25" x14ac:dyDescent="0.25">
      <c r="A852" t="s">
        <v>1917</v>
      </c>
      <c r="B852">
        <v>42520</v>
      </c>
      <c r="C852" t="str">
        <f t="shared" si="78"/>
        <v>2016</v>
      </c>
      <c r="D852" t="s">
        <v>1860</v>
      </c>
      <c r="E852" t="s">
        <v>606</v>
      </c>
      <c r="F852" t="s">
        <v>448</v>
      </c>
      <c r="G852" t="s">
        <v>449</v>
      </c>
      <c r="H852" t="s">
        <v>241</v>
      </c>
      <c r="I852" t="s">
        <v>284</v>
      </c>
      <c r="J852" t="s">
        <v>304</v>
      </c>
      <c r="K852" t="s">
        <v>598</v>
      </c>
      <c r="L852" t="s">
        <v>268</v>
      </c>
      <c r="M852" t="s">
        <v>246</v>
      </c>
      <c r="N852" t="s">
        <v>247</v>
      </c>
      <c r="O852">
        <v>42520</v>
      </c>
      <c r="P852">
        <v>6.2</v>
      </c>
      <c r="Q852">
        <v>30.98</v>
      </c>
      <c r="R852">
        <f t="shared" si="79"/>
        <v>24.78</v>
      </c>
      <c r="S852">
        <v>24</v>
      </c>
      <c r="T852">
        <f t="shared" si="80"/>
        <v>743.52</v>
      </c>
      <c r="U852">
        <v>0.08</v>
      </c>
      <c r="V852">
        <f t="shared" si="81"/>
        <v>59.4816</v>
      </c>
      <c r="W852">
        <f t="shared" si="82"/>
        <v>684.03840000000002</v>
      </c>
      <c r="X852">
        <v>4</v>
      </c>
      <c r="Y852">
        <f t="shared" si="83"/>
        <v>688.03840000000002</v>
      </c>
    </row>
    <row r="853" spans="1:25" x14ac:dyDescent="0.25">
      <c r="A853" t="s">
        <v>1918</v>
      </c>
      <c r="B853">
        <v>42521</v>
      </c>
      <c r="C853" t="str">
        <f t="shared" si="78"/>
        <v>2016</v>
      </c>
      <c r="D853" t="s">
        <v>574</v>
      </c>
      <c r="E853" t="s">
        <v>575</v>
      </c>
      <c r="F853" t="s">
        <v>257</v>
      </c>
      <c r="G853" t="s">
        <v>258</v>
      </c>
      <c r="H853" t="s">
        <v>274</v>
      </c>
      <c r="I853" t="s">
        <v>381</v>
      </c>
      <c r="J853" t="s">
        <v>279</v>
      </c>
      <c r="K853" t="s">
        <v>353</v>
      </c>
      <c r="L853" t="s">
        <v>245</v>
      </c>
      <c r="M853" t="s">
        <v>323</v>
      </c>
      <c r="N853" t="s">
        <v>247</v>
      </c>
      <c r="O853">
        <v>42523</v>
      </c>
      <c r="P853">
        <v>0.94</v>
      </c>
      <c r="Q853">
        <v>2.08</v>
      </c>
      <c r="R853">
        <f t="shared" si="79"/>
        <v>1.1400000000000001</v>
      </c>
      <c r="S853">
        <v>49</v>
      </c>
      <c r="T853">
        <f t="shared" si="80"/>
        <v>101.92</v>
      </c>
      <c r="U853">
        <v>0.08</v>
      </c>
      <c r="V853">
        <f t="shared" si="81"/>
        <v>8.1536000000000008</v>
      </c>
      <c r="W853">
        <f t="shared" si="82"/>
        <v>93.766400000000004</v>
      </c>
      <c r="X853">
        <v>2.56</v>
      </c>
      <c r="Y853">
        <f t="shared" si="83"/>
        <v>96.326400000000007</v>
      </c>
    </row>
    <row r="854" spans="1:25" x14ac:dyDescent="0.25">
      <c r="A854" t="s">
        <v>1919</v>
      </c>
      <c r="B854">
        <v>42521</v>
      </c>
      <c r="C854" t="str">
        <f t="shared" si="78"/>
        <v>2016</v>
      </c>
      <c r="D854" t="s">
        <v>1102</v>
      </c>
      <c r="E854" t="s">
        <v>507</v>
      </c>
      <c r="F854" t="s">
        <v>448</v>
      </c>
      <c r="G854" t="s">
        <v>449</v>
      </c>
      <c r="H854" t="s">
        <v>293</v>
      </c>
      <c r="I854" t="s">
        <v>284</v>
      </c>
      <c r="J854" t="s">
        <v>243</v>
      </c>
      <c r="K854" t="s">
        <v>1130</v>
      </c>
      <c r="L854" t="s">
        <v>268</v>
      </c>
      <c r="M854" t="s">
        <v>246</v>
      </c>
      <c r="N854" t="s">
        <v>247</v>
      </c>
      <c r="O854">
        <v>42524</v>
      </c>
      <c r="P854">
        <v>14.7</v>
      </c>
      <c r="Q854">
        <v>29.99</v>
      </c>
      <c r="R854">
        <f t="shared" si="79"/>
        <v>15.29</v>
      </c>
      <c r="S854">
        <v>1</v>
      </c>
      <c r="T854">
        <f t="shared" si="80"/>
        <v>29.99</v>
      </c>
      <c r="U854">
        <v>0.04</v>
      </c>
      <c r="V854">
        <f t="shared" si="81"/>
        <v>1.1996</v>
      </c>
      <c r="W854">
        <f t="shared" si="82"/>
        <v>28.790399999999998</v>
      </c>
      <c r="X854">
        <v>5.5</v>
      </c>
      <c r="Y854">
        <f t="shared" si="83"/>
        <v>34.290399999999998</v>
      </c>
    </row>
    <row r="855" spans="1:25" x14ac:dyDescent="0.25">
      <c r="A855" t="s">
        <v>1920</v>
      </c>
      <c r="B855">
        <v>42523</v>
      </c>
      <c r="C855" t="str">
        <f t="shared" si="78"/>
        <v>2016</v>
      </c>
      <c r="D855" t="s">
        <v>513</v>
      </c>
      <c r="E855" t="s">
        <v>511</v>
      </c>
      <c r="F855" t="s">
        <v>257</v>
      </c>
      <c r="G855" t="s">
        <v>258</v>
      </c>
      <c r="H855" t="s">
        <v>274</v>
      </c>
      <c r="I855" t="s">
        <v>381</v>
      </c>
      <c r="J855" t="s">
        <v>261</v>
      </c>
      <c r="K855" t="s">
        <v>1728</v>
      </c>
      <c r="L855" t="s">
        <v>245</v>
      </c>
      <c r="M855" t="s">
        <v>253</v>
      </c>
      <c r="N855" t="s">
        <v>247</v>
      </c>
      <c r="O855">
        <v>42525</v>
      </c>
      <c r="P855">
        <v>3.95</v>
      </c>
      <c r="Q855">
        <v>6.08</v>
      </c>
      <c r="R855">
        <f t="shared" si="79"/>
        <v>2.13</v>
      </c>
      <c r="S855">
        <v>50</v>
      </c>
      <c r="T855">
        <f t="shared" si="80"/>
        <v>304</v>
      </c>
      <c r="U855">
        <v>0.09</v>
      </c>
      <c r="V855">
        <f t="shared" si="81"/>
        <v>27.36</v>
      </c>
      <c r="W855">
        <f t="shared" si="82"/>
        <v>276.64</v>
      </c>
      <c r="X855">
        <v>1.82</v>
      </c>
      <c r="Y855">
        <f t="shared" si="83"/>
        <v>278.45999999999998</v>
      </c>
    </row>
    <row r="856" spans="1:25" x14ac:dyDescent="0.25">
      <c r="A856" t="s">
        <v>1921</v>
      </c>
      <c r="B856">
        <v>42524</v>
      </c>
      <c r="C856" t="str">
        <f t="shared" si="78"/>
        <v>2016</v>
      </c>
      <c r="D856" t="s">
        <v>442</v>
      </c>
      <c r="E856" t="s">
        <v>1698</v>
      </c>
      <c r="F856" t="s">
        <v>257</v>
      </c>
      <c r="G856" t="s">
        <v>258</v>
      </c>
      <c r="H856" t="s">
        <v>293</v>
      </c>
      <c r="I856" t="s">
        <v>275</v>
      </c>
      <c r="J856" t="s">
        <v>261</v>
      </c>
      <c r="K856" t="s">
        <v>617</v>
      </c>
      <c r="L856" t="s">
        <v>245</v>
      </c>
      <c r="M856" t="s">
        <v>246</v>
      </c>
      <c r="N856" t="s">
        <v>247</v>
      </c>
      <c r="O856">
        <v>42525</v>
      </c>
      <c r="P856">
        <v>1.94</v>
      </c>
      <c r="Q856">
        <v>3.08</v>
      </c>
      <c r="R856">
        <f t="shared" si="79"/>
        <v>1.1400000000000001</v>
      </c>
      <c r="S856">
        <v>11</v>
      </c>
      <c r="T856">
        <f t="shared" si="80"/>
        <v>33.880000000000003</v>
      </c>
      <c r="U856">
        <v>0.03</v>
      </c>
      <c r="V856">
        <f t="shared" si="81"/>
        <v>1.0164</v>
      </c>
      <c r="W856">
        <f t="shared" si="82"/>
        <v>32.863600000000005</v>
      </c>
      <c r="X856">
        <v>0.99</v>
      </c>
      <c r="Y856">
        <f t="shared" si="83"/>
        <v>33.853600000000007</v>
      </c>
    </row>
    <row r="857" spans="1:25" x14ac:dyDescent="0.25">
      <c r="A857" t="s">
        <v>1922</v>
      </c>
      <c r="B857">
        <v>42524</v>
      </c>
      <c r="C857" t="str">
        <f t="shared" si="78"/>
        <v>2016</v>
      </c>
      <c r="D857" t="s">
        <v>1923</v>
      </c>
      <c r="E857" t="s">
        <v>1178</v>
      </c>
      <c r="F857" t="s">
        <v>257</v>
      </c>
      <c r="G857" t="s">
        <v>258</v>
      </c>
      <c r="H857" t="s">
        <v>293</v>
      </c>
      <c r="I857" t="s">
        <v>504</v>
      </c>
      <c r="J857" t="s">
        <v>294</v>
      </c>
      <c r="K857" t="s">
        <v>317</v>
      </c>
      <c r="L857" t="s">
        <v>245</v>
      </c>
      <c r="M857" t="s">
        <v>253</v>
      </c>
      <c r="N857" t="s">
        <v>247</v>
      </c>
      <c r="O857">
        <v>42526</v>
      </c>
      <c r="P857">
        <v>0.71</v>
      </c>
      <c r="Q857">
        <v>1.1399999999999999</v>
      </c>
      <c r="R857">
        <f t="shared" si="79"/>
        <v>0.42999999999999994</v>
      </c>
      <c r="S857">
        <v>3</v>
      </c>
      <c r="T857">
        <f t="shared" si="80"/>
        <v>3.42</v>
      </c>
      <c r="U857">
        <v>0.1</v>
      </c>
      <c r="V857">
        <f t="shared" si="81"/>
        <v>0.34200000000000003</v>
      </c>
      <c r="W857">
        <f t="shared" si="82"/>
        <v>3.0779999999999998</v>
      </c>
      <c r="X857">
        <v>0.7</v>
      </c>
      <c r="Y857">
        <f t="shared" si="83"/>
        <v>3.7779999999999996</v>
      </c>
    </row>
    <row r="858" spans="1:25" x14ac:dyDescent="0.25">
      <c r="A858" t="s">
        <v>1924</v>
      </c>
      <c r="B858">
        <v>42532</v>
      </c>
      <c r="C858" t="str">
        <f t="shared" si="78"/>
        <v>2016</v>
      </c>
      <c r="D858" t="s">
        <v>1503</v>
      </c>
      <c r="E858" t="s">
        <v>760</v>
      </c>
      <c r="F858" t="s">
        <v>448</v>
      </c>
      <c r="G858" t="s">
        <v>449</v>
      </c>
      <c r="H858" t="s">
        <v>259</v>
      </c>
      <c r="I858" t="s">
        <v>333</v>
      </c>
      <c r="J858" t="s">
        <v>261</v>
      </c>
      <c r="K858" t="s">
        <v>578</v>
      </c>
      <c r="L858" t="s">
        <v>245</v>
      </c>
      <c r="M858" t="s">
        <v>253</v>
      </c>
      <c r="N858" t="s">
        <v>247</v>
      </c>
      <c r="O858">
        <v>42533</v>
      </c>
      <c r="P858">
        <v>1.31</v>
      </c>
      <c r="Q858">
        <v>2.84</v>
      </c>
      <c r="R858">
        <f t="shared" si="79"/>
        <v>1.5299999999999998</v>
      </c>
      <c r="S858">
        <v>9</v>
      </c>
      <c r="T858">
        <f t="shared" si="80"/>
        <v>25.56</v>
      </c>
      <c r="U858">
        <v>0.08</v>
      </c>
      <c r="V858">
        <f t="shared" si="81"/>
        <v>2.0448</v>
      </c>
      <c r="W858">
        <f t="shared" si="82"/>
        <v>23.5152</v>
      </c>
      <c r="X858">
        <v>0.93</v>
      </c>
      <c r="Y858">
        <f t="shared" si="83"/>
        <v>24.4452</v>
      </c>
    </row>
    <row r="859" spans="1:25" x14ac:dyDescent="0.25">
      <c r="A859" t="s">
        <v>1925</v>
      </c>
      <c r="B859">
        <v>42534</v>
      </c>
      <c r="C859" t="str">
        <f t="shared" si="78"/>
        <v>2016</v>
      </c>
      <c r="D859" t="s">
        <v>1253</v>
      </c>
      <c r="E859" t="s">
        <v>346</v>
      </c>
      <c r="F859" t="s">
        <v>257</v>
      </c>
      <c r="G859" t="s">
        <v>258</v>
      </c>
      <c r="H859" t="s">
        <v>241</v>
      </c>
      <c r="I859" t="s">
        <v>309</v>
      </c>
      <c r="J859" t="s">
        <v>261</v>
      </c>
      <c r="K859" t="s">
        <v>377</v>
      </c>
      <c r="L859" t="s">
        <v>268</v>
      </c>
      <c r="M859" t="s">
        <v>246</v>
      </c>
      <c r="N859" t="s">
        <v>247</v>
      </c>
      <c r="O859">
        <v>42536</v>
      </c>
      <c r="P859">
        <v>32.020000000000003</v>
      </c>
      <c r="Q859">
        <v>152.47999999999999</v>
      </c>
      <c r="R859">
        <f t="shared" si="79"/>
        <v>120.45999999999998</v>
      </c>
      <c r="S859">
        <v>12</v>
      </c>
      <c r="T859">
        <f t="shared" si="80"/>
        <v>1829.7599999999998</v>
      </c>
      <c r="U859">
        <v>0.1</v>
      </c>
      <c r="V859">
        <f t="shared" si="81"/>
        <v>182.976</v>
      </c>
      <c r="W859">
        <f t="shared" si="82"/>
        <v>1646.7839999999997</v>
      </c>
      <c r="X859">
        <v>4</v>
      </c>
      <c r="Y859">
        <f t="shared" si="83"/>
        <v>1650.7839999999997</v>
      </c>
    </row>
    <row r="860" spans="1:25" x14ac:dyDescent="0.25">
      <c r="A860" t="s">
        <v>1926</v>
      </c>
      <c r="B860">
        <v>42535</v>
      </c>
      <c r="C860" t="str">
        <f t="shared" si="78"/>
        <v>2016</v>
      </c>
      <c r="D860" t="s">
        <v>1718</v>
      </c>
      <c r="E860" t="s">
        <v>356</v>
      </c>
      <c r="F860" t="s">
        <v>239</v>
      </c>
      <c r="G860" t="s">
        <v>240</v>
      </c>
      <c r="H860" t="s">
        <v>241</v>
      </c>
      <c r="I860" t="s">
        <v>251</v>
      </c>
      <c r="J860" t="s">
        <v>279</v>
      </c>
      <c r="K860" t="s">
        <v>413</v>
      </c>
      <c r="L860" t="s">
        <v>268</v>
      </c>
      <c r="M860" t="s">
        <v>414</v>
      </c>
      <c r="N860" t="s">
        <v>247</v>
      </c>
      <c r="O860">
        <v>42535</v>
      </c>
      <c r="P860">
        <v>8.82</v>
      </c>
      <c r="Q860">
        <v>20.99</v>
      </c>
      <c r="R860">
        <f t="shared" si="79"/>
        <v>12.169999999999998</v>
      </c>
      <c r="S860">
        <v>2</v>
      </c>
      <c r="T860">
        <f t="shared" si="80"/>
        <v>41.98</v>
      </c>
      <c r="U860">
        <v>0.01</v>
      </c>
      <c r="V860">
        <f t="shared" si="81"/>
        <v>0.41979999999999995</v>
      </c>
      <c r="W860">
        <f t="shared" si="82"/>
        <v>41.560199999999995</v>
      </c>
      <c r="X860">
        <v>4.8099999999999996</v>
      </c>
      <c r="Y860">
        <f t="shared" si="83"/>
        <v>46.370199999999997</v>
      </c>
    </row>
    <row r="861" spans="1:25" x14ac:dyDescent="0.25">
      <c r="A861" t="s">
        <v>1927</v>
      </c>
      <c r="B861">
        <v>42535</v>
      </c>
      <c r="C861" t="str">
        <f t="shared" si="78"/>
        <v>2016</v>
      </c>
      <c r="D861" t="s">
        <v>980</v>
      </c>
      <c r="E861" t="s">
        <v>928</v>
      </c>
      <c r="F861" t="s">
        <v>257</v>
      </c>
      <c r="G861" t="s">
        <v>258</v>
      </c>
      <c r="H861" t="s">
        <v>241</v>
      </c>
      <c r="I861" t="s">
        <v>284</v>
      </c>
      <c r="J861" t="s">
        <v>243</v>
      </c>
      <c r="K861" t="s">
        <v>377</v>
      </c>
      <c r="L861" t="s">
        <v>268</v>
      </c>
      <c r="M861" t="s">
        <v>246</v>
      </c>
      <c r="N861" t="s">
        <v>247</v>
      </c>
      <c r="O861">
        <v>42537</v>
      </c>
      <c r="P861">
        <v>32.020000000000003</v>
      </c>
      <c r="Q861">
        <v>152.47999999999999</v>
      </c>
      <c r="R861">
        <f t="shared" si="79"/>
        <v>120.45999999999998</v>
      </c>
      <c r="S861">
        <v>37</v>
      </c>
      <c r="T861">
        <f t="shared" si="80"/>
        <v>5641.7599999999993</v>
      </c>
      <c r="U861">
        <v>0.1</v>
      </c>
      <c r="V861">
        <f t="shared" si="81"/>
        <v>564.17599999999993</v>
      </c>
      <c r="W861">
        <f t="shared" si="82"/>
        <v>5077.5839999999989</v>
      </c>
      <c r="X861">
        <v>4</v>
      </c>
      <c r="Y861">
        <f t="shared" si="83"/>
        <v>5081.5839999999989</v>
      </c>
    </row>
    <row r="862" spans="1:25" x14ac:dyDescent="0.25">
      <c r="A862" t="s">
        <v>1928</v>
      </c>
      <c r="B862">
        <v>42535</v>
      </c>
      <c r="C862" t="str">
        <f t="shared" si="78"/>
        <v>2016</v>
      </c>
      <c r="D862" t="s">
        <v>980</v>
      </c>
      <c r="E862" t="s">
        <v>928</v>
      </c>
      <c r="F862" t="s">
        <v>257</v>
      </c>
      <c r="G862" t="s">
        <v>258</v>
      </c>
      <c r="H862" t="s">
        <v>241</v>
      </c>
      <c r="I862" t="s">
        <v>284</v>
      </c>
      <c r="J862" t="s">
        <v>243</v>
      </c>
      <c r="K862" t="s">
        <v>488</v>
      </c>
      <c r="L862" t="s">
        <v>268</v>
      </c>
      <c r="M862" t="s">
        <v>323</v>
      </c>
      <c r="N862" t="s">
        <v>247</v>
      </c>
      <c r="O862">
        <v>42537</v>
      </c>
      <c r="P862">
        <v>20.18</v>
      </c>
      <c r="Q862">
        <v>35.409999999999997</v>
      </c>
      <c r="R862">
        <f t="shared" si="79"/>
        <v>15.229999999999997</v>
      </c>
      <c r="S862">
        <v>30</v>
      </c>
      <c r="T862">
        <f t="shared" si="80"/>
        <v>1062.3</v>
      </c>
      <c r="U862">
        <v>0.08</v>
      </c>
      <c r="V862">
        <f t="shared" si="81"/>
        <v>84.983999999999995</v>
      </c>
      <c r="W862">
        <f t="shared" si="82"/>
        <v>977.31599999999992</v>
      </c>
      <c r="X862">
        <v>1.99</v>
      </c>
      <c r="Y862">
        <f t="shared" si="83"/>
        <v>979.30599999999993</v>
      </c>
    </row>
    <row r="863" spans="1:25" x14ac:dyDescent="0.25">
      <c r="A863" t="s">
        <v>1929</v>
      </c>
      <c r="B863">
        <v>42535</v>
      </c>
      <c r="C863" t="str">
        <f t="shared" si="78"/>
        <v>2016</v>
      </c>
      <c r="D863" t="s">
        <v>1930</v>
      </c>
      <c r="E863" t="s">
        <v>424</v>
      </c>
      <c r="F863" t="s">
        <v>257</v>
      </c>
      <c r="G863" t="s">
        <v>258</v>
      </c>
      <c r="H863" t="s">
        <v>259</v>
      </c>
      <c r="I863" t="s">
        <v>299</v>
      </c>
      <c r="J863" t="s">
        <v>261</v>
      </c>
      <c r="K863" t="s">
        <v>285</v>
      </c>
      <c r="L863" t="s">
        <v>245</v>
      </c>
      <c r="M863" t="s">
        <v>246</v>
      </c>
      <c r="N863" t="s">
        <v>263</v>
      </c>
      <c r="O863">
        <v>42536</v>
      </c>
      <c r="P863">
        <v>99.39</v>
      </c>
      <c r="Q863">
        <v>162.93</v>
      </c>
      <c r="R863">
        <f t="shared" si="79"/>
        <v>63.540000000000006</v>
      </c>
      <c r="S863">
        <v>36</v>
      </c>
      <c r="T863">
        <f t="shared" si="80"/>
        <v>5865.4800000000005</v>
      </c>
      <c r="U863">
        <v>0.05</v>
      </c>
      <c r="V863">
        <f t="shared" si="81"/>
        <v>293.27400000000006</v>
      </c>
      <c r="W863">
        <f t="shared" si="82"/>
        <v>5572.2060000000001</v>
      </c>
      <c r="X863">
        <v>19.989999999999998</v>
      </c>
      <c r="Y863">
        <f t="shared" si="83"/>
        <v>5592.1959999999999</v>
      </c>
    </row>
    <row r="864" spans="1:25" x14ac:dyDescent="0.25">
      <c r="A864" t="s">
        <v>1931</v>
      </c>
      <c r="B864">
        <v>42535</v>
      </c>
      <c r="C864" t="str">
        <f t="shared" si="78"/>
        <v>2016</v>
      </c>
      <c r="D864" t="s">
        <v>1718</v>
      </c>
      <c r="E864" t="s">
        <v>356</v>
      </c>
      <c r="F864" t="s">
        <v>239</v>
      </c>
      <c r="G864" t="s">
        <v>240</v>
      </c>
      <c r="H864" t="s">
        <v>241</v>
      </c>
      <c r="I864" t="s">
        <v>251</v>
      </c>
      <c r="J864" t="s">
        <v>279</v>
      </c>
      <c r="K864" t="s">
        <v>317</v>
      </c>
      <c r="L864" t="s">
        <v>245</v>
      </c>
      <c r="M864" t="s">
        <v>253</v>
      </c>
      <c r="N864" t="s">
        <v>247</v>
      </c>
      <c r="O864">
        <v>42540</v>
      </c>
      <c r="P864">
        <v>0.71</v>
      </c>
      <c r="Q864">
        <v>1.1399999999999999</v>
      </c>
      <c r="R864">
        <f t="shared" si="79"/>
        <v>0.42999999999999994</v>
      </c>
      <c r="S864">
        <v>31</v>
      </c>
      <c r="T864">
        <f t="shared" si="80"/>
        <v>35.339999999999996</v>
      </c>
      <c r="U864">
        <v>7.0000000000000007E-2</v>
      </c>
      <c r="V864">
        <f t="shared" si="81"/>
        <v>2.4737999999999998</v>
      </c>
      <c r="W864">
        <f t="shared" si="82"/>
        <v>32.866199999999999</v>
      </c>
      <c r="X864">
        <v>0.7</v>
      </c>
      <c r="Y864">
        <f t="shared" si="83"/>
        <v>33.566200000000002</v>
      </c>
    </row>
    <row r="865" spans="1:25" x14ac:dyDescent="0.25">
      <c r="A865" t="s">
        <v>1932</v>
      </c>
      <c r="B865">
        <v>42536</v>
      </c>
      <c r="C865" t="str">
        <f t="shared" si="78"/>
        <v>2016</v>
      </c>
      <c r="D865" t="s">
        <v>1251</v>
      </c>
      <c r="E865" t="s">
        <v>1080</v>
      </c>
      <c r="F865" t="s">
        <v>257</v>
      </c>
      <c r="G865" t="s">
        <v>258</v>
      </c>
      <c r="H865" t="s">
        <v>241</v>
      </c>
      <c r="I865" t="s">
        <v>284</v>
      </c>
      <c r="J865" t="s">
        <v>279</v>
      </c>
      <c r="K865" t="s">
        <v>421</v>
      </c>
      <c r="L865" t="s">
        <v>245</v>
      </c>
      <c r="M865" t="s">
        <v>246</v>
      </c>
      <c r="N865" t="s">
        <v>247</v>
      </c>
      <c r="O865">
        <v>42538</v>
      </c>
      <c r="P865">
        <v>13.88</v>
      </c>
      <c r="Q865">
        <v>22.38</v>
      </c>
      <c r="R865">
        <f t="shared" si="79"/>
        <v>8.4999999999999982</v>
      </c>
      <c r="S865">
        <v>11</v>
      </c>
      <c r="T865">
        <f t="shared" si="80"/>
        <v>246.17999999999998</v>
      </c>
      <c r="U865">
        <v>0.01</v>
      </c>
      <c r="V865">
        <f t="shared" si="81"/>
        <v>2.4617999999999998</v>
      </c>
      <c r="W865">
        <f t="shared" si="82"/>
        <v>243.71819999999997</v>
      </c>
      <c r="X865">
        <v>15.1</v>
      </c>
      <c r="Y865">
        <f t="shared" si="83"/>
        <v>258.81819999999999</v>
      </c>
    </row>
    <row r="866" spans="1:25" x14ac:dyDescent="0.25">
      <c r="A866" t="s">
        <v>1933</v>
      </c>
      <c r="B866">
        <v>42536</v>
      </c>
      <c r="C866" t="str">
        <f t="shared" si="78"/>
        <v>2016</v>
      </c>
      <c r="D866" t="s">
        <v>495</v>
      </c>
      <c r="E866" t="s">
        <v>402</v>
      </c>
      <c r="F866" t="s">
        <v>257</v>
      </c>
      <c r="G866" t="s">
        <v>258</v>
      </c>
      <c r="H866" t="s">
        <v>259</v>
      </c>
      <c r="I866" t="s">
        <v>333</v>
      </c>
      <c r="J866" t="s">
        <v>294</v>
      </c>
      <c r="K866" t="s">
        <v>276</v>
      </c>
      <c r="L866" t="s">
        <v>245</v>
      </c>
      <c r="M866" t="s">
        <v>253</v>
      </c>
      <c r="N866" t="s">
        <v>263</v>
      </c>
      <c r="O866">
        <v>42538</v>
      </c>
      <c r="P866">
        <v>0.9</v>
      </c>
      <c r="Q866">
        <v>2.1</v>
      </c>
      <c r="R866">
        <f t="shared" si="79"/>
        <v>1.2000000000000002</v>
      </c>
      <c r="S866">
        <v>31</v>
      </c>
      <c r="T866">
        <f t="shared" si="80"/>
        <v>65.100000000000009</v>
      </c>
      <c r="U866">
        <v>0.08</v>
      </c>
      <c r="V866">
        <f t="shared" si="81"/>
        <v>5.2080000000000011</v>
      </c>
      <c r="W866">
        <f t="shared" si="82"/>
        <v>59.89200000000001</v>
      </c>
      <c r="X866">
        <v>0.7</v>
      </c>
      <c r="Y866">
        <f t="shared" si="83"/>
        <v>60.592000000000013</v>
      </c>
    </row>
    <row r="867" spans="1:25" x14ac:dyDescent="0.25">
      <c r="A867" t="s">
        <v>1934</v>
      </c>
      <c r="B867">
        <v>42539</v>
      </c>
      <c r="C867" t="str">
        <f t="shared" si="78"/>
        <v>2016</v>
      </c>
      <c r="D867" t="s">
        <v>1888</v>
      </c>
      <c r="E867" t="s">
        <v>467</v>
      </c>
      <c r="F867" t="s">
        <v>257</v>
      </c>
      <c r="G867" t="s">
        <v>258</v>
      </c>
      <c r="H867" t="s">
        <v>241</v>
      </c>
      <c r="I867" t="s">
        <v>342</v>
      </c>
      <c r="J867" t="s">
        <v>279</v>
      </c>
      <c r="K867" t="s">
        <v>343</v>
      </c>
      <c r="L867" t="s">
        <v>268</v>
      </c>
      <c r="M867" t="s">
        <v>246</v>
      </c>
      <c r="N867" t="s">
        <v>247</v>
      </c>
      <c r="O867">
        <v>42541</v>
      </c>
      <c r="P867">
        <v>81.59</v>
      </c>
      <c r="Q867">
        <v>159.99</v>
      </c>
      <c r="R867">
        <f t="shared" si="79"/>
        <v>78.400000000000006</v>
      </c>
      <c r="S867">
        <v>31</v>
      </c>
      <c r="T867">
        <f t="shared" si="80"/>
        <v>4959.6900000000005</v>
      </c>
      <c r="U867">
        <v>0.01</v>
      </c>
      <c r="V867">
        <f t="shared" si="81"/>
        <v>49.596900000000005</v>
      </c>
      <c r="W867">
        <f t="shared" si="82"/>
        <v>4910.0931</v>
      </c>
      <c r="X867">
        <v>5.5</v>
      </c>
      <c r="Y867">
        <f t="shared" si="83"/>
        <v>4915.5931</v>
      </c>
    </row>
    <row r="868" spans="1:25" x14ac:dyDescent="0.25">
      <c r="A868" t="s">
        <v>1935</v>
      </c>
      <c r="B868">
        <v>42540</v>
      </c>
      <c r="C868" t="str">
        <f t="shared" si="78"/>
        <v>2016</v>
      </c>
      <c r="D868" t="s">
        <v>1936</v>
      </c>
      <c r="E868" t="s">
        <v>1418</v>
      </c>
      <c r="F868" t="s">
        <v>257</v>
      </c>
      <c r="G868" t="s">
        <v>258</v>
      </c>
      <c r="H868" t="s">
        <v>274</v>
      </c>
      <c r="I868" t="s">
        <v>309</v>
      </c>
      <c r="J868" t="s">
        <v>304</v>
      </c>
      <c r="K868" t="s">
        <v>718</v>
      </c>
      <c r="L868" t="s">
        <v>245</v>
      </c>
      <c r="M868" t="s">
        <v>323</v>
      </c>
      <c r="N868" t="s">
        <v>247</v>
      </c>
      <c r="O868">
        <v>42541</v>
      </c>
      <c r="P868">
        <v>2.5</v>
      </c>
      <c r="Q868">
        <v>5.68</v>
      </c>
      <c r="R868">
        <f t="shared" si="79"/>
        <v>3.1799999999999997</v>
      </c>
      <c r="S868">
        <v>27</v>
      </c>
      <c r="T868">
        <f t="shared" si="80"/>
        <v>153.35999999999999</v>
      </c>
      <c r="U868">
        <v>0.03</v>
      </c>
      <c r="V868">
        <f t="shared" si="81"/>
        <v>4.6007999999999996</v>
      </c>
      <c r="W868">
        <f t="shared" si="82"/>
        <v>148.75919999999999</v>
      </c>
      <c r="X868">
        <v>3.6</v>
      </c>
      <c r="Y868">
        <f t="shared" si="83"/>
        <v>152.35919999999999</v>
      </c>
    </row>
    <row r="869" spans="1:25" x14ac:dyDescent="0.25">
      <c r="A869" t="s">
        <v>1937</v>
      </c>
      <c r="B869">
        <v>42541</v>
      </c>
      <c r="C869" t="str">
        <f t="shared" si="78"/>
        <v>2016</v>
      </c>
      <c r="D869" t="s">
        <v>1938</v>
      </c>
      <c r="E869" t="s">
        <v>1348</v>
      </c>
      <c r="F869" t="s">
        <v>257</v>
      </c>
      <c r="G869" t="s">
        <v>258</v>
      </c>
      <c r="H869" t="s">
        <v>274</v>
      </c>
      <c r="I869" t="s">
        <v>492</v>
      </c>
      <c r="J869" t="s">
        <v>243</v>
      </c>
      <c r="K869" t="s">
        <v>425</v>
      </c>
      <c r="L869" t="s">
        <v>245</v>
      </c>
      <c r="M869" t="s">
        <v>253</v>
      </c>
      <c r="N869" t="s">
        <v>247</v>
      </c>
      <c r="O869">
        <v>42542</v>
      </c>
      <c r="P869">
        <v>21.56</v>
      </c>
      <c r="Q869">
        <v>36.549999999999997</v>
      </c>
      <c r="R869">
        <f t="shared" si="79"/>
        <v>14.989999999999998</v>
      </c>
      <c r="S869">
        <v>34</v>
      </c>
      <c r="T869">
        <f t="shared" si="80"/>
        <v>1242.6999999999998</v>
      </c>
      <c r="U869">
        <v>0.1</v>
      </c>
      <c r="V869">
        <f t="shared" si="81"/>
        <v>124.26999999999998</v>
      </c>
      <c r="W869">
        <f t="shared" si="82"/>
        <v>1118.4299999999998</v>
      </c>
      <c r="X869">
        <v>13.89</v>
      </c>
      <c r="Y869">
        <f t="shared" si="83"/>
        <v>1132.32</v>
      </c>
    </row>
    <row r="870" spans="1:25" x14ac:dyDescent="0.25">
      <c r="A870" t="s">
        <v>1939</v>
      </c>
      <c r="B870">
        <v>42541</v>
      </c>
      <c r="C870" t="str">
        <f t="shared" si="78"/>
        <v>2016</v>
      </c>
      <c r="D870" t="s">
        <v>1027</v>
      </c>
      <c r="E870" t="s">
        <v>727</v>
      </c>
      <c r="F870" t="s">
        <v>257</v>
      </c>
      <c r="G870" t="s">
        <v>258</v>
      </c>
      <c r="H870" t="s">
        <v>274</v>
      </c>
      <c r="I870" t="s">
        <v>333</v>
      </c>
      <c r="J870" t="s">
        <v>304</v>
      </c>
      <c r="K870" t="s">
        <v>630</v>
      </c>
      <c r="L870" t="s">
        <v>245</v>
      </c>
      <c r="M870" t="s">
        <v>253</v>
      </c>
      <c r="N870" t="s">
        <v>263</v>
      </c>
      <c r="O870">
        <v>42541</v>
      </c>
      <c r="P870">
        <v>1.53</v>
      </c>
      <c r="Q870">
        <v>2.78</v>
      </c>
      <c r="R870">
        <f t="shared" si="79"/>
        <v>1.2499999999999998</v>
      </c>
      <c r="S870">
        <v>47</v>
      </c>
      <c r="T870">
        <f t="shared" si="80"/>
        <v>130.66</v>
      </c>
      <c r="U870">
        <v>0.1</v>
      </c>
      <c r="V870">
        <f t="shared" si="81"/>
        <v>13.066000000000001</v>
      </c>
      <c r="W870">
        <f t="shared" si="82"/>
        <v>117.59399999999999</v>
      </c>
      <c r="X870">
        <v>1.34</v>
      </c>
      <c r="Y870">
        <f t="shared" si="83"/>
        <v>118.934</v>
      </c>
    </row>
    <row r="871" spans="1:25" x14ac:dyDescent="0.25">
      <c r="A871" t="s">
        <v>1940</v>
      </c>
      <c r="B871">
        <v>42541</v>
      </c>
      <c r="C871" t="str">
        <f t="shared" si="78"/>
        <v>2016</v>
      </c>
      <c r="D871" t="s">
        <v>1027</v>
      </c>
      <c r="E871" t="s">
        <v>727</v>
      </c>
      <c r="F871" t="s">
        <v>257</v>
      </c>
      <c r="G871" t="s">
        <v>258</v>
      </c>
      <c r="H871" t="s">
        <v>274</v>
      </c>
      <c r="I871" t="s">
        <v>333</v>
      </c>
      <c r="J871" t="s">
        <v>304</v>
      </c>
      <c r="K871" t="s">
        <v>529</v>
      </c>
      <c r="L871" t="s">
        <v>245</v>
      </c>
      <c r="M871" t="s">
        <v>253</v>
      </c>
      <c r="N871" t="s">
        <v>247</v>
      </c>
      <c r="O871">
        <v>42544</v>
      </c>
      <c r="P871">
        <v>1.6</v>
      </c>
      <c r="Q871">
        <v>2.62</v>
      </c>
      <c r="R871">
        <f t="shared" si="79"/>
        <v>1.02</v>
      </c>
      <c r="S871">
        <v>30</v>
      </c>
      <c r="T871">
        <f t="shared" si="80"/>
        <v>78.600000000000009</v>
      </c>
      <c r="U871">
        <v>0.05</v>
      </c>
      <c r="V871">
        <f t="shared" si="81"/>
        <v>3.9300000000000006</v>
      </c>
      <c r="W871">
        <f t="shared" si="82"/>
        <v>74.67</v>
      </c>
      <c r="X871">
        <v>0.8</v>
      </c>
      <c r="Y871">
        <f t="shared" si="83"/>
        <v>75.47</v>
      </c>
    </row>
    <row r="872" spans="1:25" x14ac:dyDescent="0.25">
      <c r="A872" t="s">
        <v>1941</v>
      </c>
      <c r="B872">
        <v>42546</v>
      </c>
      <c r="C872" t="str">
        <f t="shared" si="78"/>
        <v>2016</v>
      </c>
      <c r="D872" t="s">
        <v>1227</v>
      </c>
      <c r="E872" t="s">
        <v>760</v>
      </c>
      <c r="F872" t="s">
        <v>448</v>
      </c>
      <c r="G872" t="s">
        <v>449</v>
      </c>
      <c r="H872" t="s">
        <v>259</v>
      </c>
      <c r="I872" t="s">
        <v>333</v>
      </c>
      <c r="J872" t="s">
        <v>294</v>
      </c>
      <c r="K872" t="s">
        <v>519</v>
      </c>
      <c r="L872" t="s">
        <v>245</v>
      </c>
      <c r="M872" t="s">
        <v>253</v>
      </c>
      <c r="N872" t="s">
        <v>247</v>
      </c>
      <c r="O872">
        <v>42548</v>
      </c>
      <c r="P872">
        <v>2.9</v>
      </c>
      <c r="Q872">
        <v>4.76</v>
      </c>
      <c r="R872">
        <f t="shared" si="79"/>
        <v>1.8599999999999999</v>
      </c>
      <c r="S872">
        <v>5</v>
      </c>
      <c r="T872">
        <f t="shared" si="80"/>
        <v>23.799999999999997</v>
      </c>
      <c r="U872">
        <v>0.09</v>
      </c>
      <c r="V872">
        <f t="shared" si="81"/>
        <v>2.1419999999999995</v>
      </c>
      <c r="W872">
        <f t="shared" si="82"/>
        <v>21.657999999999998</v>
      </c>
      <c r="X872">
        <v>0.88</v>
      </c>
      <c r="Y872">
        <f t="shared" si="83"/>
        <v>22.537999999999997</v>
      </c>
    </row>
    <row r="873" spans="1:25" x14ac:dyDescent="0.25">
      <c r="A873" t="s">
        <v>1942</v>
      </c>
      <c r="B873">
        <v>42549</v>
      </c>
      <c r="C873" t="str">
        <f t="shared" si="78"/>
        <v>2016</v>
      </c>
      <c r="D873" t="s">
        <v>858</v>
      </c>
      <c r="E873" t="s">
        <v>650</v>
      </c>
      <c r="F873" t="s">
        <v>257</v>
      </c>
      <c r="G873" t="s">
        <v>258</v>
      </c>
      <c r="H873" t="s">
        <v>259</v>
      </c>
      <c r="I873" t="s">
        <v>299</v>
      </c>
      <c r="J873" t="s">
        <v>304</v>
      </c>
      <c r="K873" t="s">
        <v>625</v>
      </c>
      <c r="L873" t="s">
        <v>245</v>
      </c>
      <c r="M873" t="s">
        <v>246</v>
      </c>
      <c r="N873" t="s">
        <v>247</v>
      </c>
      <c r="O873">
        <v>42551</v>
      </c>
      <c r="P873">
        <v>1.84</v>
      </c>
      <c r="Q873">
        <v>2.88</v>
      </c>
      <c r="R873">
        <f t="shared" si="79"/>
        <v>1.0399999999999998</v>
      </c>
      <c r="S873">
        <v>25</v>
      </c>
      <c r="T873">
        <f t="shared" si="80"/>
        <v>72</v>
      </c>
      <c r="U873">
        <v>0.04</v>
      </c>
      <c r="V873">
        <f t="shared" si="81"/>
        <v>2.88</v>
      </c>
      <c r="W873">
        <f t="shared" si="82"/>
        <v>69.12</v>
      </c>
      <c r="X873">
        <v>1.49</v>
      </c>
      <c r="Y873">
        <f t="shared" si="83"/>
        <v>70.61</v>
      </c>
    </row>
    <row r="874" spans="1:25" x14ac:dyDescent="0.25">
      <c r="A874" t="s">
        <v>1943</v>
      </c>
      <c r="B874">
        <v>42550</v>
      </c>
      <c r="C874" t="str">
        <f t="shared" si="78"/>
        <v>2016</v>
      </c>
      <c r="D874" t="s">
        <v>1793</v>
      </c>
      <c r="E874" t="s">
        <v>1794</v>
      </c>
      <c r="F874" t="s">
        <v>448</v>
      </c>
      <c r="G874" t="s">
        <v>449</v>
      </c>
      <c r="H874" t="s">
        <v>293</v>
      </c>
      <c r="I874" t="s">
        <v>284</v>
      </c>
      <c r="J874" t="s">
        <v>279</v>
      </c>
      <c r="K874" t="s">
        <v>698</v>
      </c>
      <c r="L874" t="s">
        <v>245</v>
      </c>
      <c r="M874" t="s">
        <v>253</v>
      </c>
      <c r="N874" t="s">
        <v>263</v>
      </c>
      <c r="O874">
        <v>42555</v>
      </c>
      <c r="P874">
        <v>3.32</v>
      </c>
      <c r="Q874">
        <v>5.18</v>
      </c>
      <c r="R874">
        <f t="shared" si="79"/>
        <v>1.8599999999999999</v>
      </c>
      <c r="S874">
        <v>1</v>
      </c>
      <c r="T874">
        <f t="shared" si="80"/>
        <v>5.18</v>
      </c>
      <c r="U874">
        <v>0.02</v>
      </c>
      <c r="V874">
        <f t="shared" si="81"/>
        <v>0.1036</v>
      </c>
      <c r="W874">
        <f t="shared" si="82"/>
        <v>5.0763999999999996</v>
      </c>
      <c r="X874">
        <v>2.04</v>
      </c>
      <c r="Y874">
        <f t="shared" si="83"/>
        <v>7.1163999999999996</v>
      </c>
    </row>
    <row r="875" spans="1:25" x14ac:dyDescent="0.25">
      <c r="A875" t="s">
        <v>1944</v>
      </c>
      <c r="B875">
        <v>42550</v>
      </c>
      <c r="C875" t="str">
        <f t="shared" si="78"/>
        <v>2016</v>
      </c>
      <c r="D875" t="s">
        <v>1793</v>
      </c>
      <c r="E875" t="s">
        <v>1794</v>
      </c>
      <c r="F875" t="s">
        <v>448</v>
      </c>
      <c r="G875" t="s">
        <v>449</v>
      </c>
      <c r="H875" t="s">
        <v>293</v>
      </c>
      <c r="I875" t="s">
        <v>284</v>
      </c>
      <c r="J875" t="s">
        <v>279</v>
      </c>
      <c r="K875" t="s">
        <v>600</v>
      </c>
      <c r="L875" t="s">
        <v>245</v>
      </c>
      <c r="M875" t="s">
        <v>253</v>
      </c>
      <c r="N875" t="s">
        <v>247</v>
      </c>
      <c r="O875">
        <v>42554</v>
      </c>
      <c r="P875">
        <v>2.98</v>
      </c>
      <c r="Q875">
        <v>5.84</v>
      </c>
      <c r="R875">
        <f t="shared" si="79"/>
        <v>2.86</v>
      </c>
      <c r="S875">
        <v>4</v>
      </c>
      <c r="T875">
        <f t="shared" si="80"/>
        <v>23.36</v>
      </c>
      <c r="U875">
        <v>0.09</v>
      </c>
      <c r="V875">
        <f t="shared" si="81"/>
        <v>2.1023999999999998</v>
      </c>
      <c r="W875">
        <f t="shared" si="82"/>
        <v>21.2576</v>
      </c>
      <c r="X875">
        <v>0.83</v>
      </c>
      <c r="Y875">
        <f t="shared" si="83"/>
        <v>22.087599999999998</v>
      </c>
    </row>
    <row r="876" spans="1:25" x14ac:dyDescent="0.25">
      <c r="A876" t="s">
        <v>1945</v>
      </c>
      <c r="B876">
        <v>42550</v>
      </c>
      <c r="C876" t="str">
        <f t="shared" si="78"/>
        <v>2016</v>
      </c>
      <c r="D876" t="s">
        <v>1528</v>
      </c>
      <c r="E876" t="s">
        <v>341</v>
      </c>
      <c r="F876" t="s">
        <v>257</v>
      </c>
      <c r="G876" t="s">
        <v>258</v>
      </c>
      <c r="H876" t="s">
        <v>259</v>
      </c>
      <c r="I876" t="s">
        <v>342</v>
      </c>
      <c r="J876" t="s">
        <v>261</v>
      </c>
      <c r="K876" t="s">
        <v>872</v>
      </c>
      <c r="L876" t="s">
        <v>245</v>
      </c>
      <c r="M876" t="s">
        <v>246</v>
      </c>
      <c r="N876" t="s">
        <v>247</v>
      </c>
      <c r="O876">
        <v>42552</v>
      </c>
      <c r="P876">
        <v>3.14</v>
      </c>
      <c r="Q876">
        <v>4.91</v>
      </c>
      <c r="R876">
        <f t="shared" si="79"/>
        <v>1.77</v>
      </c>
      <c r="S876">
        <v>28</v>
      </c>
      <c r="T876">
        <f t="shared" si="80"/>
        <v>137.48000000000002</v>
      </c>
      <c r="U876">
        <v>0.08</v>
      </c>
      <c r="V876">
        <f t="shared" si="81"/>
        <v>10.998400000000002</v>
      </c>
      <c r="W876">
        <f t="shared" si="82"/>
        <v>126.48160000000001</v>
      </c>
      <c r="X876">
        <v>0.5</v>
      </c>
      <c r="Y876">
        <f t="shared" si="83"/>
        <v>126.98160000000001</v>
      </c>
    </row>
    <row r="877" spans="1:25" x14ac:dyDescent="0.25">
      <c r="A877" t="s">
        <v>1946</v>
      </c>
      <c r="B877">
        <v>42551</v>
      </c>
      <c r="C877" t="str">
        <f t="shared" si="78"/>
        <v>2016</v>
      </c>
      <c r="D877" t="s">
        <v>1947</v>
      </c>
      <c r="E877" t="s">
        <v>352</v>
      </c>
      <c r="F877" t="s">
        <v>257</v>
      </c>
      <c r="G877" t="s">
        <v>258</v>
      </c>
      <c r="H877" t="s">
        <v>274</v>
      </c>
      <c r="I877" t="s">
        <v>275</v>
      </c>
      <c r="J877" t="s">
        <v>279</v>
      </c>
      <c r="K877" t="s">
        <v>421</v>
      </c>
      <c r="L877" t="s">
        <v>245</v>
      </c>
      <c r="M877" t="s">
        <v>246</v>
      </c>
      <c r="N877" t="s">
        <v>247</v>
      </c>
      <c r="O877">
        <v>42553</v>
      </c>
      <c r="P877">
        <v>13.88</v>
      </c>
      <c r="Q877">
        <v>22.38</v>
      </c>
      <c r="R877">
        <f t="shared" si="79"/>
        <v>8.4999999999999982</v>
      </c>
      <c r="S877">
        <v>9</v>
      </c>
      <c r="T877">
        <f t="shared" si="80"/>
        <v>201.42</v>
      </c>
      <c r="U877">
        <v>0.03</v>
      </c>
      <c r="V877">
        <f t="shared" si="81"/>
        <v>6.0425999999999993</v>
      </c>
      <c r="W877">
        <f t="shared" si="82"/>
        <v>195.37739999999999</v>
      </c>
      <c r="X877">
        <v>15.1</v>
      </c>
      <c r="Y877">
        <f t="shared" si="83"/>
        <v>210.47739999999999</v>
      </c>
    </row>
    <row r="878" spans="1:25" x14ac:dyDescent="0.25">
      <c r="A878" t="s">
        <v>1948</v>
      </c>
      <c r="B878">
        <v>42551</v>
      </c>
      <c r="C878" t="str">
        <f t="shared" si="78"/>
        <v>2016</v>
      </c>
      <c r="D878" t="s">
        <v>1090</v>
      </c>
      <c r="E878" t="s">
        <v>835</v>
      </c>
      <c r="F878" t="s">
        <v>257</v>
      </c>
      <c r="G878" t="s">
        <v>258</v>
      </c>
      <c r="H878" t="s">
        <v>259</v>
      </c>
      <c r="I878" t="s">
        <v>284</v>
      </c>
      <c r="J878" t="s">
        <v>243</v>
      </c>
      <c r="K878" t="s">
        <v>582</v>
      </c>
      <c r="L878" t="s">
        <v>245</v>
      </c>
      <c r="M878" t="s">
        <v>253</v>
      </c>
      <c r="N878" t="s">
        <v>247</v>
      </c>
      <c r="O878">
        <v>42552</v>
      </c>
      <c r="P878">
        <v>0.24</v>
      </c>
      <c r="Q878">
        <v>1.26</v>
      </c>
      <c r="R878">
        <f t="shared" si="79"/>
        <v>1.02</v>
      </c>
      <c r="S878">
        <v>47</v>
      </c>
      <c r="T878">
        <f t="shared" si="80"/>
        <v>59.22</v>
      </c>
      <c r="U878">
        <v>0</v>
      </c>
      <c r="V878">
        <f t="shared" si="81"/>
        <v>0</v>
      </c>
      <c r="W878">
        <f t="shared" si="82"/>
        <v>59.22</v>
      </c>
      <c r="X878">
        <v>0.7</v>
      </c>
      <c r="Y878">
        <f t="shared" si="83"/>
        <v>59.92</v>
      </c>
    </row>
    <row r="879" spans="1:25" x14ac:dyDescent="0.25">
      <c r="A879" t="s">
        <v>1949</v>
      </c>
      <c r="B879">
        <v>42553</v>
      </c>
      <c r="C879" t="str">
        <f t="shared" si="78"/>
        <v>2016</v>
      </c>
      <c r="D879" t="s">
        <v>1441</v>
      </c>
      <c r="E879" t="s">
        <v>928</v>
      </c>
      <c r="F879" t="s">
        <v>257</v>
      </c>
      <c r="G879" t="s">
        <v>258</v>
      </c>
      <c r="H879" t="s">
        <v>241</v>
      </c>
      <c r="I879" t="s">
        <v>284</v>
      </c>
      <c r="J879" t="s">
        <v>243</v>
      </c>
      <c r="K879" t="s">
        <v>1119</v>
      </c>
      <c r="L879" t="s">
        <v>245</v>
      </c>
      <c r="M879" t="s">
        <v>246</v>
      </c>
      <c r="N879" t="s">
        <v>247</v>
      </c>
      <c r="O879">
        <v>42555</v>
      </c>
      <c r="P879">
        <v>1.84</v>
      </c>
      <c r="Q879">
        <v>2.88</v>
      </c>
      <c r="R879">
        <f t="shared" si="79"/>
        <v>1.0399999999999998</v>
      </c>
      <c r="S879">
        <v>18</v>
      </c>
      <c r="T879">
        <f t="shared" si="80"/>
        <v>51.839999999999996</v>
      </c>
      <c r="U879">
        <v>0.03</v>
      </c>
      <c r="V879">
        <f t="shared" si="81"/>
        <v>1.5551999999999999</v>
      </c>
      <c r="W879">
        <f t="shared" si="82"/>
        <v>50.284799999999997</v>
      </c>
      <c r="X879">
        <v>0.99</v>
      </c>
      <c r="Y879">
        <f t="shared" si="83"/>
        <v>51.274799999999999</v>
      </c>
    </row>
    <row r="880" spans="1:25" x14ac:dyDescent="0.25">
      <c r="A880" t="s">
        <v>1950</v>
      </c>
      <c r="B880">
        <v>42553</v>
      </c>
      <c r="C880" t="str">
        <f t="shared" si="78"/>
        <v>2016</v>
      </c>
      <c r="D880" t="s">
        <v>1458</v>
      </c>
      <c r="E880" t="s">
        <v>898</v>
      </c>
      <c r="F880" t="s">
        <v>257</v>
      </c>
      <c r="G880" t="s">
        <v>258</v>
      </c>
      <c r="H880" t="s">
        <v>259</v>
      </c>
      <c r="I880" t="s">
        <v>260</v>
      </c>
      <c r="J880" t="s">
        <v>261</v>
      </c>
      <c r="K880" t="s">
        <v>529</v>
      </c>
      <c r="L880" t="s">
        <v>245</v>
      </c>
      <c r="M880" t="s">
        <v>253</v>
      </c>
      <c r="N880" t="s">
        <v>247</v>
      </c>
      <c r="O880">
        <v>42555</v>
      </c>
      <c r="P880">
        <v>1.6</v>
      </c>
      <c r="Q880">
        <v>2.62</v>
      </c>
      <c r="R880">
        <f t="shared" si="79"/>
        <v>1.02</v>
      </c>
      <c r="S880">
        <v>16</v>
      </c>
      <c r="T880">
        <f t="shared" si="80"/>
        <v>41.92</v>
      </c>
      <c r="U880">
        <v>0.09</v>
      </c>
      <c r="V880">
        <f t="shared" si="81"/>
        <v>3.7728000000000002</v>
      </c>
      <c r="W880">
        <f t="shared" si="82"/>
        <v>38.147199999999998</v>
      </c>
      <c r="X880">
        <v>0.8</v>
      </c>
      <c r="Y880">
        <f t="shared" si="83"/>
        <v>38.947199999999995</v>
      </c>
    </row>
    <row r="881" spans="1:25" x14ac:dyDescent="0.25">
      <c r="A881" t="s">
        <v>1951</v>
      </c>
      <c r="B881">
        <v>42553</v>
      </c>
      <c r="C881" t="str">
        <f t="shared" si="78"/>
        <v>2016</v>
      </c>
      <c r="D881" t="s">
        <v>1952</v>
      </c>
      <c r="E881" t="s">
        <v>424</v>
      </c>
      <c r="F881" t="s">
        <v>257</v>
      </c>
      <c r="G881" t="s">
        <v>258</v>
      </c>
      <c r="H881" t="s">
        <v>241</v>
      </c>
      <c r="I881" t="s">
        <v>299</v>
      </c>
      <c r="J881" t="s">
        <v>279</v>
      </c>
      <c r="K881" t="s">
        <v>439</v>
      </c>
      <c r="L881" t="s">
        <v>440</v>
      </c>
      <c r="M881" t="s">
        <v>323</v>
      </c>
      <c r="N881" t="s">
        <v>247</v>
      </c>
      <c r="O881">
        <v>42560</v>
      </c>
      <c r="P881">
        <v>5.5</v>
      </c>
      <c r="Q881">
        <v>12.22</v>
      </c>
      <c r="R881">
        <f t="shared" si="79"/>
        <v>6.7200000000000006</v>
      </c>
      <c r="S881">
        <v>46</v>
      </c>
      <c r="T881">
        <f t="shared" si="80"/>
        <v>562.12</v>
      </c>
      <c r="U881">
        <v>0.03</v>
      </c>
      <c r="V881">
        <f t="shared" si="81"/>
        <v>16.863599999999998</v>
      </c>
      <c r="W881">
        <f t="shared" si="82"/>
        <v>545.25639999999999</v>
      </c>
      <c r="X881">
        <v>2.85</v>
      </c>
      <c r="Y881">
        <f t="shared" si="83"/>
        <v>548.10640000000001</v>
      </c>
    </row>
    <row r="882" spans="1:25" x14ac:dyDescent="0.25">
      <c r="A882" t="s">
        <v>1953</v>
      </c>
      <c r="B882">
        <v>42554</v>
      </c>
      <c r="C882" t="str">
        <f t="shared" si="78"/>
        <v>2016</v>
      </c>
      <c r="D882" t="s">
        <v>885</v>
      </c>
      <c r="E882" t="s">
        <v>463</v>
      </c>
      <c r="F882" t="s">
        <v>257</v>
      </c>
      <c r="G882" t="s">
        <v>258</v>
      </c>
      <c r="H882" t="s">
        <v>241</v>
      </c>
      <c r="I882" t="s">
        <v>333</v>
      </c>
      <c r="J882" t="s">
        <v>304</v>
      </c>
      <c r="K882" t="s">
        <v>1051</v>
      </c>
      <c r="L882" t="s">
        <v>245</v>
      </c>
      <c r="M882" t="s">
        <v>253</v>
      </c>
      <c r="N882" t="s">
        <v>247</v>
      </c>
      <c r="O882">
        <v>42556</v>
      </c>
      <c r="P882">
        <v>0.87</v>
      </c>
      <c r="Q882">
        <v>1.81</v>
      </c>
      <c r="R882">
        <f t="shared" si="79"/>
        <v>0.94000000000000006</v>
      </c>
      <c r="S882">
        <v>50</v>
      </c>
      <c r="T882">
        <f t="shared" si="80"/>
        <v>90.5</v>
      </c>
      <c r="U882">
        <v>0.08</v>
      </c>
      <c r="V882">
        <f t="shared" si="81"/>
        <v>7.24</v>
      </c>
      <c r="W882">
        <f t="shared" si="82"/>
        <v>83.26</v>
      </c>
      <c r="X882">
        <v>0.75</v>
      </c>
      <c r="Y882">
        <f t="shared" si="83"/>
        <v>84.01</v>
      </c>
    </row>
    <row r="883" spans="1:25" x14ac:dyDescent="0.25">
      <c r="A883" t="s">
        <v>1954</v>
      </c>
      <c r="B883">
        <v>42556</v>
      </c>
      <c r="C883" t="str">
        <f t="shared" si="78"/>
        <v>2016</v>
      </c>
      <c r="D883" t="s">
        <v>874</v>
      </c>
      <c r="E883" t="s">
        <v>438</v>
      </c>
      <c r="F883" t="s">
        <v>257</v>
      </c>
      <c r="G883" t="s">
        <v>258</v>
      </c>
      <c r="H883" t="s">
        <v>241</v>
      </c>
      <c r="I883" t="s">
        <v>309</v>
      </c>
      <c r="J883" t="s">
        <v>294</v>
      </c>
      <c r="K883" t="s">
        <v>634</v>
      </c>
      <c r="L883" t="s">
        <v>245</v>
      </c>
      <c r="M883" t="s">
        <v>246</v>
      </c>
      <c r="N883" t="s">
        <v>263</v>
      </c>
      <c r="O883">
        <v>42558</v>
      </c>
      <c r="P883">
        <v>2.2599999999999998</v>
      </c>
      <c r="Q883">
        <v>3.58</v>
      </c>
      <c r="R883">
        <f t="shared" si="79"/>
        <v>1.3200000000000003</v>
      </c>
      <c r="S883">
        <v>36</v>
      </c>
      <c r="T883">
        <f t="shared" si="80"/>
        <v>128.88</v>
      </c>
      <c r="U883">
        <v>0.04</v>
      </c>
      <c r="V883">
        <f t="shared" si="81"/>
        <v>5.1551999999999998</v>
      </c>
      <c r="W883">
        <f t="shared" si="82"/>
        <v>123.7248</v>
      </c>
      <c r="X883">
        <v>5.47</v>
      </c>
      <c r="Y883">
        <f t="shared" si="83"/>
        <v>129.19480000000001</v>
      </c>
    </row>
    <row r="884" spans="1:25" x14ac:dyDescent="0.25">
      <c r="A884" t="s">
        <v>1955</v>
      </c>
      <c r="B884">
        <v>42558</v>
      </c>
      <c r="C884" t="str">
        <f t="shared" si="78"/>
        <v>2016</v>
      </c>
      <c r="D884" t="s">
        <v>1956</v>
      </c>
      <c r="E884" t="s">
        <v>420</v>
      </c>
      <c r="F884" t="s">
        <v>239</v>
      </c>
      <c r="G884" t="s">
        <v>240</v>
      </c>
      <c r="H884" t="s">
        <v>241</v>
      </c>
      <c r="I884" t="s">
        <v>251</v>
      </c>
      <c r="J884" t="s">
        <v>243</v>
      </c>
      <c r="K884" t="s">
        <v>289</v>
      </c>
      <c r="L884" t="s">
        <v>245</v>
      </c>
      <c r="M884" t="s">
        <v>253</v>
      </c>
      <c r="N884" t="s">
        <v>247</v>
      </c>
      <c r="O884">
        <v>42559</v>
      </c>
      <c r="P884">
        <v>1.0900000000000001</v>
      </c>
      <c r="Q884">
        <v>1.68</v>
      </c>
      <c r="R884">
        <f t="shared" si="79"/>
        <v>0.58999999999999986</v>
      </c>
      <c r="S884">
        <v>50</v>
      </c>
      <c r="T884">
        <f t="shared" si="80"/>
        <v>84</v>
      </c>
      <c r="U884">
        <v>0.09</v>
      </c>
      <c r="V884">
        <f t="shared" si="81"/>
        <v>7.56</v>
      </c>
      <c r="W884">
        <f t="shared" si="82"/>
        <v>76.44</v>
      </c>
      <c r="X884">
        <v>1</v>
      </c>
      <c r="Y884">
        <f t="shared" si="83"/>
        <v>77.44</v>
      </c>
    </row>
    <row r="885" spans="1:25" x14ac:dyDescent="0.25">
      <c r="A885" t="s">
        <v>1957</v>
      </c>
      <c r="B885">
        <v>42562</v>
      </c>
      <c r="C885" t="str">
        <f t="shared" si="78"/>
        <v>2016</v>
      </c>
      <c r="D885" t="s">
        <v>1958</v>
      </c>
      <c r="E885" t="s">
        <v>273</v>
      </c>
      <c r="F885" t="s">
        <v>257</v>
      </c>
      <c r="G885" t="s">
        <v>258</v>
      </c>
      <c r="H885" t="s">
        <v>241</v>
      </c>
      <c r="I885" t="s">
        <v>275</v>
      </c>
      <c r="J885" t="s">
        <v>304</v>
      </c>
      <c r="K885" t="s">
        <v>485</v>
      </c>
      <c r="L885" t="s">
        <v>245</v>
      </c>
      <c r="M885" t="s">
        <v>253</v>
      </c>
      <c r="N885" t="s">
        <v>247</v>
      </c>
      <c r="O885">
        <v>42563</v>
      </c>
      <c r="P885">
        <v>3.48</v>
      </c>
      <c r="Q885">
        <v>5.43</v>
      </c>
      <c r="R885">
        <f t="shared" si="79"/>
        <v>1.9499999999999997</v>
      </c>
      <c r="S885">
        <v>2</v>
      </c>
      <c r="T885">
        <f t="shared" si="80"/>
        <v>10.86</v>
      </c>
      <c r="U885">
        <v>0.03</v>
      </c>
      <c r="V885">
        <f t="shared" si="81"/>
        <v>0.32579999999999998</v>
      </c>
      <c r="W885">
        <f t="shared" si="82"/>
        <v>10.5342</v>
      </c>
      <c r="X885">
        <v>0.95</v>
      </c>
      <c r="Y885">
        <f t="shared" si="83"/>
        <v>11.4842</v>
      </c>
    </row>
    <row r="886" spans="1:25" x14ac:dyDescent="0.25">
      <c r="A886" t="s">
        <v>1959</v>
      </c>
      <c r="B886">
        <v>42563</v>
      </c>
      <c r="C886" t="str">
        <f t="shared" si="78"/>
        <v>2016</v>
      </c>
      <c r="D886" t="s">
        <v>1960</v>
      </c>
      <c r="E886" t="s">
        <v>1001</v>
      </c>
      <c r="F886" t="s">
        <v>239</v>
      </c>
      <c r="G886" t="s">
        <v>240</v>
      </c>
      <c r="H886" t="s">
        <v>293</v>
      </c>
      <c r="I886" t="s">
        <v>251</v>
      </c>
      <c r="J886" t="s">
        <v>304</v>
      </c>
      <c r="K886" t="s">
        <v>603</v>
      </c>
      <c r="L886" t="s">
        <v>245</v>
      </c>
      <c r="M886" t="s">
        <v>246</v>
      </c>
      <c r="N886" t="s">
        <v>247</v>
      </c>
      <c r="O886">
        <v>42564</v>
      </c>
      <c r="P886">
        <v>3.65</v>
      </c>
      <c r="Q886">
        <v>5.98</v>
      </c>
      <c r="R886">
        <f t="shared" si="79"/>
        <v>2.3300000000000005</v>
      </c>
      <c r="S886">
        <v>22</v>
      </c>
      <c r="T886">
        <f t="shared" si="80"/>
        <v>131.56</v>
      </c>
      <c r="U886">
        <v>7.0000000000000007E-2</v>
      </c>
      <c r="V886">
        <f t="shared" si="81"/>
        <v>9.2092000000000009</v>
      </c>
      <c r="W886">
        <f t="shared" si="82"/>
        <v>122.35080000000001</v>
      </c>
      <c r="X886">
        <v>1.49</v>
      </c>
      <c r="Y886">
        <f t="shared" si="83"/>
        <v>123.8408</v>
      </c>
    </row>
    <row r="887" spans="1:25" x14ac:dyDescent="0.25">
      <c r="A887" t="s">
        <v>1961</v>
      </c>
      <c r="B887">
        <v>42567</v>
      </c>
      <c r="C887" t="str">
        <f t="shared" si="78"/>
        <v>2016</v>
      </c>
      <c r="D887" t="s">
        <v>733</v>
      </c>
      <c r="E887" t="s">
        <v>367</v>
      </c>
      <c r="F887" t="s">
        <v>239</v>
      </c>
      <c r="G887" t="s">
        <v>240</v>
      </c>
      <c r="H887" t="s">
        <v>241</v>
      </c>
      <c r="I887" t="s">
        <v>251</v>
      </c>
      <c r="J887" t="s">
        <v>243</v>
      </c>
      <c r="K887" t="s">
        <v>377</v>
      </c>
      <c r="L887" t="s">
        <v>268</v>
      </c>
      <c r="M887" t="s">
        <v>246</v>
      </c>
      <c r="N887" t="s">
        <v>247</v>
      </c>
      <c r="O887">
        <v>42569</v>
      </c>
      <c r="P887">
        <v>32.020000000000003</v>
      </c>
      <c r="Q887">
        <v>152.47999999999999</v>
      </c>
      <c r="R887">
        <f t="shared" si="79"/>
        <v>120.45999999999998</v>
      </c>
      <c r="S887">
        <v>2</v>
      </c>
      <c r="T887">
        <f t="shared" si="80"/>
        <v>304.95999999999998</v>
      </c>
      <c r="U887">
        <v>0.03</v>
      </c>
      <c r="V887">
        <f t="shared" si="81"/>
        <v>9.1487999999999996</v>
      </c>
      <c r="W887">
        <f t="shared" si="82"/>
        <v>295.81119999999999</v>
      </c>
      <c r="X887">
        <v>4</v>
      </c>
      <c r="Y887">
        <f t="shared" si="83"/>
        <v>299.81119999999999</v>
      </c>
    </row>
    <row r="888" spans="1:25" x14ac:dyDescent="0.25">
      <c r="A888" t="s">
        <v>1962</v>
      </c>
      <c r="B888">
        <v>42568</v>
      </c>
      <c r="C888" t="str">
        <f t="shared" si="78"/>
        <v>2016</v>
      </c>
      <c r="D888" t="s">
        <v>1206</v>
      </c>
      <c r="E888" t="s">
        <v>1207</v>
      </c>
      <c r="F888" t="s">
        <v>448</v>
      </c>
      <c r="G888" t="s">
        <v>449</v>
      </c>
      <c r="H888" t="s">
        <v>259</v>
      </c>
      <c r="I888" t="s">
        <v>299</v>
      </c>
      <c r="J888" t="s">
        <v>294</v>
      </c>
      <c r="K888" t="s">
        <v>849</v>
      </c>
      <c r="L888" t="s">
        <v>245</v>
      </c>
      <c r="M888" t="s">
        <v>253</v>
      </c>
      <c r="N888" t="s">
        <v>247</v>
      </c>
      <c r="O888">
        <v>42569</v>
      </c>
      <c r="P888">
        <v>0.93</v>
      </c>
      <c r="Q888">
        <v>1.6</v>
      </c>
      <c r="R888">
        <f t="shared" si="79"/>
        <v>0.67</v>
      </c>
      <c r="S888">
        <v>39</v>
      </c>
      <c r="T888">
        <f t="shared" si="80"/>
        <v>62.400000000000006</v>
      </c>
      <c r="U888">
        <v>0.1</v>
      </c>
      <c r="V888">
        <f t="shared" si="81"/>
        <v>6.2400000000000011</v>
      </c>
      <c r="W888">
        <f t="shared" si="82"/>
        <v>56.160000000000004</v>
      </c>
      <c r="X888">
        <v>1.29</v>
      </c>
      <c r="Y888">
        <f t="shared" si="83"/>
        <v>57.45</v>
      </c>
    </row>
    <row r="889" spans="1:25" x14ac:dyDescent="0.25">
      <c r="A889" t="s">
        <v>1963</v>
      </c>
      <c r="B889">
        <v>42578</v>
      </c>
      <c r="C889" t="str">
        <f t="shared" si="78"/>
        <v>2016</v>
      </c>
      <c r="D889" t="s">
        <v>1579</v>
      </c>
      <c r="E889" t="s">
        <v>1479</v>
      </c>
      <c r="F889" t="s">
        <v>257</v>
      </c>
      <c r="G889" t="s">
        <v>258</v>
      </c>
      <c r="H889" t="s">
        <v>241</v>
      </c>
      <c r="I889" t="s">
        <v>309</v>
      </c>
      <c r="J889" t="s">
        <v>261</v>
      </c>
      <c r="K889" t="s">
        <v>1964</v>
      </c>
      <c r="L889" t="s">
        <v>268</v>
      </c>
      <c r="M889" t="s">
        <v>647</v>
      </c>
      <c r="N889" t="s">
        <v>247</v>
      </c>
      <c r="O889">
        <v>42580</v>
      </c>
      <c r="P889">
        <v>269.99</v>
      </c>
      <c r="Q889">
        <v>449.99</v>
      </c>
      <c r="R889">
        <f t="shared" si="79"/>
        <v>180</v>
      </c>
      <c r="S889">
        <v>3</v>
      </c>
      <c r="T889">
        <f t="shared" si="80"/>
        <v>1349.97</v>
      </c>
      <c r="U889">
        <v>0.06</v>
      </c>
      <c r="V889">
        <f t="shared" si="81"/>
        <v>80.998199999999997</v>
      </c>
      <c r="W889">
        <f t="shared" si="82"/>
        <v>1268.9718</v>
      </c>
      <c r="X889">
        <v>24.49</v>
      </c>
      <c r="Y889">
        <f t="shared" si="83"/>
        <v>1293.4618</v>
      </c>
    </row>
    <row r="890" spans="1:25" x14ac:dyDescent="0.25">
      <c r="A890" t="s">
        <v>1965</v>
      </c>
      <c r="B890">
        <v>42579</v>
      </c>
      <c r="C890" t="str">
        <f t="shared" si="78"/>
        <v>2016</v>
      </c>
      <c r="D890" t="s">
        <v>1433</v>
      </c>
      <c r="E890" t="s">
        <v>467</v>
      </c>
      <c r="F890" t="s">
        <v>257</v>
      </c>
      <c r="G890" t="s">
        <v>258</v>
      </c>
      <c r="H890" t="s">
        <v>241</v>
      </c>
      <c r="I890" t="s">
        <v>342</v>
      </c>
      <c r="J890" t="s">
        <v>304</v>
      </c>
      <c r="K890" t="s">
        <v>421</v>
      </c>
      <c r="L890" t="s">
        <v>245</v>
      </c>
      <c r="M890" t="s">
        <v>246</v>
      </c>
      <c r="N890" t="s">
        <v>247</v>
      </c>
      <c r="O890">
        <v>42581</v>
      </c>
      <c r="P890">
        <v>13.88</v>
      </c>
      <c r="Q890">
        <v>22.38</v>
      </c>
      <c r="R890">
        <f t="shared" si="79"/>
        <v>8.4999999999999982</v>
      </c>
      <c r="S890">
        <v>18</v>
      </c>
      <c r="T890">
        <f t="shared" si="80"/>
        <v>402.84</v>
      </c>
      <c r="U890">
        <v>0.05</v>
      </c>
      <c r="V890">
        <f t="shared" si="81"/>
        <v>20.141999999999999</v>
      </c>
      <c r="W890">
        <f t="shared" si="82"/>
        <v>382.69799999999998</v>
      </c>
      <c r="X890">
        <v>15.1</v>
      </c>
      <c r="Y890">
        <f t="shared" si="83"/>
        <v>397.798</v>
      </c>
    </row>
    <row r="891" spans="1:25" x14ac:dyDescent="0.25">
      <c r="A891" t="s">
        <v>1966</v>
      </c>
      <c r="B891">
        <v>42584</v>
      </c>
      <c r="C891" t="str">
        <f t="shared" si="78"/>
        <v>2016</v>
      </c>
      <c r="D891" t="s">
        <v>1035</v>
      </c>
      <c r="E891" t="s">
        <v>938</v>
      </c>
      <c r="F891" t="s">
        <v>239</v>
      </c>
      <c r="G891" t="s">
        <v>240</v>
      </c>
      <c r="H891" t="s">
        <v>241</v>
      </c>
      <c r="I891" t="s">
        <v>242</v>
      </c>
      <c r="J891" t="s">
        <v>294</v>
      </c>
      <c r="K891" t="s">
        <v>508</v>
      </c>
      <c r="L891" t="s">
        <v>245</v>
      </c>
      <c r="M891" t="s">
        <v>246</v>
      </c>
      <c r="N891" t="s">
        <v>247</v>
      </c>
      <c r="O891">
        <v>42586</v>
      </c>
      <c r="P891">
        <v>178.83</v>
      </c>
      <c r="Q891">
        <v>415.88</v>
      </c>
      <c r="R891">
        <f t="shared" si="79"/>
        <v>237.04999999999998</v>
      </c>
      <c r="S891">
        <v>4</v>
      </c>
      <c r="T891">
        <f t="shared" si="80"/>
        <v>1663.52</v>
      </c>
      <c r="U891">
        <v>0.04</v>
      </c>
      <c r="V891">
        <f t="shared" si="81"/>
        <v>66.540800000000004</v>
      </c>
      <c r="W891">
        <f t="shared" si="82"/>
        <v>1596.9792</v>
      </c>
      <c r="X891">
        <v>11.37</v>
      </c>
      <c r="Y891">
        <f t="shared" si="83"/>
        <v>1608.3491999999999</v>
      </c>
    </row>
    <row r="892" spans="1:25" x14ac:dyDescent="0.25">
      <c r="A892" t="s">
        <v>1967</v>
      </c>
      <c r="B892">
        <v>42585</v>
      </c>
      <c r="C892" t="str">
        <f t="shared" si="78"/>
        <v>2016</v>
      </c>
      <c r="D892" t="s">
        <v>1968</v>
      </c>
      <c r="E892" t="s">
        <v>341</v>
      </c>
      <c r="F892" t="s">
        <v>257</v>
      </c>
      <c r="G892" t="s">
        <v>258</v>
      </c>
      <c r="H892" t="s">
        <v>293</v>
      </c>
      <c r="I892" t="s">
        <v>342</v>
      </c>
      <c r="J892" t="s">
        <v>294</v>
      </c>
      <c r="K892" t="s">
        <v>387</v>
      </c>
      <c r="L892" t="s">
        <v>245</v>
      </c>
      <c r="M892" t="s">
        <v>323</v>
      </c>
      <c r="N892" t="s">
        <v>247</v>
      </c>
      <c r="O892">
        <v>42586</v>
      </c>
      <c r="P892">
        <v>4.79</v>
      </c>
      <c r="Q892">
        <v>11.97</v>
      </c>
      <c r="R892">
        <f t="shared" si="79"/>
        <v>7.1800000000000006</v>
      </c>
      <c r="S892">
        <v>49</v>
      </c>
      <c r="T892">
        <f t="shared" si="80"/>
        <v>586.53000000000009</v>
      </c>
      <c r="U892">
        <v>0.09</v>
      </c>
      <c r="V892">
        <f t="shared" si="81"/>
        <v>52.787700000000008</v>
      </c>
      <c r="W892">
        <f t="shared" si="82"/>
        <v>533.74230000000011</v>
      </c>
      <c r="X892">
        <v>5.81</v>
      </c>
      <c r="Y892">
        <f t="shared" si="83"/>
        <v>539.55230000000006</v>
      </c>
    </row>
    <row r="893" spans="1:25" x14ac:dyDescent="0.25">
      <c r="A893" t="s">
        <v>1969</v>
      </c>
      <c r="B893">
        <v>42586</v>
      </c>
      <c r="C893" t="str">
        <f t="shared" si="78"/>
        <v>2016</v>
      </c>
      <c r="D893" t="s">
        <v>1970</v>
      </c>
      <c r="E893" t="s">
        <v>650</v>
      </c>
      <c r="F893" t="s">
        <v>257</v>
      </c>
      <c r="G893" t="s">
        <v>258</v>
      </c>
      <c r="H893" t="s">
        <v>259</v>
      </c>
      <c r="I893" t="s">
        <v>299</v>
      </c>
      <c r="J893" t="s">
        <v>243</v>
      </c>
      <c r="K893" t="s">
        <v>586</v>
      </c>
      <c r="L893" t="s">
        <v>268</v>
      </c>
      <c r="M893" t="s">
        <v>246</v>
      </c>
      <c r="N893" t="s">
        <v>247</v>
      </c>
      <c r="O893">
        <v>42588</v>
      </c>
      <c r="P893">
        <v>54.52</v>
      </c>
      <c r="Q893">
        <v>100.97</v>
      </c>
      <c r="R893">
        <f t="shared" si="79"/>
        <v>46.449999999999996</v>
      </c>
      <c r="S893">
        <v>41</v>
      </c>
      <c r="T893">
        <f t="shared" si="80"/>
        <v>4139.7699999999995</v>
      </c>
      <c r="U893">
        <v>0.03</v>
      </c>
      <c r="V893">
        <f t="shared" si="81"/>
        <v>124.19309999999999</v>
      </c>
      <c r="W893">
        <f t="shared" si="82"/>
        <v>4015.5768999999996</v>
      </c>
      <c r="X893">
        <v>7.18</v>
      </c>
      <c r="Y893">
        <f t="shared" si="83"/>
        <v>4022.7568999999994</v>
      </c>
    </row>
    <row r="894" spans="1:25" x14ac:dyDescent="0.25">
      <c r="A894" t="s">
        <v>1971</v>
      </c>
      <c r="B894">
        <v>42587</v>
      </c>
      <c r="C894" t="str">
        <f t="shared" si="78"/>
        <v>2016</v>
      </c>
      <c r="D894" t="s">
        <v>506</v>
      </c>
      <c r="E894" t="s">
        <v>507</v>
      </c>
      <c r="F894" t="s">
        <v>257</v>
      </c>
      <c r="G894" t="s">
        <v>258</v>
      </c>
      <c r="H894" t="s">
        <v>259</v>
      </c>
      <c r="I894" t="s">
        <v>381</v>
      </c>
      <c r="J894" t="s">
        <v>243</v>
      </c>
      <c r="K894" t="s">
        <v>630</v>
      </c>
      <c r="L894" t="s">
        <v>245</v>
      </c>
      <c r="M894" t="s">
        <v>253</v>
      </c>
      <c r="N894" t="s">
        <v>247</v>
      </c>
      <c r="O894">
        <v>42588</v>
      </c>
      <c r="P894">
        <v>1.17</v>
      </c>
      <c r="Q894">
        <v>2.78</v>
      </c>
      <c r="R894">
        <f t="shared" si="79"/>
        <v>1.6099999999999999</v>
      </c>
      <c r="S894">
        <v>6</v>
      </c>
      <c r="T894">
        <f t="shared" si="80"/>
        <v>16.68</v>
      </c>
      <c r="U894">
        <v>0.01</v>
      </c>
      <c r="V894">
        <f t="shared" si="81"/>
        <v>0.1668</v>
      </c>
      <c r="W894">
        <f t="shared" si="82"/>
        <v>16.513200000000001</v>
      </c>
      <c r="X894">
        <v>1.2</v>
      </c>
      <c r="Y894">
        <f t="shared" si="83"/>
        <v>17.713200000000001</v>
      </c>
    </row>
    <row r="895" spans="1:25" x14ac:dyDescent="0.25">
      <c r="A895" t="s">
        <v>1972</v>
      </c>
      <c r="B895">
        <v>42589</v>
      </c>
      <c r="C895" t="str">
        <f t="shared" si="78"/>
        <v>2016</v>
      </c>
      <c r="D895" t="s">
        <v>1973</v>
      </c>
      <c r="E895" t="s">
        <v>409</v>
      </c>
      <c r="F895" t="s">
        <v>257</v>
      </c>
      <c r="G895" t="s">
        <v>258</v>
      </c>
      <c r="H895" t="s">
        <v>274</v>
      </c>
      <c r="I895" t="s">
        <v>342</v>
      </c>
      <c r="J895" t="s">
        <v>294</v>
      </c>
      <c r="K895" t="s">
        <v>986</v>
      </c>
      <c r="L895" t="s">
        <v>245</v>
      </c>
      <c r="M895" t="s">
        <v>246</v>
      </c>
      <c r="N895" t="s">
        <v>247</v>
      </c>
      <c r="O895">
        <v>42590</v>
      </c>
      <c r="P895">
        <v>52.04</v>
      </c>
      <c r="Q895">
        <v>83.93</v>
      </c>
      <c r="R895">
        <f t="shared" si="79"/>
        <v>31.890000000000008</v>
      </c>
      <c r="S895">
        <v>37</v>
      </c>
      <c r="T895">
        <f t="shared" si="80"/>
        <v>3105.4100000000003</v>
      </c>
      <c r="U895">
        <v>0.03</v>
      </c>
      <c r="V895">
        <f t="shared" si="81"/>
        <v>93.162300000000002</v>
      </c>
      <c r="W895">
        <f t="shared" si="82"/>
        <v>3012.2477000000003</v>
      </c>
      <c r="X895">
        <v>19.989999999999998</v>
      </c>
      <c r="Y895">
        <f t="shared" si="83"/>
        <v>3032.2377000000001</v>
      </c>
    </row>
    <row r="896" spans="1:25" x14ac:dyDescent="0.25">
      <c r="A896" t="s">
        <v>1974</v>
      </c>
      <c r="B896">
        <v>42590</v>
      </c>
      <c r="C896" t="str">
        <f t="shared" si="78"/>
        <v>2016</v>
      </c>
      <c r="D896" t="s">
        <v>1975</v>
      </c>
      <c r="E896" t="s">
        <v>393</v>
      </c>
      <c r="F896" t="s">
        <v>257</v>
      </c>
      <c r="G896" t="s">
        <v>258</v>
      </c>
      <c r="H896" t="s">
        <v>241</v>
      </c>
      <c r="I896" t="s">
        <v>342</v>
      </c>
      <c r="J896" t="s">
        <v>243</v>
      </c>
      <c r="K896" t="s">
        <v>688</v>
      </c>
      <c r="L896" t="s">
        <v>245</v>
      </c>
      <c r="M896" t="s">
        <v>246</v>
      </c>
      <c r="N896" t="s">
        <v>247</v>
      </c>
      <c r="O896">
        <v>42591</v>
      </c>
      <c r="P896">
        <v>2.4500000000000002</v>
      </c>
      <c r="Q896">
        <v>3.89</v>
      </c>
      <c r="R896">
        <f t="shared" si="79"/>
        <v>1.44</v>
      </c>
      <c r="S896">
        <v>18</v>
      </c>
      <c r="T896">
        <f t="shared" si="80"/>
        <v>70.02</v>
      </c>
      <c r="U896">
        <v>0.04</v>
      </c>
      <c r="V896">
        <f t="shared" si="81"/>
        <v>2.8007999999999997</v>
      </c>
      <c r="W896">
        <f t="shared" si="82"/>
        <v>67.219200000000001</v>
      </c>
      <c r="X896">
        <v>7.01</v>
      </c>
      <c r="Y896">
        <f t="shared" si="83"/>
        <v>74.229200000000006</v>
      </c>
    </row>
    <row r="897" spans="1:25" x14ac:dyDescent="0.25">
      <c r="A897" t="s">
        <v>1976</v>
      </c>
      <c r="B897">
        <v>42593</v>
      </c>
      <c r="C897" t="str">
        <f t="shared" si="78"/>
        <v>2016</v>
      </c>
      <c r="D897" t="s">
        <v>1737</v>
      </c>
      <c r="E897" t="s">
        <v>532</v>
      </c>
      <c r="F897" t="s">
        <v>257</v>
      </c>
      <c r="G897" t="s">
        <v>258</v>
      </c>
      <c r="H897" t="s">
        <v>274</v>
      </c>
      <c r="I897" t="s">
        <v>260</v>
      </c>
      <c r="J897" t="s">
        <v>243</v>
      </c>
      <c r="K897" t="s">
        <v>799</v>
      </c>
      <c r="L897" t="s">
        <v>245</v>
      </c>
      <c r="M897" t="s">
        <v>246</v>
      </c>
      <c r="N897" t="s">
        <v>247</v>
      </c>
      <c r="O897">
        <v>42595</v>
      </c>
      <c r="P897">
        <v>2.29</v>
      </c>
      <c r="Q897">
        <v>3.69</v>
      </c>
      <c r="R897">
        <f t="shared" si="79"/>
        <v>1.4</v>
      </c>
      <c r="S897">
        <v>13</v>
      </c>
      <c r="T897">
        <f t="shared" si="80"/>
        <v>47.97</v>
      </c>
      <c r="U897">
        <v>0.04</v>
      </c>
      <c r="V897">
        <f t="shared" si="81"/>
        <v>1.9188000000000001</v>
      </c>
      <c r="W897">
        <f t="shared" si="82"/>
        <v>46.051200000000001</v>
      </c>
      <c r="X897">
        <v>0.5</v>
      </c>
      <c r="Y897">
        <f t="shared" si="83"/>
        <v>46.551200000000001</v>
      </c>
    </row>
    <row r="898" spans="1:25" x14ac:dyDescent="0.25">
      <c r="A898" t="s">
        <v>1977</v>
      </c>
      <c r="B898">
        <v>42593</v>
      </c>
      <c r="C898" t="str">
        <f t="shared" si="78"/>
        <v>2016</v>
      </c>
      <c r="D898" t="s">
        <v>1706</v>
      </c>
      <c r="E898" t="s">
        <v>1290</v>
      </c>
      <c r="F898" t="s">
        <v>257</v>
      </c>
      <c r="G898" t="s">
        <v>258</v>
      </c>
      <c r="H898" t="s">
        <v>259</v>
      </c>
      <c r="I898" t="s">
        <v>260</v>
      </c>
      <c r="J898" t="s">
        <v>304</v>
      </c>
      <c r="K898" t="s">
        <v>582</v>
      </c>
      <c r="L898" t="s">
        <v>245</v>
      </c>
      <c r="M898" t="s">
        <v>253</v>
      </c>
      <c r="N898" t="s">
        <v>247</v>
      </c>
      <c r="O898">
        <v>42595</v>
      </c>
      <c r="P898">
        <v>0.24</v>
      </c>
      <c r="Q898">
        <v>1.26</v>
      </c>
      <c r="R898">
        <f t="shared" si="79"/>
        <v>1.02</v>
      </c>
      <c r="S898">
        <v>34</v>
      </c>
      <c r="T898">
        <f t="shared" si="80"/>
        <v>42.84</v>
      </c>
      <c r="U898">
        <v>0</v>
      </c>
      <c r="V898">
        <f t="shared" si="81"/>
        <v>0</v>
      </c>
      <c r="W898">
        <f t="shared" si="82"/>
        <v>42.84</v>
      </c>
      <c r="X898">
        <v>0.7</v>
      </c>
      <c r="Y898">
        <f t="shared" si="83"/>
        <v>43.540000000000006</v>
      </c>
    </row>
    <row r="899" spans="1:25" x14ac:dyDescent="0.25">
      <c r="A899" t="s">
        <v>1978</v>
      </c>
      <c r="B899">
        <v>42597</v>
      </c>
      <c r="C899" t="str">
        <f t="shared" si="78"/>
        <v>2016</v>
      </c>
      <c r="D899" t="s">
        <v>1355</v>
      </c>
      <c r="E899" t="s">
        <v>673</v>
      </c>
      <c r="F899" t="s">
        <v>257</v>
      </c>
      <c r="G899" t="s">
        <v>258</v>
      </c>
      <c r="H899" t="s">
        <v>259</v>
      </c>
      <c r="I899" t="s">
        <v>372</v>
      </c>
      <c r="J899" t="s">
        <v>279</v>
      </c>
      <c r="K899" t="s">
        <v>688</v>
      </c>
      <c r="L899" t="s">
        <v>245</v>
      </c>
      <c r="M899" t="s">
        <v>246</v>
      </c>
      <c r="N899" t="s">
        <v>263</v>
      </c>
      <c r="O899">
        <v>42602</v>
      </c>
      <c r="P899">
        <v>2.4500000000000002</v>
      </c>
      <c r="Q899">
        <v>3.89</v>
      </c>
      <c r="R899">
        <f t="shared" si="79"/>
        <v>1.44</v>
      </c>
      <c r="S899">
        <v>30</v>
      </c>
      <c r="T899">
        <f t="shared" si="80"/>
        <v>116.7</v>
      </c>
      <c r="U899">
        <v>0.09</v>
      </c>
      <c r="V899">
        <f t="shared" si="81"/>
        <v>10.503</v>
      </c>
      <c r="W899">
        <f t="shared" si="82"/>
        <v>106.197</v>
      </c>
      <c r="X899">
        <v>7.01</v>
      </c>
      <c r="Y899">
        <f t="shared" si="83"/>
        <v>113.20700000000001</v>
      </c>
    </row>
    <row r="900" spans="1:25" x14ac:dyDescent="0.25">
      <c r="A900" t="s">
        <v>1979</v>
      </c>
      <c r="B900">
        <v>42599</v>
      </c>
      <c r="C900" t="str">
        <f t="shared" si="78"/>
        <v>2016</v>
      </c>
      <c r="D900" t="s">
        <v>1284</v>
      </c>
      <c r="E900" t="s">
        <v>1001</v>
      </c>
      <c r="F900" t="s">
        <v>239</v>
      </c>
      <c r="G900" t="s">
        <v>240</v>
      </c>
      <c r="H900" t="s">
        <v>274</v>
      </c>
      <c r="I900" t="s">
        <v>251</v>
      </c>
      <c r="J900" t="s">
        <v>243</v>
      </c>
      <c r="K900" t="s">
        <v>519</v>
      </c>
      <c r="L900" t="s">
        <v>245</v>
      </c>
      <c r="M900" t="s">
        <v>253</v>
      </c>
      <c r="N900" t="s">
        <v>247</v>
      </c>
      <c r="O900">
        <v>42600</v>
      </c>
      <c r="P900">
        <v>2.9</v>
      </c>
      <c r="Q900">
        <v>4.76</v>
      </c>
      <c r="R900">
        <f t="shared" si="79"/>
        <v>1.8599999999999999</v>
      </c>
      <c r="S900">
        <v>1</v>
      </c>
      <c r="T900">
        <f t="shared" si="80"/>
        <v>4.76</v>
      </c>
      <c r="U900">
        <v>0.02</v>
      </c>
      <c r="V900">
        <f t="shared" si="81"/>
        <v>9.5199999999999993E-2</v>
      </c>
      <c r="W900">
        <f t="shared" si="82"/>
        <v>4.6647999999999996</v>
      </c>
      <c r="X900">
        <v>0.88</v>
      </c>
      <c r="Y900">
        <f t="shared" si="83"/>
        <v>5.5447999999999995</v>
      </c>
    </row>
    <row r="901" spans="1:25" x14ac:dyDescent="0.25">
      <c r="A901" t="s">
        <v>1980</v>
      </c>
      <c r="B901">
        <v>42600</v>
      </c>
      <c r="C901" t="str">
        <f t="shared" si="78"/>
        <v>2016</v>
      </c>
      <c r="D901" t="s">
        <v>1860</v>
      </c>
      <c r="E901" t="s">
        <v>606</v>
      </c>
      <c r="F901" t="s">
        <v>448</v>
      </c>
      <c r="G901" t="s">
        <v>449</v>
      </c>
      <c r="H901" t="s">
        <v>241</v>
      </c>
      <c r="I901" t="s">
        <v>284</v>
      </c>
      <c r="J901" t="s">
        <v>243</v>
      </c>
      <c r="K901" t="s">
        <v>776</v>
      </c>
      <c r="L901" t="s">
        <v>245</v>
      </c>
      <c r="M901" t="s">
        <v>246</v>
      </c>
      <c r="N901" t="s">
        <v>263</v>
      </c>
      <c r="O901">
        <v>42602</v>
      </c>
      <c r="P901">
        <v>4.53</v>
      </c>
      <c r="Q901">
        <v>7.3</v>
      </c>
      <c r="R901">
        <f t="shared" si="79"/>
        <v>2.7699999999999996</v>
      </c>
      <c r="S901">
        <v>41</v>
      </c>
      <c r="T901">
        <f t="shared" si="80"/>
        <v>299.3</v>
      </c>
      <c r="U901">
        <v>0.05</v>
      </c>
      <c r="V901">
        <f t="shared" si="81"/>
        <v>14.965000000000002</v>
      </c>
      <c r="W901">
        <f t="shared" si="82"/>
        <v>284.33500000000004</v>
      </c>
      <c r="X901">
        <v>7.72</v>
      </c>
      <c r="Y901">
        <f t="shared" si="83"/>
        <v>292.05500000000006</v>
      </c>
    </row>
    <row r="902" spans="1:25" x14ac:dyDescent="0.25">
      <c r="A902" t="s">
        <v>1981</v>
      </c>
      <c r="B902">
        <v>42600</v>
      </c>
      <c r="C902" t="str">
        <f t="shared" ref="C902:C965" si="84">TEXT(B902,"yyyy")</f>
        <v>2016</v>
      </c>
      <c r="D902" t="s">
        <v>1718</v>
      </c>
      <c r="E902" t="s">
        <v>356</v>
      </c>
      <c r="F902" t="s">
        <v>239</v>
      </c>
      <c r="G902" t="s">
        <v>240</v>
      </c>
      <c r="H902" t="s">
        <v>241</v>
      </c>
      <c r="I902" t="s">
        <v>251</v>
      </c>
      <c r="J902" t="s">
        <v>279</v>
      </c>
      <c r="K902" t="s">
        <v>472</v>
      </c>
      <c r="L902" t="s">
        <v>245</v>
      </c>
      <c r="M902" t="s">
        <v>246</v>
      </c>
      <c r="N902" t="s">
        <v>247</v>
      </c>
      <c r="O902">
        <v>42604</v>
      </c>
      <c r="P902">
        <v>2.25</v>
      </c>
      <c r="Q902">
        <v>3.69</v>
      </c>
      <c r="R902">
        <f t="shared" ref="R902:R965" si="85">Q902-P902</f>
        <v>1.44</v>
      </c>
      <c r="S902">
        <v>16</v>
      </c>
      <c r="T902">
        <f t="shared" ref="T902:T965" si="86">Q902*S902</f>
        <v>59.04</v>
      </c>
      <c r="U902">
        <v>0.02</v>
      </c>
      <c r="V902">
        <f t="shared" ref="V902:V965" si="87">T902*U902</f>
        <v>1.1808000000000001</v>
      </c>
      <c r="W902">
        <f t="shared" ref="W902:W965" si="88">T902-V902</f>
        <v>57.859200000000001</v>
      </c>
      <c r="X902">
        <v>2.5</v>
      </c>
      <c r="Y902">
        <f t="shared" ref="Y902:Y965" si="89">W902+X902</f>
        <v>60.359200000000001</v>
      </c>
    </row>
    <row r="903" spans="1:25" x14ac:dyDescent="0.25">
      <c r="A903" t="s">
        <v>1982</v>
      </c>
      <c r="B903">
        <v>42602</v>
      </c>
      <c r="C903" t="str">
        <f t="shared" si="84"/>
        <v>2016</v>
      </c>
      <c r="D903" t="s">
        <v>1175</v>
      </c>
      <c r="E903" t="s">
        <v>238</v>
      </c>
      <c r="F903" t="s">
        <v>239</v>
      </c>
      <c r="G903" t="s">
        <v>240</v>
      </c>
      <c r="H903" t="s">
        <v>274</v>
      </c>
      <c r="I903" t="s">
        <v>242</v>
      </c>
      <c r="J903" t="s">
        <v>279</v>
      </c>
      <c r="K903" t="s">
        <v>888</v>
      </c>
      <c r="L903" t="s">
        <v>245</v>
      </c>
      <c r="M903" t="s">
        <v>253</v>
      </c>
      <c r="N903" t="s">
        <v>247</v>
      </c>
      <c r="O903">
        <v>42607</v>
      </c>
      <c r="P903">
        <v>2.31</v>
      </c>
      <c r="Q903">
        <v>3.78</v>
      </c>
      <c r="R903">
        <f t="shared" si="85"/>
        <v>1.4699999999999998</v>
      </c>
      <c r="S903">
        <v>28</v>
      </c>
      <c r="T903">
        <f t="shared" si="86"/>
        <v>105.83999999999999</v>
      </c>
      <c r="U903">
        <v>0.06</v>
      </c>
      <c r="V903">
        <f t="shared" si="87"/>
        <v>6.3503999999999987</v>
      </c>
      <c r="W903">
        <f t="shared" si="88"/>
        <v>99.489599999999996</v>
      </c>
      <c r="X903">
        <v>0.71</v>
      </c>
      <c r="Y903">
        <f t="shared" si="89"/>
        <v>100.19959999999999</v>
      </c>
    </row>
    <row r="904" spans="1:25" x14ac:dyDescent="0.25">
      <c r="A904" t="s">
        <v>1983</v>
      </c>
      <c r="B904">
        <v>42605</v>
      </c>
      <c r="C904" t="str">
        <f t="shared" si="84"/>
        <v>2016</v>
      </c>
      <c r="D904" t="s">
        <v>1164</v>
      </c>
      <c r="E904" t="s">
        <v>1165</v>
      </c>
      <c r="F904" t="s">
        <v>257</v>
      </c>
      <c r="G904" t="s">
        <v>258</v>
      </c>
      <c r="H904" t="s">
        <v>259</v>
      </c>
      <c r="I904" t="s">
        <v>381</v>
      </c>
      <c r="J904" t="s">
        <v>294</v>
      </c>
      <c r="K904" t="s">
        <v>537</v>
      </c>
      <c r="L904" t="s">
        <v>245</v>
      </c>
      <c r="M904" t="s">
        <v>253</v>
      </c>
      <c r="N904" t="s">
        <v>247</v>
      </c>
      <c r="O904">
        <v>42607</v>
      </c>
      <c r="P904">
        <v>11.11</v>
      </c>
      <c r="Q904">
        <v>19.84</v>
      </c>
      <c r="R904">
        <f t="shared" si="85"/>
        <v>8.73</v>
      </c>
      <c r="S904">
        <v>22</v>
      </c>
      <c r="T904">
        <f t="shared" si="86"/>
        <v>436.48</v>
      </c>
      <c r="U904">
        <v>0.06</v>
      </c>
      <c r="V904">
        <f t="shared" si="87"/>
        <v>26.188800000000001</v>
      </c>
      <c r="W904">
        <f t="shared" si="88"/>
        <v>410.2912</v>
      </c>
      <c r="X904">
        <v>4.0999999999999996</v>
      </c>
      <c r="Y904">
        <f t="shared" si="89"/>
        <v>414.39120000000003</v>
      </c>
    </row>
    <row r="905" spans="1:25" x14ac:dyDescent="0.25">
      <c r="A905" t="s">
        <v>1984</v>
      </c>
      <c r="B905">
        <v>42606</v>
      </c>
      <c r="C905" t="str">
        <f t="shared" si="84"/>
        <v>2016</v>
      </c>
      <c r="D905" t="s">
        <v>1281</v>
      </c>
      <c r="E905" t="s">
        <v>1282</v>
      </c>
      <c r="F905" t="s">
        <v>257</v>
      </c>
      <c r="G905" t="s">
        <v>258</v>
      </c>
      <c r="H905" t="s">
        <v>241</v>
      </c>
      <c r="I905" t="s">
        <v>275</v>
      </c>
      <c r="J905" t="s">
        <v>279</v>
      </c>
      <c r="K905" t="s">
        <v>429</v>
      </c>
      <c r="L905" t="s">
        <v>268</v>
      </c>
      <c r="M905" t="s">
        <v>246</v>
      </c>
      <c r="N905" t="s">
        <v>247</v>
      </c>
      <c r="O905">
        <v>42606</v>
      </c>
      <c r="P905">
        <v>19.78</v>
      </c>
      <c r="Q905">
        <v>45.99</v>
      </c>
      <c r="R905">
        <f t="shared" si="85"/>
        <v>26.21</v>
      </c>
      <c r="S905">
        <v>46</v>
      </c>
      <c r="T905">
        <f t="shared" si="86"/>
        <v>2115.54</v>
      </c>
      <c r="U905">
        <v>0.1</v>
      </c>
      <c r="V905">
        <f t="shared" si="87"/>
        <v>211.554</v>
      </c>
      <c r="W905">
        <f t="shared" si="88"/>
        <v>1903.9859999999999</v>
      </c>
      <c r="X905">
        <v>4.99</v>
      </c>
      <c r="Y905">
        <f t="shared" si="89"/>
        <v>1908.9759999999999</v>
      </c>
    </row>
    <row r="906" spans="1:25" x14ac:dyDescent="0.25">
      <c r="A906" t="s">
        <v>1985</v>
      </c>
      <c r="B906">
        <v>42606</v>
      </c>
      <c r="C906" t="str">
        <f t="shared" si="84"/>
        <v>2016</v>
      </c>
      <c r="D906" t="s">
        <v>864</v>
      </c>
      <c r="E906" t="s">
        <v>633</v>
      </c>
      <c r="F906" t="s">
        <v>239</v>
      </c>
      <c r="G906" t="s">
        <v>240</v>
      </c>
      <c r="H906" t="s">
        <v>293</v>
      </c>
      <c r="I906" t="s">
        <v>242</v>
      </c>
      <c r="J906" t="s">
        <v>294</v>
      </c>
      <c r="K906" t="s">
        <v>368</v>
      </c>
      <c r="L906" t="s">
        <v>245</v>
      </c>
      <c r="M906" t="s">
        <v>246</v>
      </c>
      <c r="N906" t="s">
        <v>247</v>
      </c>
      <c r="O906">
        <v>42609</v>
      </c>
      <c r="P906">
        <v>1.59</v>
      </c>
      <c r="Q906">
        <v>2.61</v>
      </c>
      <c r="R906">
        <f t="shared" si="85"/>
        <v>1.0199999999999998</v>
      </c>
      <c r="S906">
        <v>34</v>
      </c>
      <c r="T906">
        <f t="shared" si="86"/>
        <v>88.74</v>
      </c>
      <c r="U906">
        <v>0</v>
      </c>
      <c r="V906">
        <f t="shared" si="87"/>
        <v>0</v>
      </c>
      <c r="W906">
        <f t="shared" si="88"/>
        <v>88.74</v>
      </c>
      <c r="X906">
        <v>0.5</v>
      </c>
      <c r="Y906">
        <f t="shared" si="89"/>
        <v>89.24</v>
      </c>
    </row>
    <row r="907" spans="1:25" x14ac:dyDescent="0.25">
      <c r="A907" t="s">
        <v>1986</v>
      </c>
      <c r="B907">
        <v>42606</v>
      </c>
      <c r="C907" t="str">
        <f t="shared" si="84"/>
        <v>2016</v>
      </c>
      <c r="D907" t="s">
        <v>716</v>
      </c>
      <c r="E907" t="s">
        <v>717</v>
      </c>
      <c r="F907" t="s">
        <v>448</v>
      </c>
      <c r="G907" t="s">
        <v>449</v>
      </c>
      <c r="H907" t="s">
        <v>241</v>
      </c>
      <c r="I907" t="s">
        <v>504</v>
      </c>
      <c r="J907" t="s">
        <v>279</v>
      </c>
      <c r="K907" t="s">
        <v>939</v>
      </c>
      <c r="L907" t="s">
        <v>268</v>
      </c>
      <c r="M907" t="s">
        <v>647</v>
      </c>
      <c r="N907" t="s">
        <v>247</v>
      </c>
      <c r="O907">
        <v>42615</v>
      </c>
      <c r="P907">
        <v>377.99</v>
      </c>
      <c r="Q907">
        <v>599.99</v>
      </c>
      <c r="R907">
        <f t="shared" si="85"/>
        <v>222</v>
      </c>
      <c r="S907">
        <v>16</v>
      </c>
      <c r="T907">
        <f t="shared" si="86"/>
        <v>9599.84</v>
      </c>
      <c r="U907">
        <v>0</v>
      </c>
      <c r="V907">
        <f t="shared" si="87"/>
        <v>0</v>
      </c>
      <c r="W907">
        <f t="shared" si="88"/>
        <v>9599.84</v>
      </c>
      <c r="X907">
        <v>24.49</v>
      </c>
      <c r="Y907">
        <f t="shared" si="89"/>
        <v>9624.33</v>
      </c>
    </row>
    <row r="908" spans="1:25" x14ac:dyDescent="0.25">
      <c r="A908" t="s">
        <v>1987</v>
      </c>
      <c r="B908">
        <v>42606</v>
      </c>
      <c r="C908" t="str">
        <f t="shared" si="84"/>
        <v>2016</v>
      </c>
      <c r="D908" t="s">
        <v>716</v>
      </c>
      <c r="E908" t="s">
        <v>717</v>
      </c>
      <c r="F908" t="s">
        <v>448</v>
      </c>
      <c r="G908" t="s">
        <v>449</v>
      </c>
      <c r="H908" t="s">
        <v>241</v>
      </c>
      <c r="I908" t="s">
        <v>504</v>
      </c>
      <c r="J908" t="s">
        <v>279</v>
      </c>
      <c r="K908" t="s">
        <v>537</v>
      </c>
      <c r="L908" t="s">
        <v>245</v>
      </c>
      <c r="M908" t="s">
        <v>253</v>
      </c>
      <c r="N908" t="s">
        <v>247</v>
      </c>
      <c r="O908">
        <v>42615</v>
      </c>
      <c r="P908">
        <v>11.11</v>
      </c>
      <c r="Q908">
        <v>19.84</v>
      </c>
      <c r="R908">
        <f t="shared" si="85"/>
        <v>8.73</v>
      </c>
      <c r="S908">
        <v>39</v>
      </c>
      <c r="T908">
        <f t="shared" si="86"/>
        <v>773.76</v>
      </c>
      <c r="U908">
        <v>0.01</v>
      </c>
      <c r="V908">
        <f t="shared" si="87"/>
        <v>7.7376000000000005</v>
      </c>
      <c r="W908">
        <f t="shared" si="88"/>
        <v>766.02239999999995</v>
      </c>
      <c r="X908">
        <v>4.0999999999999996</v>
      </c>
      <c r="Y908">
        <f t="shared" si="89"/>
        <v>770.12239999999997</v>
      </c>
    </row>
    <row r="909" spans="1:25" x14ac:dyDescent="0.25">
      <c r="A909" t="s">
        <v>1988</v>
      </c>
      <c r="B909">
        <v>42606</v>
      </c>
      <c r="C909" t="str">
        <f t="shared" si="84"/>
        <v>2016</v>
      </c>
      <c r="D909" t="s">
        <v>1816</v>
      </c>
      <c r="E909" t="s">
        <v>1551</v>
      </c>
      <c r="F909" t="s">
        <v>257</v>
      </c>
      <c r="G909" t="s">
        <v>258</v>
      </c>
      <c r="H909" t="s">
        <v>293</v>
      </c>
      <c r="I909" t="s">
        <v>309</v>
      </c>
      <c r="J909" t="s">
        <v>304</v>
      </c>
      <c r="K909" t="s">
        <v>630</v>
      </c>
      <c r="L909" t="s">
        <v>245</v>
      </c>
      <c r="M909" t="s">
        <v>253</v>
      </c>
      <c r="N909" t="s">
        <v>247</v>
      </c>
      <c r="O909">
        <v>42606</v>
      </c>
      <c r="P909">
        <v>1.53</v>
      </c>
      <c r="Q909">
        <v>2.78</v>
      </c>
      <c r="R909">
        <f t="shared" si="85"/>
        <v>1.2499999999999998</v>
      </c>
      <c r="S909">
        <v>23</v>
      </c>
      <c r="T909">
        <f t="shared" si="86"/>
        <v>63.94</v>
      </c>
      <c r="U909">
        <v>0.01</v>
      </c>
      <c r="V909">
        <f t="shared" si="87"/>
        <v>0.63939999999999997</v>
      </c>
      <c r="W909">
        <f t="shared" si="88"/>
        <v>63.300599999999996</v>
      </c>
      <c r="X909">
        <v>1.34</v>
      </c>
      <c r="Y909">
        <f t="shared" si="89"/>
        <v>64.640599999999992</v>
      </c>
    </row>
    <row r="910" spans="1:25" x14ac:dyDescent="0.25">
      <c r="A910" t="s">
        <v>1989</v>
      </c>
      <c r="B910">
        <v>42606</v>
      </c>
      <c r="C910" t="str">
        <f t="shared" si="84"/>
        <v>2016</v>
      </c>
      <c r="D910" t="s">
        <v>375</v>
      </c>
      <c r="E910" t="s">
        <v>376</v>
      </c>
      <c r="F910" t="s">
        <v>239</v>
      </c>
      <c r="G910" t="s">
        <v>240</v>
      </c>
      <c r="H910" t="s">
        <v>259</v>
      </c>
      <c r="I910" t="s">
        <v>242</v>
      </c>
      <c r="J910" t="s">
        <v>304</v>
      </c>
      <c r="K910" t="s">
        <v>559</v>
      </c>
      <c r="L910" t="s">
        <v>245</v>
      </c>
      <c r="M910" t="s">
        <v>246</v>
      </c>
      <c r="N910" t="s">
        <v>247</v>
      </c>
      <c r="O910">
        <v>42607</v>
      </c>
      <c r="P910">
        <v>16.850000000000001</v>
      </c>
      <c r="Q910">
        <v>27.18</v>
      </c>
      <c r="R910">
        <f t="shared" si="85"/>
        <v>10.329999999999998</v>
      </c>
      <c r="S910">
        <v>50</v>
      </c>
      <c r="T910">
        <f t="shared" si="86"/>
        <v>1359</v>
      </c>
      <c r="U910">
        <v>0.02</v>
      </c>
      <c r="V910">
        <f t="shared" si="87"/>
        <v>27.18</v>
      </c>
      <c r="W910">
        <f t="shared" si="88"/>
        <v>1331.82</v>
      </c>
      <c r="X910">
        <v>8.23</v>
      </c>
      <c r="Y910">
        <f t="shared" si="89"/>
        <v>1340.05</v>
      </c>
    </row>
    <row r="911" spans="1:25" x14ac:dyDescent="0.25">
      <c r="A911" t="s">
        <v>1990</v>
      </c>
      <c r="B911">
        <v>42609</v>
      </c>
      <c r="C911" t="str">
        <f t="shared" si="84"/>
        <v>2016</v>
      </c>
      <c r="D911" t="s">
        <v>1623</v>
      </c>
      <c r="E911" t="s">
        <v>346</v>
      </c>
      <c r="F911" t="s">
        <v>257</v>
      </c>
      <c r="G911" t="s">
        <v>258</v>
      </c>
      <c r="H911" t="s">
        <v>259</v>
      </c>
      <c r="I911" t="s">
        <v>309</v>
      </c>
      <c r="J911" t="s">
        <v>243</v>
      </c>
      <c r="K911" t="s">
        <v>676</v>
      </c>
      <c r="L911" t="s">
        <v>245</v>
      </c>
      <c r="M911" t="s">
        <v>323</v>
      </c>
      <c r="N911" t="s">
        <v>263</v>
      </c>
      <c r="O911">
        <v>42610</v>
      </c>
      <c r="P911">
        <v>5.19</v>
      </c>
      <c r="Q911">
        <v>12.98</v>
      </c>
      <c r="R911">
        <f t="shared" si="85"/>
        <v>7.79</v>
      </c>
      <c r="S911">
        <v>42</v>
      </c>
      <c r="T911">
        <f t="shared" si="86"/>
        <v>545.16</v>
      </c>
      <c r="U911">
        <v>0.05</v>
      </c>
      <c r="V911">
        <f t="shared" si="87"/>
        <v>27.257999999999999</v>
      </c>
      <c r="W911">
        <f t="shared" si="88"/>
        <v>517.90199999999993</v>
      </c>
      <c r="X911">
        <v>3.14</v>
      </c>
      <c r="Y911">
        <f t="shared" si="89"/>
        <v>521.04199999999992</v>
      </c>
    </row>
    <row r="912" spans="1:25" x14ac:dyDescent="0.25">
      <c r="A912" t="s">
        <v>1991</v>
      </c>
      <c r="B912">
        <v>42613</v>
      </c>
      <c r="C912" t="str">
        <f t="shared" si="84"/>
        <v>2016</v>
      </c>
      <c r="D912" t="s">
        <v>1938</v>
      </c>
      <c r="E912" t="s">
        <v>1348</v>
      </c>
      <c r="F912" t="s">
        <v>257</v>
      </c>
      <c r="G912" t="s">
        <v>258</v>
      </c>
      <c r="H912" t="s">
        <v>274</v>
      </c>
      <c r="I912" t="s">
        <v>492</v>
      </c>
      <c r="J912" t="s">
        <v>261</v>
      </c>
      <c r="K912" t="s">
        <v>698</v>
      </c>
      <c r="L912" t="s">
        <v>245</v>
      </c>
      <c r="M912" t="s">
        <v>253</v>
      </c>
      <c r="N912" t="s">
        <v>247</v>
      </c>
      <c r="O912">
        <v>42615</v>
      </c>
      <c r="P912">
        <v>3.32</v>
      </c>
      <c r="Q912">
        <v>5.18</v>
      </c>
      <c r="R912">
        <f t="shared" si="85"/>
        <v>1.8599999999999999</v>
      </c>
      <c r="S912">
        <v>32</v>
      </c>
      <c r="T912">
        <f t="shared" si="86"/>
        <v>165.76</v>
      </c>
      <c r="U912">
        <v>0.06</v>
      </c>
      <c r="V912">
        <f t="shared" si="87"/>
        <v>9.9455999999999989</v>
      </c>
      <c r="W912">
        <f t="shared" si="88"/>
        <v>155.81439999999998</v>
      </c>
      <c r="X912">
        <v>2.04</v>
      </c>
      <c r="Y912">
        <f t="shared" si="89"/>
        <v>157.85439999999997</v>
      </c>
    </row>
    <row r="913" spans="1:25" x14ac:dyDescent="0.25">
      <c r="A913" t="s">
        <v>1992</v>
      </c>
      <c r="B913">
        <v>42616</v>
      </c>
      <c r="C913" t="str">
        <f t="shared" si="84"/>
        <v>2016</v>
      </c>
      <c r="D913" t="s">
        <v>1993</v>
      </c>
      <c r="E913" t="s">
        <v>816</v>
      </c>
      <c r="F913" t="s">
        <v>257</v>
      </c>
      <c r="G913" t="s">
        <v>258</v>
      </c>
      <c r="H913" t="s">
        <v>259</v>
      </c>
      <c r="I913" t="s">
        <v>492</v>
      </c>
      <c r="J913" t="s">
        <v>294</v>
      </c>
      <c r="K913" t="s">
        <v>384</v>
      </c>
      <c r="L913" t="s">
        <v>268</v>
      </c>
      <c r="M913" t="s">
        <v>246</v>
      </c>
      <c r="N913" t="s">
        <v>247</v>
      </c>
      <c r="O913">
        <v>42618</v>
      </c>
      <c r="P913">
        <v>10.07</v>
      </c>
      <c r="Q913">
        <v>15.98</v>
      </c>
      <c r="R913">
        <f t="shared" si="85"/>
        <v>5.91</v>
      </c>
      <c r="S913">
        <v>30</v>
      </c>
      <c r="T913">
        <f t="shared" si="86"/>
        <v>479.40000000000003</v>
      </c>
      <c r="U913">
        <v>0.08</v>
      </c>
      <c r="V913">
        <f t="shared" si="87"/>
        <v>38.352000000000004</v>
      </c>
      <c r="W913">
        <f t="shared" si="88"/>
        <v>441.048</v>
      </c>
      <c r="X913">
        <v>4</v>
      </c>
      <c r="Y913">
        <f t="shared" si="89"/>
        <v>445.048</v>
      </c>
    </row>
    <row r="914" spans="1:25" x14ac:dyDescent="0.25">
      <c r="A914" t="s">
        <v>1994</v>
      </c>
      <c r="B914">
        <v>42617</v>
      </c>
      <c r="C914" t="str">
        <f t="shared" si="84"/>
        <v>2016</v>
      </c>
      <c r="D914" t="s">
        <v>1995</v>
      </c>
      <c r="E914" t="s">
        <v>1165</v>
      </c>
      <c r="F914" t="s">
        <v>257</v>
      </c>
      <c r="G914" t="s">
        <v>258</v>
      </c>
      <c r="H914" t="s">
        <v>293</v>
      </c>
      <c r="I914" t="s">
        <v>381</v>
      </c>
      <c r="J914" t="s">
        <v>304</v>
      </c>
      <c r="K914" t="s">
        <v>460</v>
      </c>
      <c r="L914" t="s">
        <v>245</v>
      </c>
      <c r="M914" t="s">
        <v>246</v>
      </c>
      <c r="N914" t="s">
        <v>247</v>
      </c>
      <c r="O914">
        <v>42620</v>
      </c>
      <c r="P914">
        <v>3.84</v>
      </c>
      <c r="Q914">
        <v>6.3</v>
      </c>
      <c r="R914">
        <f t="shared" si="85"/>
        <v>2.46</v>
      </c>
      <c r="S914">
        <v>40</v>
      </c>
      <c r="T914">
        <f t="shared" si="86"/>
        <v>252</v>
      </c>
      <c r="U914">
        <v>0.04</v>
      </c>
      <c r="V914">
        <f t="shared" si="87"/>
        <v>10.08</v>
      </c>
      <c r="W914">
        <f t="shared" si="88"/>
        <v>241.92</v>
      </c>
      <c r="X914">
        <v>0.5</v>
      </c>
      <c r="Y914">
        <f t="shared" si="89"/>
        <v>242.42</v>
      </c>
    </row>
    <row r="915" spans="1:25" x14ac:dyDescent="0.25">
      <c r="A915" t="s">
        <v>1996</v>
      </c>
      <c r="B915">
        <v>42618</v>
      </c>
      <c r="C915" t="str">
        <f t="shared" si="84"/>
        <v>2016</v>
      </c>
      <c r="D915" t="s">
        <v>791</v>
      </c>
      <c r="E915" t="s">
        <v>775</v>
      </c>
      <c r="F915" t="s">
        <v>257</v>
      </c>
      <c r="G915" t="s">
        <v>258</v>
      </c>
      <c r="H915" t="s">
        <v>274</v>
      </c>
      <c r="I915" t="s">
        <v>381</v>
      </c>
      <c r="J915" t="s">
        <v>304</v>
      </c>
      <c r="K915" t="s">
        <v>888</v>
      </c>
      <c r="L915" t="s">
        <v>245</v>
      </c>
      <c r="M915" t="s">
        <v>253</v>
      </c>
      <c r="N915" t="s">
        <v>247</v>
      </c>
      <c r="O915">
        <v>42620</v>
      </c>
      <c r="P915">
        <v>2.31</v>
      </c>
      <c r="Q915">
        <v>3.78</v>
      </c>
      <c r="R915">
        <f t="shared" si="85"/>
        <v>1.4699999999999998</v>
      </c>
      <c r="S915">
        <v>38</v>
      </c>
      <c r="T915">
        <f t="shared" si="86"/>
        <v>143.63999999999999</v>
      </c>
      <c r="U915">
        <v>0.03</v>
      </c>
      <c r="V915">
        <f t="shared" si="87"/>
        <v>4.3091999999999997</v>
      </c>
      <c r="W915">
        <f t="shared" si="88"/>
        <v>139.33079999999998</v>
      </c>
      <c r="X915">
        <v>0.71</v>
      </c>
      <c r="Y915">
        <f t="shared" si="89"/>
        <v>140.04079999999999</v>
      </c>
    </row>
    <row r="916" spans="1:25" x14ac:dyDescent="0.25">
      <c r="A916" t="s">
        <v>1997</v>
      </c>
      <c r="B916">
        <v>42619</v>
      </c>
      <c r="C916" t="str">
        <f t="shared" si="84"/>
        <v>2016</v>
      </c>
      <c r="D916" t="s">
        <v>916</v>
      </c>
      <c r="E916" t="s">
        <v>727</v>
      </c>
      <c r="F916" t="s">
        <v>257</v>
      </c>
      <c r="G916" t="s">
        <v>258</v>
      </c>
      <c r="H916" t="s">
        <v>241</v>
      </c>
      <c r="I916" t="s">
        <v>333</v>
      </c>
      <c r="J916" t="s">
        <v>304</v>
      </c>
      <c r="K916" t="s">
        <v>761</v>
      </c>
      <c r="L916" t="s">
        <v>268</v>
      </c>
      <c r="M916" t="s">
        <v>246</v>
      </c>
      <c r="N916" t="s">
        <v>263</v>
      </c>
      <c r="O916">
        <v>42621</v>
      </c>
      <c r="P916">
        <v>62.4</v>
      </c>
      <c r="Q916">
        <v>155.99</v>
      </c>
      <c r="R916">
        <f t="shared" si="85"/>
        <v>93.59</v>
      </c>
      <c r="S916">
        <v>22</v>
      </c>
      <c r="T916">
        <f t="shared" si="86"/>
        <v>3431.78</v>
      </c>
      <c r="U916">
        <v>0.02</v>
      </c>
      <c r="V916">
        <f t="shared" si="87"/>
        <v>68.635600000000011</v>
      </c>
      <c r="W916">
        <f t="shared" si="88"/>
        <v>3363.1444000000001</v>
      </c>
      <c r="X916">
        <v>8.08</v>
      </c>
      <c r="Y916">
        <f t="shared" si="89"/>
        <v>3371.2244000000001</v>
      </c>
    </row>
    <row r="917" spans="1:25" x14ac:dyDescent="0.25">
      <c r="A917" t="s">
        <v>1998</v>
      </c>
      <c r="B917">
        <v>42619</v>
      </c>
      <c r="C917" t="str">
        <f t="shared" si="84"/>
        <v>2016</v>
      </c>
      <c r="D917" t="s">
        <v>481</v>
      </c>
      <c r="E917" t="s">
        <v>332</v>
      </c>
      <c r="F917" t="s">
        <v>257</v>
      </c>
      <c r="G917" t="s">
        <v>258</v>
      </c>
      <c r="H917" t="s">
        <v>293</v>
      </c>
      <c r="I917" t="s">
        <v>333</v>
      </c>
      <c r="J917" t="s">
        <v>243</v>
      </c>
      <c r="K917" t="s">
        <v>862</v>
      </c>
      <c r="L917" t="s">
        <v>245</v>
      </c>
      <c r="M917" t="s">
        <v>253</v>
      </c>
      <c r="N917" t="s">
        <v>247</v>
      </c>
      <c r="O917">
        <v>42621</v>
      </c>
      <c r="P917">
        <v>1.92</v>
      </c>
      <c r="Q917">
        <v>3.26</v>
      </c>
      <c r="R917">
        <f t="shared" si="85"/>
        <v>1.3399999999999999</v>
      </c>
      <c r="S917">
        <v>38</v>
      </c>
      <c r="T917">
        <f t="shared" si="86"/>
        <v>123.88</v>
      </c>
      <c r="U917">
        <v>0.02</v>
      </c>
      <c r="V917">
        <f t="shared" si="87"/>
        <v>2.4775999999999998</v>
      </c>
      <c r="W917">
        <f t="shared" si="88"/>
        <v>121.4024</v>
      </c>
      <c r="X917">
        <v>1.86</v>
      </c>
      <c r="Y917">
        <f t="shared" si="89"/>
        <v>123.2624</v>
      </c>
    </row>
    <row r="918" spans="1:25" x14ac:dyDescent="0.25">
      <c r="A918" t="s">
        <v>1999</v>
      </c>
      <c r="B918">
        <v>42626</v>
      </c>
      <c r="C918" t="str">
        <f t="shared" si="84"/>
        <v>2016</v>
      </c>
      <c r="D918" t="s">
        <v>331</v>
      </c>
      <c r="E918" t="s">
        <v>332</v>
      </c>
      <c r="F918" t="s">
        <v>257</v>
      </c>
      <c r="G918" t="s">
        <v>258</v>
      </c>
      <c r="H918" t="s">
        <v>293</v>
      </c>
      <c r="I918" t="s">
        <v>333</v>
      </c>
      <c r="J918" t="s">
        <v>279</v>
      </c>
      <c r="K918" t="s">
        <v>1191</v>
      </c>
      <c r="L918" t="s">
        <v>245</v>
      </c>
      <c r="M918" t="s">
        <v>246</v>
      </c>
      <c r="N918" t="s">
        <v>263</v>
      </c>
      <c r="O918">
        <v>42633</v>
      </c>
      <c r="P918">
        <v>4.03</v>
      </c>
      <c r="Q918">
        <v>9.3800000000000008</v>
      </c>
      <c r="R918">
        <f t="shared" si="85"/>
        <v>5.3500000000000005</v>
      </c>
      <c r="S918">
        <v>46</v>
      </c>
      <c r="T918">
        <f t="shared" si="86"/>
        <v>431.48</v>
      </c>
      <c r="U918">
        <v>0.09</v>
      </c>
      <c r="V918">
        <f t="shared" si="87"/>
        <v>38.833199999999998</v>
      </c>
      <c r="W918">
        <f t="shared" si="88"/>
        <v>392.64680000000004</v>
      </c>
      <c r="X918">
        <v>7.28</v>
      </c>
      <c r="Y918">
        <f t="shared" si="89"/>
        <v>399.92680000000001</v>
      </c>
    </row>
    <row r="919" spans="1:25" x14ac:dyDescent="0.25">
      <c r="A919" t="s">
        <v>2000</v>
      </c>
      <c r="B919">
        <v>42627</v>
      </c>
      <c r="C919" t="str">
        <f t="shared" si="84"/>
        <v>2016</v>
      </c>
      <c r="D919" t="s">
        <v>2001</v>
      </c>
      <c r="E919" t="s">
        <v>238</v>
      </c>
      <c r="F919" t="s">
        <v>239</v>
      </c>
      <c r="G919" t="s">
        <v>240</v>
      </c>
      <c r="H919" t="s">
        <v>241</v>
      </c>
      <c r="I919" t="s">
        <v>242</v>
      </c>
      <c r="J919" t="s">
        <v>243</v>
      </c>
      <c r="K919" t="s">
        <v>817</v>
      </c>
      <c r="L919" t="s">
        <v>245</v>
      </c>
      <c r="M919" t="s">
        <v>253</v>
      </c>
      <c r="N919" t="s">
        <v>247</v>
      </c>
      <c r="O919">
        <v>42629</v>
      </c>
      <c r="P919">
        <v>1.76</v>
      </c>
      <c r="Q919">
        <v>2.94</v>
      </c>
      <c r="R919">
        <f t="shared" si="85"/>
        <v>1.18</v>
      </c>
      <c r="S919">
        <v>26</v>
      </c>
      <c r="T919">
        <f t="shared" si="86"/>
        <v>76.44</v>
      </c>
      <c r="U919">
        <v>0.03</v>
      </c>
      <c r="V919">
        <f t="shared" si="87"/>
        <v>2.2931999999999997</v>
      </c>
      <c r="W919">
        <f t="shared" si="88"/>
        <v>74.146799999999999</v>
      </c>
      <c r="X919">
        <v>0.81</v>
      </c>
      <c r="Y919">
        <f t="shared" si="89"/>
        <v>74.956800000000001</v>
      </c>
    </row>
    <row r="920" spans="1:25" x14ac:dyDescent="0.25">
      <c r="A920" t="s">
        <v>2002</v>
      </c>
      <c r="B920">
        <v>42628</v>
      </c>
      <c r="C920" t="str">
        <f t="shared" si="84"/>
        <v>2016</v>
      </c>
      <c r="D920" t="s">
        <v>930</v>
      </c>
      <c r="E920" t="s">
        <v>643</v>
      </c>
      <c r="F920" t="s">
        <v>257</v>
      </c>
      <c r="G920" t="s">
        <v>258</v>
      </c>
      <c r="H920" t="s">
        <v>293</v>
      </c>
      <c r="I920" t="s">
        <v>342</v>
      </c>
      <c r="J920" t="s">
        <v>243</v>
      </c>
      <c r="K920" t="s">
        <v>906</v>
      </c>
      <c r="L920" t="s">
        <v>268</v>
      </c>
      <c r="M920" t="s">
        <v>269</v>
      </c>
      <c r="N920" t="s">
        <v>270</v>
      </c>
      <c r="O920">
        <v>42629</v>
      </c>
      <c r="P920">
        <v>219.61</v>
      </c>
      <c r="Q920">
        <v>535.64</v>
      </c>
      <c r="R920">
        <f t="shared" si="85"/>
        <v>316.02999999999997</v>
      </c>
      <c r="S920">
        <v>44</v>
      </c>
      <c r="T920">
        <f t="shared" si="86"/>
        <v>23568.16</v>
      </c>
      <c r="U920">
        <v>0.03</v>
      </c>
      <c r="V920">
        <f t="shared" si="87"/>
        <v>707.04480000000001</v>
      </c>
      <c r="W920">
        <f t="shared" si="88"/>
        <v>22861.1152</v>
      </c>
      <c r="X920">
        <v>14.7</v>
      </c>
      <c r="Y920">
        <f t="shared" si="89"/>
        <v>22875.815200000001</v>
      </c>
    </row>
    <row r="921" spans="1:25" x14ac:dyDescent="0.25">
      <c r="A921" t="s">
        <v>2003</v>
      </c>
      <c r="B921">
        <v>42630</v>
      </c>
      <c r="C921" t="str">
        <f t="shared" si="84"/>
        <v>2016</v>
      </c>
      <c r="D921" t="s">
        <v>1231</v>
      </c>
      <c r="E921" t="s">
        <v>558</v>
      </c>
      <c r="F921" t="s">
        <v>257</v>
      </c>
      <c r="G921" t="s">
        <v>258</v>
      </c>
      <c r="H921" t="s">
        <v>241</v>
      </c>
      <c r="I921" t="s">
        <v>333</v>
      </c>
      <c r="J921" t="s">
        <v>279</v>
      </c>
      <c r="K921" t="s">
        <v>373</v>
      </c>
      <c r="L921" t="s">
        <v>268</v>
      </c>
      <c r="M921" t="s">
        <v>246</v>
      </c>
      <c r="N921" t="s">
        <v>247</v>
      </c>
      <c r="O921">
        <v>42632</v>
      </c>
      <c r="P921">
        <v>6.39</v>
      </c>
      <c r="Q921">
        <v>19.98</v>
      </c>
      <c r="R921">
        <f t="shared" si="85"/>
        <v>13.59</v>
      </c>
      <c r="S921">
        <v>44</v>
      </c>
      <c r="T921">
        <f t="shared" si="86"/>
        <v>879.12</v>
      </c>
      <c r="U921">
        <v>0.03</v>
      </c>
      <c r="V921">
        <f t="shared" si="87"/>
        <v>26.3736</v>
      </c>
      <c r="W921">
        <f t="shared" si="88"/>
        <v>852.74639999999999</v>
      </c>
      <c r="X921">
        <v>4</v>
      </c>
      <c r="Y921">
        <f t="shared" si="89"/>
        <v>856.74639999999999</v>
      </c>
    </row>
    <row r="922" spans="1:25" x14ac:dyDescent="0.25">
      <c r="A922" t="s">
        <v>2004</v>
      </c>
      <c r="B922">
        <v>42631</v>
      </c>
      <c r="C922" t="str">
        <f t="shared" si="84"/>
        <v>2016</v>
      </c>
      <c r="D922" t="s">
        <v>680</v>
      </c>
      <c r="E922" t="s">
        <v>681</v>
      </c>
      <c r="F922" t="s">
        <v>257</v>
      </c>
      <c r="G922" t="s">
        <v>258</v>
      </c>
      <c r="H922" t="s">
        <v>274</v>
      </c>
      <c r="I922" t="s">
        <v>299</v>
      </c>
      <c r="J922" t="s">
        <v>279</v>
      </c>
      <c r="K922" t="s">
        <v>872</v>
      </c>
      <c r="L922" t="s">
        <v>245</v>
      </c>
      <c r="M922" t="s">
        <v>246</v>
      </c>
      <c r="N922" t="s">
        <v>247</v>
      </c>
      <c r="O922">
        <v>42631</v>
      </c>
      <c r="P922">
        <v>3.14</v>
      </c>
      <c r="Q922">
        <v>4.91</v>
      </c>
      <c r="R922">
        <f t="shared" si="85"/>
        <v>1.77</v>
      </c>
      <c r="S922">
        <v>13</v>
      </c>
      <c r="T922">
        <f t="shared" si="86"/>
        <v>63.83</v>
      </c>
      <c r="U922">
        <v>0.01</v>
      </c>
      <c r="V922">
        <f t="shared" si="87"/>
        <v>0.63829999999999998</v>
      </c>
      <c r="W922">
        <f t="shared" si="88"/>
        <v>63.191699999999997</v>
      </c>
      <c r="X922">
        <v>0.5</v>
      </c>
      <c r="Y922">
        <f t="shared" si="89"/>
        <v>63.691699999999997</v>
      </c>
    </row>
    <row r="923" spans="1:25" x14ac:dyDescent="0.25">
      <c r="A923" t="s">
        <v>2005</v>
      </c>
      <c r="B923">
        <v>42631</v>
      </c>
      <c r="C923" t="str">
        <f t="shared" si="84"/>
        <v>2016</v>
      </c>
      <c r="D923" t="s">
        <v>1635</v>
      </c>
      <c r="E923" t="s">
        <v>1348</v>
      </c>
      <c r="F923" t="s">
        <v>257</v>
      </c>
      <c r="G923" t="s">
        <v>258</v>
      </c>
      <c r="H923" t="s">
        <v>293</v>
      </c>
      <c r="I923" t="s">
        <v>492</v>
      </c>
      <c r="J923" t="s">
        <v>304</v>
      </c>
      <c r="K923" t="s">
        <v>300</v>
      </c>
      <c r="L923" t="s">
        <v>245</v>
      </c>
      <c r="M923" t="s">
        <v>246</v>
      </c>
      <c r="N923" t="s">
        <v>247</v>
      </c>
      <c r="O923">
        <v>42633</v>
      </c>
      <c r="P923">
        <v>5.33</v>
      </c>
      <c r="Q923">
        <v>8.6</v>
      </c>
      <c r="R923">
        <f t="shared" si="85"/>
        <v>3.2699999999999996</v>
      </c>
      <c r="S923">
        <v>2</v>
      </c>
      <c r="T923">
        <f t="shared" si="86"/>
        <v>17.2</v>
      </c>
      <c r="U923">
        <v>0.03</v>
      </c>
      <c r="V923">
        <f t="shared" si="87"/>
        <v>0.51600000000000001</v>
      </c>
      <c r="W923">
        <f t="shared" si="88"/>
        <v>16.683999999999997</v>
      </c>
      <c r="X923">
        <v>6.19</v>
      </c>
      <c r="Y923">
        <f t="shared" si="89"/>
        <v>22.873999999999999</v>
      </c>
    </row>
    <row r="924" spans="1:25" x14ac:dyDescent="0.25">
      <c r="A924" t="s">
        <v>2006</v>
      </c>
      <c r="B924">
        <v>42631</v>
      </c>
      <c r="C924" t="str">
        <f t="shared" si="84"/>
        <v>2016</v>
      </c>
      <c r="D924" t="s">
        <v>1635</v>
      </c>
      <c r="E924" t="s">
        <v>1348</v>
      </c>
      <c r="F924" t="s">
        <v>257</v>
      </c>
      <c r="G924" t="s">
        <v>258</v>
      </c>
      <c r="H924" t="s">
        <v>293</v>
      </c>
      <c r="I924" t="s">
        <v>492</v>
      </c>
      <c r="J924" t="s">
        <v>304</v>
      </c>
      <c r="K924" t="s">
        <v>659</v>
      </c>
      <c r="L924" t="s">
        <v>245</v>
      </c>
      <c r="M924" t="s">
        <v>246</v>
      </c>
      <c r="N924" t="s">
        <v>247</v>
      </c>
      <c r="O924">
        <v>42632</v>
      </c>
      <c r="P924">
        <v>67.73</v>
      </c>
      <c r="Q924">
        <v>165.2</v>
      </c>
      <c r="R924">
        <f t="shared" si="85"/>
        <v>97.469999999999985</v>
      </c>
      <c r="S924">
        <v>10</v>
      </c>
      <c r="T924">
        <f t="shared" si="86"/>
        <v>1652</v>
      </c>
      <c r="U924">
        <v>0.08</v>
      </c>
      <c r="V924">
        <f t="shared" si="87"/>
        <v>132.16</v>
      </c>
      <c r="W924">
        <f t="shared" si="88"/>
        <v>1519.84</v>
      </c>
      <c r="X924">
        <v>19.989999999999998</v>
      </c>
      <c r="Y924">
        <f t="shared" si="89"/>
        <v>1539.83</v>
      </c>
    </row>
    <row r="925" spans="1:25" x14ac:dyDescent="0.25">
      <c r="A925" t="s">
        <v>2007</v>
      </c>
      <c r="B925">
        <v>42633</v>
      </c>
      <c r="C925" t="str">
        <f t="shared" si="84"/>
        <v>2016</v>
      </c>
      <c r="D925" t="s">
        <v>897</v>
      </c>
      <c r="E925" t="s">
        <v>898</v>
      </c>
      <c r="F925" t="s">
        <v>239</v>
      </c>
      <c r="G925" t="s">
        <v>240</v>
      </c>
      <c r="H925" t="s">
        <v>293</v>
      </c>
      <c r="I925" t="s">
        <v>251</v>
      </c>
      <c r="J925" t="s">
        <v>279</v>
      </c>
      <c r="K925" t="s">
        <v>387</v>
      </c>
      <c r="L925" t="s">
        <v>245</v>
      </c>
      <c r="M925" t="s">
        <v>323</v>
      </c>
      <c r="N925" t="s">
        <v>247</v>
      </c>
      <c r="O925">
        <v>42633</v>
      </c>
      <c r="P925">
        <v>4.79</v>
      </c>
      <c r="Q925">
        <v>11.97</v>
      </c>
      <c r="R925">
        <f t="shared" si="85"/>
        <v>7.1800000000000006</v>
      </c>
      <c r="S925">
        <v>38</v>
      </c>
      <c r="T925">
        <f t="shared" si="86"/>
        <v>454.86</v>
      </c>
      <c r="U925">
        <v>0.02</v>
      </c>
      <c r="V925">
        <f t="shared" si="87"/>
        <v>9.0972000000000008</v>
      </c>
      <c r="W925">
        <f t="shared" si="88"/>
        <v>445.76280000000003</v>
      </c>
      <c r="X925">
        <v>5.81</v>
      </c>
      <c r="Y925">
        <f t="shared" si="89"/>
        <v>451.57280000000003</v>
      </c>
    </row>
    <row r="926" spans="1:25" x14ac:dyDescent="0.25">
      <c r="A926" t="s">
        <v>2008</v>
      </c>
      <c r="B926">
        <v>42633</v>
      </c>
      <c r="C926" t="str">
        <f t="shared" si="84"/>
        <v>2016</v>
      </c>
      <c r="D926" t="s">
        <v>1947</v>
      </c>
      <c r="E926" t="s">
        <v>352</v>
      </c>
      <c r="F926" t="s">
        <v>257</v>
      </c>
      <c r="G926" t="s">
        <v>258</v>
      </c>
      <c r="H926" t="s">
        <v>274</v>
      </c>
      <c r="I926" t="s">
        <v>275</v>
      </c>
      <c r="J926" t="s">
        <v>279</v>
      </c>
      <c r="K926" t="s">
        <v>485</v>
      </c>
      <c r="L926" t="s">
        <v>245</v>
      </c>
      <c r="M926" t="s">
        <v>253</v>
      </c>
      <c r="N926" t="s">
        <v>247</v>
      </c>
      <c r="O926">
        <v>42633</v>
      </c>
      <c r="P926">
        <v>3.48</v>
      </c>
      <c r="Q926">
        <v>5.43</v>
      </c>
      <c r="R926">
        <f t="shared" si="85"/>
        <v>1.9499999999999997</v>
      </c>
      <c r="S926">
        <v>12</v>
      </c>
      <c r="T926">
        <f t="shared" si="86"/>
        <v>65.16</v>
      </c>
      <c r="U926">
        <v>0.01</v>
      </c>
      <c r="V926">
        <f t="shared" si="87"/>
        <v>0.65159999999999996</v>
      </c>
      <c r="W926">
        <f t="shared" si="88"/>
        <v>64.508399999999995</v>
      </c>
      <c r="X926">
        <v>0.95</v>
      </c>
      <c r="Y926">
        <f t="shared" si="89"/>
        <v>65.458399999999997</v>
      </c>
    </row>
    <row r="927" spans="1:25" x14ac:dyDescent="0.25">
      <c r="A927" t="s">
        <v>2009</v>
      </c>
      <c r="B927">
        <v>42634</v>
      </c>
      <c r="C927" t="str">
        <f t="shared" si="84"/>
        <v>2016</v>
      </c>
      <c r="D927" t="s">
        <v>778</v>
      </c>
      <c r="E927" t="s">
        <v>767</v>
      </c>
      <c r="F927" t="s">
        <v>257</v>
      </c>
      <c r="G927" t="s">
        <v>258</v>
      </c>
      <c r="H927" t="s">
        <v>259</v>
      </c>
      <c r="I927" t="s">
        <v>260</v>
      </c>
      <c r="J927" t="s">
        <v>304</v>
      </c>
      <c r="K927" t="s">
        <v>688</v>
      </c>
      <c r="L927" t="s">
        <v>245</v>
      </c>
      <c r="M927" t="s">
        <v>246</v>
      </c>
      <c r="N927" t="s">
        <v>247</v>
      </c>
      <c r="O927">
        <v>42634</v>
      </c>
      <c r="P927">
        <v>2.4500000000000002</v>
      </c>
      <c r="Q927">
        <v>3.89</v>
      </c>
      <c r="R927">
        <f t="shared" si="85"/>
        <v>1.44</v>
      </c>
      <c r="S927">
        <v>50</v>
      </c>
      <c r="T927">
        <f t="shared" si="86"/>
        <v>194.5</v>
      </c>
      <c r="U927">
        <v>0.08</v>
      </c>
      <c r="V927">
        <f t="shared" si="87"/>
        <v>15.56</v>
      </c>
      <c r="W927">
        <f t="shared" si="88"/>
        <v>178.94</v>
      </c>
      <c r="X927">
        <v>7.01</v>
      </c>
      <c r="Y927">
        <f t="shared" si="89"/>
        <v>185.95</v>
      </c>
    </row>
    <row r="928" spans="1:25" x14ac:dyDescent="0.25">
      <c r="A928" t="s">
        <v>2010</v>
      </c>
      <c r="B928">
        <v>42635</v>
      </c>
      <c r="C928" t="str">
        <f t="shared" si="84"/>
        <v>2016</v>
      </c>
      <c r="D928" t="s">
        <v>1563</v>
      </c>
      <c r="E928" t="s">
        <v>528</v>
      </c>
      <c r="F928" t="s">
        <v>239</v>
      </c>
      <c r="G928" t="s">
        <v>240</v>
      </c>
      <c r="H928" t="s">
        <v>293</v>
      </c>
      <c r="I928" t="s">
        <v>251</v>
      </c>
      <c r="J928" t="s">
        <v>304</v>
      </c>
      <c r="K928" t="s">
        <v>360</v>
      </c>
      <c r="L928" t="s">
        <v>245</v>
      </c>
      <c r="M928" t="s">
        <v>253</v>
      </c>
      <c r="N928" t="s">
        <v>247</v>
      </c>
      <c r="O928">
        <v>42636</v>
      </c>
      <c r="P928">
        <v>2.52</v>
      </c>
      <c r="Q928">
        <v>4</v>
      </c>
      <c r="R928">
        <f t="shared" si="85"/>
        <v>1.48</v>
      </c>
      <c r="S928">
        <v>22</v>
      </c>
      <c r="T928">
        <f t="shared" si="86"/>
        <v>88</v>
      </c>
      <c r="U928">
        <v>0.09</v>
      </c>
      <c r="V928">
        <f t="shared" si="87"/>
        <v>7.92</v>
      </c>
      <c r="W928">
        <f t="shared" si="88"/>
        <v>80.08</v>
      </c>
      <c r="X928">
        <v>1.3</v>
      </c>
      <c r="Y928">
        <f t="shared" si="89"/>
        <v>81.38</v>
      </c>
    </row>
    <row r="929" spans="1:25" x14ac:dyDescent="0.25">
      <c r="A929" t="s">
        <v>2011</v>
      </c>
      <c r="B929">
        <v>42636</v>
      </c>
      <c r="C929" t="str">
        <f t="shared" si="84"/>
        <v>2016</v>
      </c>
      <c r="D929" t="s">
        <v>2012</v>
      </c>
      <c r="E929" t="s">
        <v>409</v>
      </c>
      <c r="F929" t="s">
        <v>257</v>
      </c>
      <c r="G929" t="s">
        <v>258</v>
      </c>
      <c r="H929" t="s">
        <v>293</v>
      </c>
      <c r="I929" t="s">
        <v>342</v>
      </c>
      <c r="J929" t="s">
        <v>304</v>
      </c>
      <c r="K929" t="s">
        <v>533</v>
      </c>
      <c r="L929" t="s">
        <v>245</v>
      </c>
      <c r="M929" t="s">
        <v>246</v>
      </c>
      <c r="N929" t="s">
        <v>247</v>
      </c>
      <c r="O929">
        <v>42639</v>
      </c>
      <c r="P929">
        <v>3.4</v>
      </c>
      <c r="Q929">
        <v>5.4</v>
      </c>
      <c r="R929">
        <f t="shared" si="85"/>
        <v>2.0000000000000004</v>
      </c>
      <c r="S929">
        <v>38</v>
      </c>
      <c r="T929">
        <f t="shared" si="86"/>
        <v>205.20000000000002</v>
      </c>
      <c r="U929">
        <v>0.03</v>
      </c>
      <c r="V929">
        <f t="shared" si="87"/>
        <v>6.1560000000000006</v>
      </c>
      <c r="W929">
        <f t="shared" si="88"/>
        <v>199.04400000000001</v>
      </c>
      <c r="X929">
        <v>7.78</v>
      </c>
      <c r="Y929">
        <f t="shared" si="89"/>
        <v>206.82400000000001</v>
      </c>
    </row>
    <row r="930" spans="1:25" x14ac:dyDescent="0.25">
      <c r="A930" t="s">
        <v>2013</v>
      </c>
      <c r="B930">
        <v>42638</v>
      </c>
      <c r="C930" t="str">
        <f t="shared" si="84"/>
        <v>2016</v>
      </c>
      <c r="D930" t="s">
        <v>664</v>
      </c>
      <c r="E930" t="s">
        <v>665</v>
      </c>
      <c r="F930" t="s">
        <v>448</v>
      </c>
      <c r="G930" t="s">
        <v>449</v>
      </c>
      <c r="H930" t="s">
        <v>259</v>
      </c>
      <c r="I930" t="s">
        <v>333</v>
      </c>
      <c r="J930" t="s">
        <v>261</v>
      </c>
      <c r="K930" t="s">
        <v>607</v>
      </c>
      <c r="L930" t="s">
        <v>245</v>
      </c>
      <c r="M930" t="s">
        <v>246</v>
      </c>
      <c r="N930" t="s">
        <v>247</v>
      </c>
      <c r="O930">
        <v>42639</v>
      </c>
      <c r="P930">
        <v>4.46</v>
      </c>
      <c r="Q930">
        <v>10.89</v>
      </c>
      <c r="R930">
        <f t="shared" si="85"/>
        <v>6.4300000000000006</v>
      </c>
      <c r="S930">
        <v>19</v>
      </c>
      <c r="T930">
        <f t="shared" si="86"/>
        <v>206.91000000000003</v>
      </c>
      <c r="U930">
        <v>7.0000000000000007E-2</v>
      </c>
      <c r="V930">
        <f t="shared" si="87"/>
        <v>14.483700000000002</v>
      </c>
      <c r="W930">
        <f t="shared" si="88"/>
        <v>192.42630000000003</v>
      </c>
      <c r="X930">
        <v>4.5</v>
      </c>
      <c r="Y930">
        <f t="shared" si="89"/>
        <v>196.92630000000003</v>
      </c>
    </row>
    <row r="931" spans="1:25" x14ac:dyDescent="0.25">
      <c r="A931" t="s">
        <v>2014</v>
      </c>
      <c r="B931">
        <v>42639</v>
      </c>
      <c r="C931" t="str">
        <f t="shared" si="84"/>
        <v>2016</v>
      </c>
      <c r="D931" t="s">
        <v>1084</v>
      </c>
      <c r="E931" t="s">
        <v>2015</v>
      </c>
      <c r="F931" t="s">
        <v>448</v>
      </c>
      <c r="G931" t="s">
        <v>449</v>
      </c>
      <c r="H931" t="s">
        <v>293</v>
      </c>
      <c r="I931" t="s">
        <v>333</v>
      </c>
      <c r="J931" t="s">
        <v>304</v>
      </c>
      <c r="K931" t="s">
        <v>421</v>
      </c>
      <c r="L931" t="s">
        <v>245</v>
      </c>
      <c r="M931" t="s">
        <v>246</v>
      </c>
      <c r="N931" t="s">
        <v>247</v>
      </c>
      <c r="O931">
        <v>42641</v>
      </c>
      <c r="P931">
        <v>13.88</v>
      </c>
      <c r="Q931">
        <v>22.38</v>
      </c>
      <c r="R931">
        <f t="shared" si="85"/>
        <v>8.4999999999999982</v>
      </c>
      <c r="S931">
        <v>34</v>
      </c>
      <c r="T931">
        <f t="shared" si="86"/>
        <v>760.92</v>
      </c>
      <c r="U931">
        <v>7.0000000000000007E-2</v>
      </c>
      <c r="V931">
        <f t="shared" si="87"/>
        <v>53.264400000000002</v>
      </c>
      <c r="W931">
        <f t="shared" si="88"/>
        <v>707.65559999999994</v>
      </c>
      <c r="X931">
        <v>15.1</v>
      </c>
      <c r="Y931">
        <f t="shared" si="89"/>
        <v>722.75559999999996</v>
      </c>
    </row>
    <row r="932" spans="1:25" x14ac:dyDescent="0.25">
      <c r="A932" t="s">
        <v>2016</v>
      </c>
      <c r="B932">
        <v>42639</v>
      </c>
      <c r="C932" t="str">
        <f t="shared" si="84"/>
        <v>2016</v>
      </c>
      <c r="D932" t="s">
        <v>1084</v>
      </c>
      <c r="E932" t="s">
        <v>2017</v>
      </c>
      <c r="F932" t="s">
        <v>448</v>
      </c>
      <c r="G932" t="s">
        <v>449</v>
      </c>
      <c r="H932" t="s">
        <v>293</v>
      </c>
      <c r="I932" t="s">
        <v>333</v>
      </c>
      <c r="J932" t="s">
        <v>304</v>
      </c>
      <c r="K932" t="s">
        <v>1130</v>
      </c>
      <c r="L932" t="s">
        <v>268</v>
      </c>
      <c r="M932" t="s">
        <v>246</v>
      </c>
      <c r="N932" t="s">
        <v>263</v>
      </c>
      <c r="O932">
        <v>42640</v>
      </c>
      <c r="P932">
        <v>14.7</v>
      </c>
      <c r="Q932">
        <v>29.99</v>
      </c>
      <c r="R932">
        <f t="shared" si="85"/>
        <v>15.29</v>
      </c>
      <c r="S932">
        <v>36</v>
      </c>
      <c r="T932">
        <f t="shared" si="86"/>
        <v>1079.6399999999999</v>
      </c>
      <c r="U932">
        <v>0.03</v>
      </c>
      <c r="V932">
        <f t="shared" si="87"/>
        <v>32.389199999999995</v>
      </c>
      <c r="W932">
        <f t="shared" si="88"/>
        <v>1047.2507999999998</v>
      </c>
      <c r="X932">
        <v>5.5</v>
      </c>
      <c r="Y932">
        <f t="shared" si="89"/>
        <v>1052.7507999999998</v>
      </c>
    </row>
    <row r="933" spans="1:25" x14ac:dyDescent="0.25">
      <c r="A933" t="s">
        <v>2018</v>
      </c>
      <c r="B933">
        <v>42639</v>
      </c>
      <c r="C933" t="str">
        <f t="shared" si="84"/>
        <v>2016</v>
      </c>
      <c r="D933" t="s">
        <v>1023</v>
      </c>
      <c r="E933" t="s">
        <v>356</v>
      </c>
      <c r="F933" t="s">
        <v>239</v>
      </c>
      <c r="G933" t="s">
        <v>240</v>
      </c>
      <c r="H933" t="s">
        <v>259</v>
      </c>
      <c r="I933" t="s">
        <v>251</v>
      </c>
      <c r="J933" t="s">
        <v>279</v>
      </c>
      <c r="K933" t="s">
        <v>998</v>
      </c>
      <c r="L933" t="s">
        <v>245</v>
      </c>
      <c r="M933" t="s">
        <v>246</v>
      </c>
      <c r="N933" t="s">
        <v>247</v>
      </c>
      <c r="O933">
        <v>42648</v>
      </c>
      <c r="P933">
        <v>21.97</v>
      </c>
      <c r="Q933">
        <v>35.44</v>
      </c>
      <c r="R933">
        <f t="shared" si="85"/>
        <v>13.469999999999999</v>
      </c>
      <c r="S933">
        <v>44</v>
      </c>
      <c r="T933">
        <f t="shared" si="86"/>
        <v>1559.36</v>
      </c>
      <c r="U933">
        <v>0.01</v>
      </c>
      <c r="V933">
        <f t="shared" si="87"/>
        <v>15.593599999999999</v>
      </c>
      <c r="W933">
        <f t="shared" si="88"/>
        <v>1543.7664</v>
      </c>
      <c r="X933">
        <v>4.92</v>
      </c>
      <c r="Y933">
        <f t="shared" si="89"/>
        <v>1548.6864</v>
      </c>
    </row>
    <row r="934" spans="1:25" x14ac:dyDescent="0.25">
      <c r="A934" t="s">
        <v>2019</v>
      </c>
      <c r="B934">
        <v>42641</v>
      </c>
      <c r="C934" t="str">
        <f t="shared" si="84"/>
        <v>2016</v>
      </c>
      <c r="D934" t="s">
        <v>392</v>
      </c>
      <c r="E934" t="s">
        <v>393</v>
      </c>
      <c r="F934" t="s">
        <v>257</v>
      </c>
      <c r="G934" t="s">
        <v>258</v>
      </c>
      <c r="H934" t="s">
        <v>293</v>
      </c>
      <c r="I934" t="s">
        <v>342</v>
      </c>
      <c r="J934" t="s">
        <v>243</v>
      </c>
      <c r="K934" t="s">
        <v>514</v>
      </c>
      <c r="L934" t="s">
        <v>245</v>
      </c>
      <c r="M934" t="s">
        <v>246</v>
      </c>
      <c r="N934" t="s">
        <v>247</v>
      </c>
      <c r="O934">
        <v>42643</v>
      </c>
      <c r="P934">
        <v>19.829999999999998</v>
      </c>
      <c r="Q934">
        <v>30.98</v>
      </c>
      <c r="R934">
        <f t="shared" si="85"/>
        <v>11.150000000000002</v>
      </c>
      <c r="S934">
        <v>30</v>
      </c>
      <c r="T934">
        <f t="shared" si="86"/>
        <v>929.4</v>
      </c>
      <c r="U934">
        <v>0.03</v>
      </c>
      <c r="V934">
        <f t="shared" si="87"/>
        <v>27.881999999999998</v>
      </c>
      <c r="W934">
        <f t="shared" si="88"/>
        <v>901.51800000000003</v>
      </c>
      <c r="X934">
        <v>19.510000000000002</v>
      </c>
      <c r="Y934">
        <f t="shared" si="89"/>
        <v>921.02800000000002</v>
      </c>
    </row>
    <row r="935" spans="1:25" x14ac:dyDescent="0.25">
      <c r="A935" t="s">
        <v>2020</v>
      </c>
      <c r="B935">
        <v>42643</v>
      </c>
      <c r="C935" t="str">
        <f t="shared" si="84"/>
        <v>2016</v>
      </c>
      <c r="D935" t="s">
        <v>358</v>
      </c>
      <c r="E935" t="s">
        <v>359</v>
      </c>
      <c r="F935" t="s">
        <v>239</v>
      </c>
      <c r="G935" t="s">
        <v>240</v>
      </c>
      <c r="H935" t="s">
        <v>293</v>
      </c>
      <c r="I935" t="s">
        <v>251</v>
      </c>
      <c r="J935" t="s">
        <v>243</v>
      </c>
      <c r="K935" t="s">
        <v>329</v>
      </c>
      <c r="L935" t="s">
        <v>245</v>
      </c>
      <c r="M935" t="s">
        <v>246</v>
      </c>
      <c r="N935" t="s">
        <v>247</v>
      </c>
      <c r="O935">
        <v>42645</v>
      </c>
      <c r="P935">
        <v>4.59</v>
      </c>
      <c r="Q935">
        <v>7.28</v>
      </c>
      <c r="R935">
        <f t="shared" si="85"/>
        <v>2.6900000000000004</v>
      </c>
      <c r="S935">
        <v>50</v>
      </c>
      <c r="T935">
        <f t="shared" si="86"/>
        <v>364</v>
      </c>
      <c r="U935">
        <v>0.01</v>
      </c>
      <c r="V935">
        <f t="shared" si="87"/>
        <v>3.64</v>
      </c>
      <c r="W935">
        <f t="shared" si="88"/>
        <v>360.36</v>
      </c>
      <c r="X935">
        <v>11.15</v>
      </c>
      <c r="Y935">
        <f t="shared" si="89"/>
        <v>371.51</v>
      </c>
    </row>
    <row r="936" spans="1:25" x14ac:dyDescent="0.25">
      <c r="A936" t="s">
        <v>2021</v>
      </c>
      <c r="B936">
        <v>42644</v>
      </c>
      <c r="C936" t="str">
        <f t="shared" si="84"/>
        <v>2016</v>
      </c>
      <c r="D936" t="s">
        <v>826</v>
      </c>
      <c r="E936" t="s">
        <v>352</v>
      </c>
      <c r="F936" t="s">
        <v>257</v>
      </c>
      <c r="G936" t="s">
        <v>258</v>
      </c>
      <c r="H936" t="s">
        <v>293</v>
      </c>
      <c r="I936" t="s">
        <v>275</v>
      </c>
      <c r="J936" t="s">
        <v>304</v>
      </c>
      <c r="K936" t="s">
        <v>514</v>
      </c>
      <c r="L936" t="s">
        <v>245</v>
      </c>
      <c r="M936" t="s">
        <v>246</v>
      </c>
      <c r="N936" t="s">
        <v>247</v>
      </c>
      <c r="O936">
        <v>42645</v>
      </c>
      <c r="P936">
        <v>19.829999999999998</v>
      </c>
      <c r="Q936">
        <v>30.98</v>
      </c>
      <c r="R936">
        <f t="shared" si="85"/>
        <v>11.150000000000002</v>
      </c>
      <c r="S936">
        <v>37</v>
      </c>
      <c r="T936">
        <f t="shared" si="86"/>
        <v>1146.26</v>
      </c>
      <c r="U936">
        <v>0.01</v>
      </c>
      <c r="V936">
        <f t="shared" si="87"/>
        <v>11.4626</v>
      </c>
      <c r="W936">
        <f t="shared" si="88"/>
        <v>1134.7973999999999</v>
      </c>
      <c r="X936">
        <v>19.510000000000002</v>
      </c>
      <c r="Y936">
        <f t="shared" si="89"/>
        <v>1154.3073999999999</v>
      </c>
    </row>
    <row r="937" spans="1:25" x14ac:dyDescent="0.25">
      <c r="A937" t="s">
        <v>2022</v>
      </c>
      <c r="B937">
        <v>42644</v>
      </c>
      <c r="C937" t="str">
        <f t="shared" si="84"/>
        <v>2016</v>
      </c>
      <c r="D937" t="s">
        <v>2023</v>
      </c>
      <c r="E937" t="s">
        <v>709</v>
      </c>
      <c r="F937" t="s">
        <v>257</v>
      </c>
      <c r="G937" t="s">
        <v>258</v>
      </c>
      <c r="H937" t="s">
        <v>241</v>
      </c>
      <c r="I937" t="s">
        <v>275</v>
      </c>
      <c r="J937" t="s">
        <v>304</v>
      </c>
      <c r="K937" t="s">
        <v>334</v>
      </c>
      <c r="L937" t="s">
        <v>245</v>
      </c>
      <c r="M937" t="s">
        <v>253</v>
      </c>
      <c r="N937" t="s">
        <v>247</v>
      </c>
      <c r="O937">
        <v>42645</v>
      </c>
      <c r="P937">
        <v>1.3</v>
      </c>
      <c r="Q937">
        <v>2.88</v>
      </c>
      <c r="R937">
        <f t="shared" si="85"/>
        <v>1.5799999999999998</v>
      </c>
      <c r="S937">
        <v>46</v>
      </c>
      <c r="T937">
        <f t="shared" si="86"/>
        <v>132.47999999999999</v>
      </c>
      <c r="U937">
        <v>0.05</v>
      </c>
      <c r="V937">
        <f t="shared" si="87"/>
        <v>6.6239999999999997</v>
      </c>
      <c r="W937">
        <f t="shared" si="88"/>
        <v>125.85599999999999</v>
      </c>
      <c r="X937">
        <v>1.01</v>
      </c>
      <c r="Y937">
        <f t="shared" si="89"/>
        <v>126.866</v>
      </c>
    </row>
    <row r="938" spans="1:25" x14ac:dyDescent="0.25">
      <c r="A938" t="s">
        <v>2024</v>
      </c>
      <c r="B938">
        <v>42649</v>
      </c>
      <c r="C938" t="str">
        <f t="shared" si="84"/>
        <v>2016</v>
      </c>
      <c r="D938" t="s">
        <v>307</v>
      </c>
      <c r="E938" t="s">
        <v>308</v>
      </c>
      <c r="F938" t="s">
        <v>257</v>
      </c>
      <c r="G938" t="s">
        <v>258</v>
      </c>
      <c r="H938" t="s">
        <v>259</v>
      </c>
      <c r="I938" t="s">
        <v>309</v>
      </c>
      <c r="J938" t="s">
        <v>243</v>
      </c>
      <c r="K938" t="s">
        <v>349</v>
      </c>
      <c r="L938" t="s">
        <v>245</v>
      </c>
      <c r="M938" t="s">
        <v>246</v>
      </c>
      <c r="N938" t="s">
        <v>247</v>
      </c>
      <c r="O938">
        <v>42651</v>
      </c>
      <c r="P938">
        <v>3.52</v>
      </c>
      <c r="Q938">
        <v>5.68</v>
      </c>
      <c r="R938">
        <f t="shared" si="85"/>
        <v>2.1599999999999997</v>
      </c>
      <c r="S938">
        <v>23</v>
      </c>
      <c r="T938">
        <f t="shared" si="86"/>
        <v>130.63999999999999</v>
      </c>
      <c r="U938">
        <v>0.02</v>
      </c>
      <c r="V938">
        <f t="shared" si="87"/>
        <v>2.6127999999999996</v>
      </c>
      <c r="W938">
        <f t="shared" si="88"/>
        <v>128.02719999999999</v>
      </c>
      <c r="X938">
        <v>1.39</v>
      </c>
      <c r="Y938">
        <f t="shared" si="89"/>
        <v>129.41719999999998</v>
      </c>
    </row>
    <row r="939" spans="1:25" x14ac:dyDescent="0.25">
      <c r="A939" t="s">
        <v>2025</v>
      </c>
      <c r="B939">
        <v>42651</v>
      </c>
      <c r="C939" t="str">
        <f t="shared" si="84"/>
        <v>2016</v>
      </c>
      <c r="D939" t="s">
        <v>759</v>
      </c>
      <c r="E939" t="s">
        <v>760</v>
      </c>
      <c r="F939" t="s">
        <v>448</v>
      </c>
      <c r="G939" t="s">
        <v>449</v>
      </c>
      <c r="H939" t="s">
        <v>259</v>
      </c>
      <c r="I939" t="s">
        <v>333</v>
      </c>
      <c r="J939" t="s">
        <v>243</v>
      </c>
      <c r="K939" t="s">
        <v>779</v>
      </c>
      <c r="L939" t="s">
        <v>245</v>
      </c>
      <c r="M939" t="s">
        <v>246</v>
      </c>
      <c r="N939" t="s">
        <v>247</v>
      </c>
      <c r="O939">
        <v>42651</v>
      </c>
      <c r="P939">
        <v>11.04</v>
      </c>
      <c r="Q939">
        <v>16.98</v>
      </c>
      <c r="R939">
        <f t="shared" si="85"/>
        <v>5.9400000000000013</v>
      </c>
      <c r="S939">
        <v>43</v>
      </c>
      <c r="T939">
        <f t="shared" si="86"/>
        <v>730.14</v>
      </c>
      <c r="U939">
        <v>0.09</v>
      </c>
      <c r="V939">
        <f t="shared" si="87"/>
        <v>65.712599999999995</v>
      </c>
      <c r="W939">
        <f t="shared" si="88"/>
        <v>664.42740000000003</v>
      </c>
      <c r="X939">
        <v>12.39</v>
      </c>
      <c r="Y939">
        <f t="shared" si="89"/>
        <v>676.81740000000002</v>
      </c>
    </row>
    <row r="940" spans="1:25" x14ac:dyDescent="0.25">
      <c r="A940" t="s">
        <v>2026</v>
      </c>
      <c r="B940">
        <v>42654</v>
      </c>
      <c r="C940" t="str">
        <f t="shared" si="84"/>
        <v>2016</v>
      </c>
      <c r="D940" t="s">
        <v>646</v>
      </c>
      <c r="E940" t="s">
        <v>376</v>
      </c>
      <c r="F940" t="s">
        <v>239</v>
      </c>
      <c r="G940" t="s">
        <v>240</v>
      </c>
      <c r="H940" t="s">
        <v>293</v>
      </c>
      <c r="I940" t="s">
        <v>242</v>
      </c>
      <c r="J940" t="s">
        <v>279</v>
      </c>
      <c r="K940" t="s">
        <v>888</v>
      </c>
      <c r="L940" t="s">
        <v>245</v>
      </c>
      <c r="M940" t="s">
        <v>253</v>
      </c>
      <c r="N940" t="s">
        <v>247</v>
      </c>
      <c r="O940">
        <v>42658</v>
      </c>
      <c r="P940">
        <v>2.31</v>
      </c>
      <c r="Q940">
        <v>3.78</v>
      </c>
      <c r="R940">
        <f t="shared" si="85"/>
        <v>1.4699999999999998</v>
      </c>
      <c r="S940">
        <v>22</v>
      </c>
      <c r="T940">
        <f t="shared" si="86"/>
        <v>83.16</v>
      </c>
      <c r="U940">
        <v>0.1</v>
      </c>
      <c r="V940">
        <f t="shared" si="87"/>
        <v>8.3160000000000007</v>
      </c>
      <c r="W940">
        <f t="shared" si="88"/>
        <v>74.843999999999994</v>
      </c>
      <c r="X940">
        <v>0.71</v>
      </c>
      <c r="Y940">
        <f t="shared" si="89"/>
        <v>75.553999999999988</v>
      </c>
    </row>
    <row r="941" spans="1:25" x14ac:dyDescent="0.25">
      <c r="A941" t="s">
        <v>2027</v>
      </c>
      <c r="B941">
        <v>42655</v>
      </c>
      <c r="C941" t="str">
        <f t="shared" si="84"/>
        <v>2016</v>
      </c>
      <c r="D941" t="s">
        <v>1956</v>
      </c>
      <c r="E941" t="s">
        <v>420</v>
      </c>
      <c r="F941" t="s">
        <v>239</v>
      </c>
      <c r="G941" t="s">
        <v>240</v>
      </c>
      <c r="H941" t="s">
        <v>241</v>
      </c>
      <c r="I941" t="s">
        <v>251</v>
      </c>
      <c r="J941" t="s">
        <v>294</v>
      </c>
      <c r="K941" t="s">
        <v>295</v>
      </c>
      <c r="L941" t="s">
        <v>245</v>
      </c>
      <c r="M941" t="s">
        <v>246</v>
      </c>
      <c r="N941" t="s">
        <v>247</v>
      </c>
      <c r="O941">
        <v>42657</v>
      </c>
      <c r="P941">
        <v>54.29</v>
      </c>
      <c r="Q941">
        <v>90.48</v>
      </c>
      <c r="R941">
        <f t="shared" si="85"/>
        <v>36.190000000000005</v>
      </c>
      <c r="S941">
        <v>25</v>
      </c>
      <c r="T941">
        <f t="shared" si="86"/>
        <v>2262</v>
      </c>
      <c r="U941">
        <v>0.02</v>
      </c>
      <c r="V941">
        <f t="shared" si="87"/>
        <v>45.24</v>
      </c>
      <c r="W941">
        <f t="shared" si="88"/>
        <v>2216.7600000000002</v>
      </c>
      <c r="X941">
        <v>19.989999999999998</v>
      </c>
      <c r="Y941">
        <f t="shared" si="89"/>
        <v>2236.75</v>
      </c>
    </row>
    <row r="942" spans="1:25" x14ac:dyDescent="0.25">
      <c r="A942" t="s">
        <v>2028</v>
      </c>
      <c r="B942">
        <v>42656</v>
      </c>
      <c r="C942" t="str">
        <f t="shared" si="84"/>
        <v>2016</v>
      </c>
      <c r="D942" t="s">
        <v>1671</v>
      </c>
      <c r="E942" t="s">
        <v>546</v>
      </c>
      <c r="F942" t="s">
        <v>257</v>
      </c>
      <c r="G942" t="s">
        <v>258</v>
      </c>
      <c r="H942" t="s">
        <v>259</v>
      </c>
      <c r="I942" t="s">
        <v>260</v>
      </c>
      <c r="J942" t="s">
        <v>279</v>
      </c>
      <c r="K942" t="s">
        <v>559</v>
      </c>
      <c r="L942" t="s">
        <v>245</v>
      </c>
      <c r="M942" t="s">
        <v>246</v>
      </c>
      <c r="N942" t="s">
        <v>247</v>
      </c>
      <c r="O942">
        <v>42661</v>
      </c>
      <c r="P942">
        <v>16.850000000000001</v>
      </c>
      <c r="Q942">
        <v>27.18</v>
      </c>
      <c r="R942">
        <f t="shared" si="85"/>
        <v>10.329999999999998</v>
      </c>
      <c r="S942">
        <v>38</v>
      </c>
      <c r="T942">
        <f t="shared" si="86"/>
        <v>1032.8399999999999</v>
      </c>
      <c r="U942">
        <v>0.01</v>
      </c>
      <c r="V942">
        <f t="shared" si="87"/>
        <v>10.3284</v>
      </c>
      <c r="W942">
        <f t="shared" si="88"/>
        <v>1022.5115999999999</v>
      </c>
      <c r="X942">
        <v>8.23</v>
      </c>
      <c r="Y942">
        <f t="shared" si="89"/>
        <v>1030.7415999999998</v>
      </c>
    </row>
    <row r="943" spans="1:25" x14ac:dyDescent="0.25">
      <c r="A943" t="s">
        <v>2029</v>
      </c>
      <c r="B943">
        <v>42657</v>
      </c>
      <c r="C943" t="str">
        <f t="shared" si="84"/>
        <v>2016</v>
      </c>
      <c r="D943" t="s">
        <v>670</v>
      </c>
      <c r="E943" t="s">
        <v>558</v>
      </c>
      <c r="F943" t="s">
        <v>257</v>
      </c>
      <c r="G943" t="s">
        <v>258</v>
      </c>
      <c r="H943" t="s">
        <v>293</v>
      </c>
      <c r="I943" t="s">
        <v>333</v>
      </c>
      <c r="J943" t="s">
        <v>304</v>
      </c>
      <c r="K943" t="s">
        <v>373</v>
      </c>
      <c r="L943" t="s">
        <v>268</v>
      </c>
      <c r="M943" t="s">
        <v>246</v>
      </c>
      <c r="N943" t="s">
        <v>247</v>
      </c>
      <c r="O943">
        <v>42660</v>
      </c>
      <c r="P943">
        <v>6.39</v>
      </c>
      <c r="Q943">
        <v>19.98</v>
      </c>
      <c r="R943">
        <f t="shared" si="85"/>
        <v>13.59</v>
      </c>
      <c r="S943">
        <v>9</v>
      </c>
      <c r="T943">
        <f t="shared" si="86"/>
        <v>179.82</v>
      </c>
      <c r="U943">
        <v>0.06</v>
      </c>
      <c r="V943">
        <f t="shared" si="87"/>
        <v>10.789199999999999</v>
      </c>
      <c r="W943">
        <f t="shared" si="88"/>
        <v>169.0308</v>
      </c>
      <c r="X943">
        <v>4</v>
      </c>
      <c r="Y943">
        <f t="shared" si="89"/>
        <v>173.0308</v>
      </c>
    </row>
    <row r="944" spans="1:25" x14ac:dyDescent="0.25">
      <c r="A944" t="s">
        <v>2030</v>
      </c>
      <c r="B944">
        <v>42658</v>
      </c>
      <c r="C944" t="str">
        <f t="shared" si="84"/>
        <v>2016</v>
      </c>
      <c r="D944" t="s">
        <v>1260</v>
      </c>
      <c r="E944" t="s">
        <v>1261</v>
      </c>
      <c r="F944" t="s">
        <v>239</v>
      </c>
      <c r="G944" t="s">
        <v>240</v>
      </c>
      <c r="H944" t="s">
        <v>259</v>
      </c>
      <c r="I944" t="s">
        <v>242</v>
      </c>
      <c r="J944" t="s">
        <v>294</v>
      </c>
      <c r="K944" t="s">
        <v>668</v>
      </c>
      <c r="L944" t="s">
        <v>440</v>
      </c>
      <c r="M944" t="s">
        <v>647</v>
      </c>
      <c r="N944" t="s">
        <v>247</v>
      </c>
      <c r="O944">
        <v>42658</v>
      </c>
      <c r="P944">
        <v>56.16</v>
      </c>
      <c r="Q944">
        <v>136.97999999999999</v>
      </c>
      <c r="R944">
        <f t="shared" si="85"/>
        <v>80.819999999999993</v>
      </c>
      <c r="S944">
        <v>27</v>
      </c>
      <c r="T944">
        <f t="shared" si="86"/>
        <v>3698.4599999999996</v>
      </c>
      <c r="U944">
        <v>0.09</v>
      </c>
      <c r="V944">
        <f t="shared" si="87"/>
        <v>332.86139999999995</v>
      </c>
      <c r="W944">
        <f t="shared" si="88"/>
        <v>3365.5985999999998</v>
      </c>
      <c r="X944">
        <v>24.49</v>
      </c>
      <c r="Y944">
        <f t="shared" si="89"/>
        <v>3390.0885999999996</v>
      </c>
    </row>
    <row r="945" spans="1:25" x14ac:dyDescent="0.25">
      <c r="A945" t="s">
        <v>2031</v>
      </c>
      <c r="B945">
        <v>42658</v>
      </c>
      <c r="C945" t="str">
        <f t="shared" si="84"/>
        <v>2016</v>
      </c>
      <c r="D945" t="s">
        <v>2032</v>
      </c>
      <c r="E945" t="s">
        <v>1621</v>
      </c>
      <c r="F945" t="s">
        <v>257</v>
      </c>
      <c r="G945" t="s">
        <v>258</v>
      </c>
      <c r="H945" t="s">
        <v>274</v>
      </c>
      <c r="I945" t="s">
        <v>381</v>
      </c>
      <c r="J945" t="s">
        <v>279</v>
      </c>
      <c r="K945" t="s">
        <v>1126</v>
      </c>
      <c r="L945" t="s">
        <v>245</v>
      </c>
      <c r="M945" t="s">
        <v>253</v>
      </c>
      <c r="N945" t="s">
        <v>263</v>
      </c>
      <c r="O945">
        <v>42658</v>
      </c>
      <c r="P945">
        <v>1.53</v>
      </c>
      <c r="Q945">
        <v>2.4700000000000002</v>
      </c>
      <c r="R945">
        <f t="shared" si="85"/>
        <v>0.94000000000000017</v>
      </c>
      <c r="S945">
        <v>45</v>
      </c>
      <c r="T945">
        <f t="shared" si="86"/>
        <v>111.15</v>
      </c>
      <c r="U945">
        <v>7.0000000000000007E-2</v>
      </c>
      <c r="V945">
        <f t="shared" si="87"/>
        <v>7.7805000000000009</v>
      </c>
      <c r="W945">
        <f t="shared" si="88"/>
        <v>103.3695</v>
      </c>
      <c r="X945">
        <v>1.02</v>
      </c>
      <c r="Y945">
        <f t="shared" si="89"/>
        <v>104.3895</v>
      </c>
    </row>
    <row r="946" spans="1:25" x14ac:dyDescent="0.25">
      <c r="A946" t="s">
        <v>2033</v>
      </c>
      <c r="B946">
        <v>42658</v>
      </c>
      <c r="C946" t="str">
        <f t="shared" si="84"/>
        <v>2016</v>
      </c>
      <c r="D946" t="s">
        <v>2032</v>
      </c>
      <c r="E946" t="s">
        <v>1621</v>
      </c>
      <c r="F946" t="s">
        <v>257</v>
      </c>
      <c r="G946" t="s">
        <v>258</v>
      </c>
      <c r="H946" t="s">
        <v>274</v>
      </c>
      <c r="I946" t="s">
        <v>381</v>
      </c>
      <c r="J946" t="s">
        <v>279</v>
      </c>
      <c r="K946" t="s">
        <v>485</v>
      </c>
      <c r="L946" t="s">
        <v>245</v>
      </c>
      <c r="M946" t="s">
        <v>253</v>
      </c>
      <c r="N946" t="s">
        <v>247</v>
      </c>
      <c r="O946">
        <v>42662</v>
      </c>
      <c r="P946">
        <v>3.48</v>
      </c>
      <c r="Q946">
        <v>5.43</v>
      </c>
      <c r="R946">
        <f t="shared" si="85"/>
        <v>1.9499999999999997</v>
      </c>
      <c r="S946">
        <v>11</v>
      </c>
      <c r="T946">
        <f t="shared" si="86"/>
        <v>59.73</v>
      </c>
      <c r="U946">
        <v>0</v>
      </c>
      <c r="V946">
        <f t="shared" si="87"/>
        <v>0</v>
      </c>
      <c r="W946">
        <f t="shared" si="88"/>
        <v>59.73</v>
      </c>
      <c r="X946">
        <v>0.95</v>
      </c>
      <c r="Y946">
        <f t="shared" si="89"/>
        <v>60.68</v>
      </c>
    </row>
    <row r="947" spans="1:25" x14ac:dyDescent="0.25">
      <c r="A947" t="s">
        <v>2034</v>
      </c>
      <c r="B947">
        <v>42659</v>
      </c>
      <c r="C947" t="str">
        <f t="shared" si="84"/>
        <v>2016</v>
      </c>
      <c r="D947" t="s">
        <v>1204</v>
      </c>
      <c r="E947" t="s">
        <v>341</v>
      </c>
      <c r="F947" t="s">
        <v>257</v>
      </c>
      <c r="G947" t="s">
        <v>258</v>
      </c>
      <c r="H947" t="s">
        <v>293</v>
      </c>
      <c r="I947" t="s">
        <v>342</v>
      </c>
      <c r="J947" t="s">
        <v>304</v>
      </c>
      <c r="K947" t="s">
        <v>280</v>
      </c>
      <c r="L947" t="s">
        <v>245</v>
      </c>
      <c r="M947" t="s">
        <v>253</v>
      </c>
      <c r="N947" t="s">
        <v>247</v>
      </c>
      <c r="O947">
        <v>42661</v>
      </c>
      <c r="P947">
        <v>1.0900000000000001</v>
      </c>
      <c r="Q947">
        <v>2.6</v>
      </c>
      <c r="R947">
        <f t="shared" si="85"/>
        <v>1.51</v>
      </c>
      <c r="S947">
        <v>12</v>
      </c>
      <c r="T947">
        <f t="shared" si="86"/>
        <v>31.200000000000003</v>
      </c>
      <c r="U947">
        <v>0.05</v>
      </c>
      <c r="V947">
        <f t="shared" si="87"/>
        <v>1.5600000000000003</v>
      </c>
      <c r="W947">
        <f t="shared" si="88"/>
        <v>29.640000000000004</v>
      </c>
      <c r="X947">
        <v>2.4</v>
      </c>
      <c r="Y947">
        <f t="shared" si="89"/>
        <v>32.040000000000006</v>
      </c>
    </row>
    <row r="948" spans="1:25" x14ac:dyDescent="0.25">
      <c r="A948" t="s">
        <v>2035</v>
      </c>
      <c r="B948">
        <v>42661</v>
      </c>
      <c r="C948" t="str">
        <f t="shared" si="84"/>
        <v>2016</v>
      </c>
      <c r="D948" t="s">
        <v>1377</v>
      </c>
      <c r="E948" t="s">
        <v>739</v>
      </c>
      <c r="F948" t="s">
        <v>257</v>
      </c>
      <c r="G948" t="s">
        <v>258</v>
      </c>
      <c r="H948" t="s">
        <v>241</v>
      </c>
      <c r="I948" t="s">
        <v>299</v>
      </c>
      <c r="J948" t="s">
        <v>304</v>
      </c>
      <c r="K948" t="s">
        <v>668</v>
      </c>
      <c r="L948" t="s">
        <v>440</v>
      </c>
      <c r="M948" t="s">
        <v>647</v>
      </c>
      <c r="N948" t="s">
        <v>247</v>
      </c>
      <c r="O948">
        <v>42664</v>
      </c>
      <c r="P948">
        <v>56.16</v>
      </c>
      <c r="Q948">
        <v>136.97999999999999</v>
      </c>
      <c r="R948">
        <f t="shared" si="85"/>
        <v>80.819999999999993</v>
      </c>
      <c r="S948">
        <v>21</v>
      </c>
      <c r="T948">
        <f t="shared" si="86"/>
        <v>2876.58</v>
      </c>
      <c r="U948">
        <v>0.05</v>
      </c>
      <c r="V948">
        <f t="shared" si="87"/>
        <v>143.82900000000001</v>
      </c>
      <c r="W948">
        <f t="shared" si="88"/>
        <v>2732.7509999999997</v>
      </c>
      <c r="X948">
        <v>24.49</v>
      </c>
      <c r="Y948">
        <f t="shared" si="89"/>
        <v>2757.2409999999995</v>
      </c>
    </row>
    <row r="949" spans="1:25" x14ac:dyDescent="0.25">
      <c r="A949" t="s">
        <v>2036</v>
      </c>
      <c r="B949">
        <v>42662</v>
      </c>
      <c r="C949" t="str">
        <f t="shared" si="84"/>
        <v>2016</v>
      </c>
      <c r="D949" t="s">
        <v>1503</v>
      </c>
      <c r="E949" t="s">
        <v>760</v>
      </c>
      <c r="F949" t="s">
        <v>448</v>
      </c>
      <c r="G949" t="s">
        <v>449</v>
      </c>
      <c r="H949" t="s">
        <v>259</v>
      </c>
      <c r="I949" t="s">
        <v>333</v>
      </c>
      <c r="J949" t="s">
        <v>261</v>
      </c>
      <c r="K949" t="s">
        <v>676</v>
      </c>
      <c r="L949" t="s">
        <v>245</v>
      </c>
      <c r="M949" t="s">
        <v>323</v>
      </c>
      <c r="N949" t="s">
        <v>247</v>
      </c>
      <c r="O949">
        <v>42664</v>
      </c>
      <c r="P949">
        <v>5.19</v>
      </c>
      <c r="Q949">
        <v>12.98</v>
      </c>
      <c r="R949">
        <f t="shared" si="85"/>
        <v>7.79</v>
      </c>
      <c r="S949">
        <v>49</v>
      </c>
      <c r="T949">
        <f t="shared" si="86"/>
        <v>636.02</v>
      </c>
      <c r="U949">
        <v>0.09</v>
      </c>
      <c r="V949">
        <f t="shared" si="87"/>
        <v>57.241799999999998</v>
      </c>
      <c r="W949">
        <f t="shared" si="88"/>
        <v>578.77819999999997</v>
      </c>
      <c r="X949">
        <v>3.14</v>
      </c>
      <c r="Y949">
        <f t="shared" si="89"/>
        <v>581.91819999999996</v>
      </c>
    </row>
    <row r="950" spans="1:25" x14ac:dyDescent="0.25">
      <c r="A950" t="s">
        <v>2037</v>
      </c>
      <c r="B950">
        <v>42663</v>
      </c>
      <c r="C950" t="str">
        <f t="shared" si="84"/>
        <v>2016</v>
      </c>
      <c r="D950" t="s">
        <v>980</v>
      </c>
      <c r="E950" t="s">
        <v>928</v>
      </c>
      <c r="F950" t="s">
        <v>257</v>
      </c>
      <c r="G950" t="s">
        <v>258</v>
      </c>
      <c r="H950" t="s">
        <v>241</v>
      </c>
      <c r="I950" t="s">
        <v>284</v>
      </c>
      <c r="J950" t="s">
        <v>294</v>
      </c>
      <c r="K950" t="s">
        <v>634</v>
      </c>
      <c r="L950" t="s">
        <v>245</v>
      </c>
      <c r="M950" t="s">
        <v>246</v>
      </c>
      <c r="N950" t="s">
        <v>247</v>
      </c>
      <c r="O950">
        <v>42663</v>
      </c>
      <c r="P950">
        <v>2.2599999999999998</v>
      </c>
      <c r="Q950">
        <v>3.58</v>
      </c>
      <c r="R950">
        <f t="shared" si="85"/>
        <v>1.3200000000000003</v>
      </c>
      <c r="S950">
        <v>34</v>
      </c>
      <c r="T950">
        <f t="shared" si="86"/>
        <v>121.72</v>
      </c>
      <c r="U950">
        <v>7.0000000000000007E-2</v>
      </c>
      <c r="V950">
        <f t="shared" si="87"/>
        <v>8.5204000000000004</v>
      </c>
      <c r="W950">
        <f t="shared" si="88"/>
        <v>113.1996</v>
      </c>
      <c r="X950">
        <v>5.47</v>
      </c>
      <c r="Y950">
        <f t="shared" si="89"/>
        <v>118.6696</v>
      </c>
    </row>
    <row r="951" spans="1:25" x14ac:dyDescent="0.25">
      <c r="A951" t="s">
        <v>2038</v>
      </c>
      <c r="B951">
        <v>42665</v>
      </c>
      <c r="C951" t="str">
        <f t="shared" si="84"/>
        <v>2016</v>
      </c>
      <c r="D951" t="s">
        <v>1340</v>
      </c>
      <c r="E951" t="s">
        <v>816</v>
      </c>
      <c r="F951" t="s">
        <v>257</v>
      </c>
      <c r="G951" t="s">
        <v>258</v>
      </c>
      <c r="H951" t="s">
        <v>293</v>
      </c>
      <c r="I951" t="s">
        <v>492</v>
      </c>
      <c r="J951" t="s">
        <v>294</v>
      </c>
      <c r="K951" t="s">
        <v>368</v>
      </c>
      <c r="L951" t="s">
        <v>245</v>
      </c>
      <c r="M951" t="s">
        <v>246</v>
      </c>
      <c r="N951" t="s">
        <v>247</v>
      </c>
      <c r="O951">
        <v>42667</v>
      </c>
      <c r="P951">
        <v>1.59</v>
      </c>
      <c r="Q951">
        <v>2.61</v>
      </c>
      <c r="R951">
        <f t="shared" si="85"/>
        <v>1.0199999999999998</v>
      </c>
      <c r="S951">
        <v>44</v>
      </c>
      <c r="T951">
        <f t="shared" si="86"/>
        <v>114.83999999999999</v>
      </c>
      <c r="U951">
        <v>7.0000000000000007E-2</v>
      </c>
      <c r="V951">
        <f t="shared" si="87"/>
        <v>8.0388000000000002</v>
      </c>
      <c r="W951">
        <f t="shared" si="88"/>
        <v>106.80119999999999</v>
      </c>
      <c r="X951">
        <v>0.5</v>
      </c>
      <c r="Y951">
        <f t="shared" si="89"/>
        <v>107.30119999999999</v>
      </c>
    </row>
    <row r="952" spans="1:25" x14ac:dyDescent="0.25">
      <c r="A952" t="s">
        <v>2039</v>
      </c>
      <c r="B952">
        <v>42666</v>
      </c>
      <c r="C952" t="str">
        <f t="shared" si="84"/>
        <v>2016</v>
      </c>
      <c r="D952" t="s">
        <v>1433</v>
      </c>
      <c r="E952" t="s">
        <v>467</v>
      </c>
      <c r="F952" t="s">
        <v>257</v>
      </c>
      <c r="G952" t="s">
        <v>258</v>
      </c>
      <c r="H952" t="s">
        <v>274</v>
      </c>
      <c r="I952" t="s">
        <v>342</v>
      </c>
      <c r="J952" t="s">
        <v>261</v>
      </c>
      <c r="K952" t="s">
        <v>413</v>
      </c>
      <c r="L952" t="s">
        <v>268</v>
      </c>
      <c r="M952" t="s">
        <v>414</v>
      </c>
      <c r="N952" t="s">
        <v>247</v>
      </c>
      <c r="O952">
        <v>42668</v>
      </c>
      <c r="P952">
        <v>8.82</v>
      </c>
      <c r="Q952">
        <v>20.99</v>
      </c>
      <c r="R952">
        <f t="shared" si="85"/>
        <v>12.169999999999998</v>
      </c>
      <c r="S952">
        <v>17</v>
      </c>
      <c r="T952">
        <f t="shared" si="86"/>
        <v>356.83</v>
      </c>
      <c r="U952">
        <v>0</v>
      </c>
      <c r="V952">
        <f t="shared" si="87"/>
        <v>0</v>
      </c>
      <c r="W952">
        <f t="shared" si="88"/>
        <v>356.83</v>
      </c>
      <c r="X952">
        <v>4.8099999999999996</v>
      </c>
      <c r="Y952">
        <f t="shared" si="89"/>
        <v>361.64</v>
      </c>
    </row>
    <row r="953" spans="1:25" x14ac:dyDescent="0.25">
      <c r="A953" t="s">
        <v>2040</v>
      </c>
      <c r="B953">
        <v>42666</v>
      </c>
      <c r="C953" t="str">
        <f t="shared" si="84"/>
        <v>2016</v>
      </c>
      <c r="D953" t="s">
        <v>315</v>
      </c>
      <c r="E953" t="s">
        <v>316</v>
      </c>
      <c r="F953" t="s">
        <v>239</v>
      </c>
      <c r="G953" t="s">
        <v>240</v>
      </c>
      <c r="H953" t="s">
        <v>259</v>
      </c>
      <c r="I953" t="s">
        <v>242</v>
      </c>
      <c r="J953" t="s">
        <v>279</v>
      </c>
      <c r="K953" t="s">
        <v>668</v>
      </c>
      <c r="L953" t="s">
        <v>440</v>
      </c>
      <c r="M953" t="s">
        <v>647</v>
      </c>
      <c r="N953" t="s">
        <v>247</v>
      </c>
      <c r="O953">
        <v>42673</v>
      </c>
      <c r="P953">
        <v>56.16</v>
      </c>
      <c r="Q953">
        <v>136.97999999999999</v>
      </c>
      <c r="R953">
        <f t="shared" si="85"/>
        <v>80.819999999999993</v>
      </c>
      <c r="S953">
        <v>3</v>
      </c>
      <c r="T953">
        <f t="shared" si="86"/>
        <v>410.93999999999994</v>
      </c>
      <c r="U953">
        <v>0.1</v>
      </c>
      <c r="V953">
        <f t="shared" si="87"/>
        <v>41.093999999999994</v>
      </c>
      <c r="W953">
        <f t="shared" si="88"/>
        <v>369.84599999999995</v>
      </c>
      <c r="X953">
        <v>24.49</v>
      </c>
      <c r="Y953">
        <f t="shared" si="89"/>
        <v>394.33599999999996</v>
      </c>
    </row>
    <row r="954" spans="1:25" x14ac:dyDescent="0.25">
      <c r="A954" t="s">
        <v>2041</v>
      </c>
      <c r="B954">
        <v>42666</v>
      </c>
      <c r="C954" t="str">
        <f t="shared" si="84"/>
        <v>2016</v>
      </c>
      <c r="D954" t="s">
        <v>1013</v>
      </c>
      <c r="E954" t="s">
        <v>1014</v>
      </c>
      <c r="F954" t="s">
        <v>257</v>
      </c>
      <c r="G954" t="s">
        <v>258</v>
      </c>
      <c r="H954" t="s">
        <v>274</v>
      </c>
      <c r="I954" t="s">
        <v>492</v>
      </c>
      <c r="J954" t="s">
        <v>304</v>
      </c>
      <c r="K954" t="s">
        <v>625</v>
      </c>
      <c r="L954" t="s">
        <v>245</v>
      </c>
      <c r="M954" t="s">
        <v>246</v>
      </c>
      <c r="N954" t="s">
        <v>247</v>
      </c>
      <c r="O954">
        <v>42668</v>
      </c>
      <c r="P954">
        <v>1.84</v>
      </c>
      <c r="Q954">
        <v>2.88</v>
      </c>
      <c r="R954">
        <f t="shared" si="85"/>
        <v>1.0399999999999998</v>
      </c>
      <c r="S954">
        <v>32</v>
      </c>
      <c r="T954">
        <f t="shared" si="86"/>
        <v>92.16</v>
      </c>
      <c r="U954">
        <v>0.01</v>
      </c>
      <c r="V954">
        <f t="shared" si="87"/>
        <v>0.92159999999999997</v>
      </c>
      <c r="W954">
        <f t="shared" si="88"/>
        <v>91.238399999999999</v>
      </c>
      <c r="X954">
        <v>1.49</v>
      </c>
      <c r="Y954">
        <f t="shared" si="89"/>
        <v>92.728399999999993</v>
      </c>
    </row>
    <row r="955" spans="1:25" x14ac:dyDescent="0.25">
      <c r="A955" t="s">
        <v>2042</v>
      </c>
      <c r="B955">
        <v>42668</v>
      </c>
      <c r="C955" t="str">
        <f t="shared" si="84"/>
        <v>2016</v>
      </c>
      <c r="D955" t="s">
        <v>840</v>
      </c>
      <c r="E955" t="s">
        <v>633</v>
      </c>
      <c r="F955" t="s">
        <v>239</v>
      </c>
      <c r="G955" t="s">
        <v>240</v>
      </c>
      <c r="H955" t="s">
        <v>259</v>
      </c>
      <c r="I955" t="s">
        <v>242</v>
      </c>
      <c r="J955" t="s">
        <v>261</v>
      </c>
      <c r="K955" t="s">
        <v>368</v>
      </c>
      <c r="L955" t="s">
        <v>245</v>
      </c>
      <c r="M955" t="s">
        <v>246</v>
      </c>
      <c r="N955" t="s">
        <v>263</v>
      </c>
      <c r="O955">
        <v>42670</v>
      </c>
      <c r="P955">
        <v>1.59</v>
      </c>
      <c r="Q955">
        <v>2.61</v>
      </c>
      <c r="R955">
        <f t="shared" si="85"/>
        <v>1.0199999999999998</v>
      </c>
      <c r="S955">
        <v>25</v>
      </c>
      <c r="T955">
        <f t="shared" si="86"/>
        <v>65.25</v>
      </c>
      <c r="U955">
        <v>0.04</v>
      </c>
      <c r="V955">
        <f t="shared" si="87"/>
        <v>2.61</v>
      </c>
      <c r="W955">
        <f t="shared" si="88"/>
        <v>62.64</v>
      </c>
      <c r="X955">
        <v>0.5</v>
      </c>
      <c r="Y955">
        <f t="shared" si="89"/>
        <v>63.14</v>
      </c>
    </row>
    <row r="956" spans="1:25" x14ac:dyDescent="0.25">
      <c r="A956" t="s">
        <v>2043</v>
      </c>
      <c r="B956">
        <v>42668</v>
      </c>
      <c r="C956" t="str">
        <f t="shared" si="84"/>
        <v>2016</v>
      </c>
      <c r="D956" t="s">
        <v>1270</v>
      </c>
      <c r="E956" t="s">
        <v>283</v>
      </c>
      <c r="F956" t="s">
        <v>257</v>
      </c>
      <c r="G956" t="s">
        <v>258</v>
      </c>
      <c r="H956" t="s">
        <v>259</v>
      </c>
      <c r="I956" t="s">
        <v>284</v>
      </c>
      <c r="J956" t="s">
        <v>243</v>
      </c>
      <c r="K956" t="s">
        <v>276</v>
      </c>
      <c r="L956" t="s">
        <v>245</v>
      </c>
      <c r="M956" t="s">
        <v>253</v>
      </c>
      <c r="N956" t="s">
        <v>247</v>
      </c>
      <c r="O956">
        <v>42670</v>
      </c>
      <c r="P956">
        <v>0.9</v>
      </c>
      <c r="Q956">
        <v>2.1</v>
      </c>
      <c r="R956">
        <f t="shared" si="85"/>
        <v>1.2000000000000002</v>
      </c>
      <c r="S956">
        <v>33</v>
      </c>
      <c r="T956">
        <f t="shared" si="86"/>
        <v>69.3</v>
      </c>
      <c r="U956">
        <v>0.05</v>
      </c>
      <c r="V956">
        <f t="shared" si="87"/>
        <v>3.4649999999999999</v>
      </c>
      <c r="W956">
        <f t="shared" si="88"/>
        <v>65.834999999999994</v>
      </c>
      <c r="X956">
        <v>0.7</v>
      </c>
      <c r="Y956">
        <f t="shared" si="89"/>
        <v>66.534999999999997</v>
      </c>
    </row>
    <row r="957" spans="1:25" x14ac:dyDescent="0.25">
      <c r="A957" t="s">
        <v>2044</v>
      </c>
      <c r="B957">
        <v>42670</v>
      </c>
      <c r="C957" t="str">
        <f t="shared" si="84"/>
        <v>2016</v>
      </c>
      <c r="D957" t="s">
        <v>237</v>
      </c>
      <c r="E957" t="s">
        <v>238</v>
      </c>
      <c r="F957" t="s">
        <v>239</v>
      </c>
      <c r="G957" t="s">
        <v>240</v>
      </c>
      <c r="H957" t="s">
        <v>241</v>
      </c>
      <c r="I957" t="s">
        <v>242</v>
      </c>
      <c r="J957" t="s">
        <v>304</v>
      </c>
      <c r="K957" t="s">
        <v>586</v>
      </c>
      <c r="L957" t="s">
        <v>268</v>
      </c>
      <c r="M957" t="s">
        <v>246</v>
      </c>
      <c r="N957" t="s">
        <v>247</v>
      </c>
      <c r="O957">
        <v>42671</v>
      </c>
      <c r="P957">
        <v>54.52</v>
      </c>
      <c r="Q957">
        <v>100.97</v>
      </c>
      <c r="R957">
        <f t="shared" si="85"/>
        <v>46.449999999999996</v>
      </c>
      <c r="S957">
        <v>29</v>
      </c>
      <c r="T957">
        <f t="shared" si="86"/>
        <v>2928.13</v>
      </c>
      <c r="U957">
        <v>0.05</v>
      </c>
      <c r="V957">
        <f t="shared" si="87"/>
        <v>146.40650000000002</v>
      </c>
      <c r="W957">
        <f t="shared" si="88"/>
        <v>2781.7235000000001</v>
      </c>
      <c r="X957">
        <v>7.18</v>
      </c>
      <c r="Y957">
        <f t="shared" si="89"/>
        <v>2788.9034999999999</v>
      </c>
    </row>
    <row r="958" spans="1:25" x14ac:dyDescent="0.25">
      <c r="A958" t="s">
        <v>2045</v>
      </c>
      <c r="B958">
        <v>42670</v>
      </c>
      <c r="C958" t="str">
        <f t="shared" si="84"/>
        <v>2016</v>
      </c>
      <c r="D958" t="s">
        <v>237</v>
      </c>
      <c r="E958" t="s">
        <v>238</v>
      </c>
      <c r="F958" t="s">
        <v>239</v>
      </c>
      <c r="G958" t="s">
        <v>240</v>
      </c>
      <c r="H958" t="s">
        <v>241</v>
      </c>
      <c r="I958" t="s">
        <v>242</v>
      </c>
      <c r="J958" t="s">
        <v>304</v>
      </c>
      <c r="K958" t="s">
        <v>941</v>
      </c>
      <c r="L958" t="s">
        <v>245</v>
      </c>
      <c r="M958" t="s">
        <v>253</v>
      </c>
      <c r="N958" t="s">
        <v>247</v>
      </c>
      <c r="O958">
        <v>42670</v>
      </c>
      <c r="P958">
        <v>2.59</v>
      </c>
      <c r="Q958">
        <v>3.98</v>
      </c>
      <c r="R958">
        <f t="shared" si="85"/>
        <v>1.3900000000000001</v>
      </c>
      <c r="S958">
        <v>4</v>
      </c>
      <c r="T958">
        <f t="shared" si="86"/>
        <v>15.92</v>
      </c>
      <c r="U958">
        <v>0.09</v>
      </c>
      <c r="V958">
        <f t="shared" si="87"/>
        <v>1.4327999999999999</v>
      </c>
      <c r="W958">
        <f t="shared" si="88"/>
        <v>14.4872</v>
      </c>
      <c r="X958">
        <v>2.97</v>
      </c>
      <c r="Y958">
        <f t="shared" si="89"/>
        <v>17.4572</v>
      </c>
    </row>
    <row r="959" spans="1:25" x14ac:dyDescent="0.25">
      <c r="A959" t="s">
        <v>2046</v>
      </c>
      <c r="B959">
        <v>42671</v>
      </c>
      <c r="C959" t="str">
        <f t="shared" si="84"/>
        <v>2016</v>
      </c>
      <c r="D959" t="s">
        <v>2047</v>
      </c>
      <c r="E959" t="s">
        <v>367</v>
      </c>
      <c r="F959" t="s">
        <v>239</v>
      </c>
      <c r="G959" t="s">
        <v>240</v>
      </c>
      <c r="H959" t="s">
        <v>241</v>
      </c>
      <c r="I959" t="s">
        <v>251</v>
      </c>
      <c r="J959" t="s">
        <v>279</v>
      </c>
      <c r="K959" t="s">
        <v>607</v>
      </c>
      <c r="L959" t="s">
        <v>245</v>
      </c>
      <c r="M959" t="s">
        <v>246</v>
      </c>
      <c r="N959" t="s">
        <v>263</v>
      </c>
      <c r="O959">
        <v>42680</v>
      </c>
      <c r="P959">
        <v>4.46</v>
      </c>
      <c r="Q959">
        <v>10.89</v>
      </c>
      <c r="R959">
        <f t="shared" si="85"/>
        <v>6.4300000000000006</v>
      </c>
      <c r="S959">
        <v>30</v>
      </c>
      <c r="T959">
        <f t="shared" si="86"/>
        <v>326.70000000000005</v>
      </c>
      <c r="U959">
        <v>0.08</v>
      </c>
      <c r="V959">
        <f t="shared" si="87"/>
        <v>26.136000000000003</v>
      </c>
      <c r="W959">
        <f t="shared" si="88"/>
        <v>300.56400000000002</v>
      </c>
      <c r="X959">
        <v>4.5</v>
      </c>
      <c r="Y959">
        <f t="shared" si="89"/>
        <v>305.06400000000002</v>
      </c>
    </row>
    <row r="960" spans="1:25" x14ac:dyDescent="0.25">
      <c r="A960" t="s">
        <v>2048</v>
      </c>
      <c r="B960">
        <v>42671</v>
      </c>
      <c r="C960" t="str">
        <f t="shared" si="84"/>
        <v>2016</v>
      </c>
      <c r="D960" t="s">
        <v>937</v>
      </c>
      <c r="E960" t="s">
        <v>938</v>
      </c>
      <c r="F960" t="s">
        <v>239</v>
      </c>
      <c r="G960" t="s">
        <v>240</v>
      </c>
      <c r="H960" t="s">
        <v>259</v>
      </c>
      <c r="I960" t="s">
        <v>242</v>
      </c>
      <c r="J960" t="s">
        <v>261</v>
      </c>
      <c r="K960" t="s">
        <v>555</v>
      </c>
      <c r="L960" t="s">
        <v>245</v>
      </c>
      <c r="M960" t="s">
        <v>246</v>
      </c>
      <c r="N960" t="s">
        <v>247</v>
      </c>
      <c r="O960">
        <v>42673</v>
      </c>
      <c r="P960">
        <v>1.98</v>
      </c>
      <c r="Q960">
        <v>3.15</v>
      </c>
      <c r="R960">
        <f t="shared" si="85"/>
        <v>1.17</v>
      </c>
      <c r="S960">
        <v>24</v>
      </c>
      <c r="T960">
        <f t="shared" si="86"/>
        <v>75.599999999999994</v>
      </c>
      <c r="U960">
        <v>0.02</v>
      </c>
      <c r="V960">
        <f t="shared" si="87"/>
        <v>1.512</v>
      </c>
      <c r="W960">
        <f t="shared" si="88"/>
        <v>74.087999999999994</v>
      </c>
      <c r="X960">
        <v>0.49</v>
      </c>
      <c r="Y960">
        <f t="shared" si="89"/>
        <v>74.577999999999989</v>
      </c>
    </row>
    <row r="961" spans="1:25" x14ac:dyDescent="0.25">
      <c r="A961" t="s">
        <v>2049</v>
      </c>
      <c r="B961">
        <v>42672</v>
      </c>
      <c r="C961" t="str">
        <f t="shared" si="84"/>
        <v>2016</v>
      </c>
      <c r="D961" t="s">
        <v>2050</v>
      </c>
      <c r="E961" t="s">
        <v>1165</v>
      </c>
      <c r="F961" t="s">
        <v>257</v>
      </c>
      <c r="G961" t="s">
        <v>258</v>
      </c>
      <c r="H961" t="s">
        <v>241</v>
      </c>
      <c r="I961" t="s">
        <v>381</v>
      </c>
      <c r="J961" t="s">
        <v>261</v>
      </c>
      <c r="K961" t="s">
        <v>373</v>
      </c>
      <c r="L961" t="s">
        <v>268</v>
      </c>
      <c r="M961" t="s">
        <v>246</v>
      </c>
      <c r="N961" t="s">
        <v>247</v>
      </c>
      <c r="O961">
        <v>42673</v>
      </c>
      <c r="P961">
        <v>6.39</v>
      </c>
      <c r="Q961">
        <v>19.98</v>
      </c>
      <c r="R961">
        <f t="shared" si="85"/>
        <v>13.59</v>
      </c>
      <c r="S961">
        <v>9</v>
      </c>
      <c r="T961">
        <f t="shared" si="86"/>
        <v>179.82</v>
      </c>
      <c r="U961">
        <v>0.09</v>
      </c>
      <c r="V961">
        <f t="shared" si="87"/>
        <v>16.183799999999998</v>
      </c>
      <c r="W961">
        <f t="shared" si="88"/>
        <v>163.6362</v>
      </c>
      <c r="X961">
        <v>4</v>
      </c>
      <c r="Y961">
        <f t="shared" si="89"/>
        <v>167.6362</v>
      </c>
    </row>
    <row r="962" spans="1:25" x14ac:dyDescent="0.25">
      <c r="A962" t="s">
        <v>2051</v>
      </c>
      <c r="B962">
        <v>42674</v>
      </c>
      <c r="C962" t="str">
        <f t="shared" si="84"/>
        <v>2016</v>
      </c>
      <c r="D962" t="s">
        <v>2052</v>
      </c>
      <c r="E962" t="s">
        <v>581</v>
      </c>
      <c r="F962" t="s">
        <v>257</v>
      </c>
      <c r="G962" t="s">
        <v>258</v>
      </c>
      <c r="H962" t="s">
        <v>259</v>
      </c>
      <c r="I962" t="s">
        <v>309</v>
      </c>
      <c r="J962" t="s">
        <v>304</v>
      </c>
      <c r="K962" t="s">
        <v>433</v>
      </c>
      <c r="L962" t="s">
        <v>268</v>
      </c>
      <c r="M962" t="s">
        <v>414</v>
      </c>
      <c r="N962" t="s">
        <v>247</v>
      </c>
      <c r="O962">
        <v>42674</v>
      </c>
      <c r="P962">
        <v>9.91</v>
      </c>
      <c r="Q962">
        <v>15.99</v>
      </c>
      <c r="R962">
        <f t="shared" si="85"/>
        <v>6.08</v>
      </c>
      <c r="S962">
        <v>33</v>
      </c>
      <c r="T962">
        <f t="shared" si="86"/>
        <v>527.66999999999996</v>
      </c>
      <c r="U962">
        <v>0.01</v>
      </c>
      <c r="V962">
        <f t="shared" si="87"/>
        <v>5.2766999999999999</v>
      </c>
      <c r="W962">
        <f t="shared" si="88"/>
        <v>522.39329999999995</v>
      </c>
      <c r="X962">
        <v>11.28</v>
      </c>
      <c r="Y962">
        <f t="shared" si="89"/>
        <v>533.67329999999993</v>
      </c>
    </row>
    <row r="963" spans="1:25" x14ac:dyDescent="0.25">
      <c r="A963" t="s">
        <v>2053</v>
      </c>
      <c r="B963">
        <v>42674</v>
      </c>
      <c r="C963" t="str">
        <f t="shared" si="84"/>
        <v>2016</v>
      </c>
      <c r="D963" t="s">
        <v>1684</v>
      </c>
      <c r="E963" t="s">
        <v>1001</v>
      </c>
      <c r="F963" t="s">
        <v>239</v>
      </c>
      <c r="G963" t="s">
        <v>240</v>
      </c>
      <c r="H963" t="s">
        <v>259</v>
      </c>
      <c r="I963" t="s">
        <v>251</v>
      </c>
      <c r="J963" t="s">
        <v>304</v>
      </c>
      <c r="K963" t="s">
        <v>603</v>
      </c>
      <c r="L963" t="s">
        <v>245</v>
      </c>
      <c r="M963" t="s">
        <v>246</v>
      </c>
      <c r="N963" t="s">
        <v>247</v>
      </c>
      <c r="O963">
        <v>42675</v>
      </c>
      <c r="P963">
        <v>3.65</v>
      </c>
      <c r="Q963">
        <v>5.98</v>
      </c>
      <c r="R963">
        <f t="shared" si="85"/>
        <v>2.3300000000000005</v>
      </c>
      <c r="S963">
        <v>23</v>
      </c>
      <c r="T963">
        <f t="shared" si="86"/>
        <v>137.54000000000002</v>
      </c>
      <c r="U963">
        <v>0.01</v>
      </c>
      <c r="V963">
        <f t="shared" si="87"/>
        <v>1.3754000000000002</v>
      </c>
      <c r="W963">
        <f t="shared" si="88"/>
        <v>136.16460000000001</v>
      </c>
      <c r="X963">
        <v>1.49</v>
      </c>
      <c r="Y963">
        <f t="shared" si="89"/>
        <v>137.65460000000002</v>
      </c>
    </row>
    <row r="964" spans="1:25" x14ac:dyDescent="0.25">
      <c r="A964" t="s">
        <v>2054</v>
      </c>
      <c r="B964">
        <v>42674</v>
      </c>
      <c r="C964" t="str">
        <f t="shared" si="84"/>
        <v>2016</v>
      </c>
      <c r="D964" t="s">
        <v>580</v>
      </c>
      <c r="E964" t="s">
        <v>581</v>
      </c>
      <c r="F964" t="s">
        <v>257</v>
      </c>
      <c r="G964" t="s">
        <v>258</v>
      </c>
      <c r="H964" t="s">
        <v>241</v>
      </c>
      <c r="I964" t="s">
        <v>309</v>
      </c>
      <c r="J964" t="s">
        <v>294</v>
      </c>
      <c r="K964" t="s">
        <v>653</v>
      </c>
      <c r="L964" t="s">
        <v>245</v>
      </c>
      <c r="M964" t="s">
        <v>246</v>
      </c>
      <c r="N964" t="s">
        <v>247</v>
      </c>
      <c r="O964">
        <v>42677</v>
      </c>
      <c r="P964">
        <v>3.5</v>
      </c>
      <c r="Q964">
        <v>5.74</v>
      </c>
      <c r="R964">
        <f t="shared" si="85"/>
        <v>2.2400000000000002</v>
      </c>
      <c r="S964">
        <v>48</v>
      </c>
      <c r="T964">
        <f t="shared" si="86"/>
        <v>275.52</v>
      </c>
      <c r="U964">
        <v>0.05</v>
      </c>
      <c r="V964">
        <f t="shared" si="87"/>
        <v>13.776</v>
      </c>
      <c r="W964">
        <f t="shared" si="88"/>
        <v>261.74399999999997</v>
      </c>
      <c r="X964">
        <v>5.01</v>
      </c>
      <c r="Y964">
        <f t="shared" si="89"/>
        <v>266.75399999999996</v>
      </c>
    </row>
    <row r="965" spans="1:25" x14ac:dyDescent="0.25">
      <c r="A965" t="s">
        <v>2055</v>
      </c>
      <c r="B965">
        <v>42676</v>
      </c>
      <c r="C965" t="str">
        <f t="shared" si="84"/>
        <v>2016</v>
      </c>
      <c r="D965" t="s">
        <v>801</v>
      </c>
      <c r="E965" t="s">
        <v>802</v>
      </c>
      <c r="F965" t="s">
        <v>257</v>
      </c>
      <c r="G965" t="s">
        <v>258</v>
      </c>
      <c r="H965" t="s">
        <v>259</v>
      </c>
      <c r="I965" t="s">
        <v>284</v>
      </c>
      <c r="J965" t="s">
        <v>261</v>
      </c>
      <c r="K965" t="s">
        <v>377</v>
      </c>
      <c r="L965" t="s">
        <v>268</v>
      </c>
      <c r="M965" t="s">
        <v>246</v>
      </c>
      <c r="N965" t="s">
        <v>247</v>
      </c>
      <c r="O965">
        <v>42677</v>
      </c>
      <c r="P965">
        <v>39.64</v>
      </c>
      <c r="Q965">
        <v>152.47999999999999</v>
      </c>
      <c r="R965">
        <f t="shared" si="85"/>
        <v>112.83999999999999</v>
      </c>
      <c r="S965">
        <v>44</v>
      </c>
      <c r="T965">
        <f t="shared" si="86"/>
        <v>6709.12</v>
      </c>
      <c r="U965">
        <v>0.03</v>
      </c>
      <c r="V965">
        <f t="shared" si="87"/>
        <v>201.27359999999999</v>
      </c>
      <c r="W965">
        <f t="shared" si="88"/>
        <v>6507.8464000000004</v>
      </c>
      <c r="X965">
        <v>6.5</v>
      </c>
      <c r="Y965">
        <f t="shared" si="89"/>
        <v>6514.3464000000004</v>
      </c>
    </row>
    <row r="966" spans="1:25" x14ac:dyDescent="0.25">
      <c r="A966" t="s">
        <v>2056</v>
      </c>
      <c r="B966">
        <v>42676</v>
      </c>
      <c r="C966" t="str">
        <f t="shared" ref="C966:C1029" si="90">TEXT(B966,"yyyy")</f>
        <v>2016</v>
      </c>
      <c r="D966" t="s">
        <v>2057</v>
      </c>
      <c r="E966" t="s">
        <v>546</v>
      </c>
      <c r="F966" t="s">
        <v>257</v>
      </c>
      <c r="G966" t="s">
        <v>258</v>
      </c>
      <c r="H966" t="s">
        <v>241</v>
      </c>
      <c r="I966" t="s">
        <v>260</v>
      </c>
      <c r="J966" t="s">
        <v>294</v>
      </c>
      <c r="K966" t="s">
        <v>718</v>
      </c>
      <c r="L966" t="s">
        <v>245</v>
      </c>
      <c r="M966" t="s">
        <v>323</v>
      </c>
      <c r="N966" t="s">
        <v>247</v>
      </c>
      <c r="O966">
        <v>42677</v>
      </c>
      <c r="P966">
        <v>2.5</v>
      </c>
      <c r="Q966">
        <v>5.68</v>
      </c>
      <c r="R966">
        <f t="shared" ref="R966:R1029" si="91">Q966-P966</f>
        <v>3.1799999999999997</v>
      </c>
      <c r="S966">
        <v>34</v>
      </c>
      <c r="T966">
        <f t="shared" ref="T966:T1029" si="92">Q966*S966</f>
        <v>193.12</v>
      </c>
      <c r="U966">
        <v>0</v>
      </c>
      <c r="V966">
        <f t="shared" ref="V966:V1029" si="93">T966*U966</f>
        <v>0</v>
      </c>
      <c r="W966">
        <f t="shared" ref="W966:W1029" si="94">T966-V966</f>
        <v>193.12</v>
      </c>
      <c r="X966">
        <v>3.6</v>
      </c>
      <c r="Y966">
        <f t="shared" ref="Y966:Y1029" si="95">W966+X966</f>
        <v>196.72</v>
      </c>
    </row>
    <row r="967" spans="1:25" x14ac:dyDescent="0.25">
      <c r="A967" t="s">
        <v>2058</v>
      </c>
      <c r="B967">
        <v>42676</v>
      </c>
      <c r="C967" t="str">
        <f t="shared" si="90"/>
        <v>2016</v>
      </c>
      <c r="D967" t="s">
        <v>1466</v>
      </c>
      <c r="E967" t="s">
        <v>798</v>
      </c>
      <c r="F967" t="s">
        <v>448</v>
      </c>
      <c r="G967" t="s">
        <v>449</v>
      </c>
      <c r="H967" t="s">
        <v>241</v>
      </c>
      <c r="I967" t="s">
        <v>299</v>
      </c>
      <c r="J967" t="s">
        <v>294</v>
      </c>
      <c r="K967" t="s">
        <v>786</v>
      </c>
      <c r="L967" t="s">
        <v>245</v>
      </c>
      <c r="M967" t="s">
        <v>323</v>
      </c>
      <c r="N967" t="s">
        <v>247</v>
      </c>
      <c r="O967">
        <v>42678</v>
      </c>
      <c r="P967">
        <v>16.8</v>
      </c>
      <c r="Q967">
        <v>40.97</v>
      </c>
      <c r="R967">
        <f t="shared" si="91"/>
        <v>24.169999999999998</v>
      </c>
      <c r="S967">
        <v>26</v>
      </c>
      <c r="T967">
        <f t="shared" si="92"/>
        <v>1065.22</v>
      </c>
      <c r="U967">
        <v>0.06</v>
      </c>
      <c r="V967">
        <f t="shared" si="93"/>
        <v>63.913199999999996</v>
      </c>
      <c r="W967">
        <f t="shared" si="94"/>
        <v>1001.3068000000001</v>
      </c>
      <c r="X967">
        <v>8.99</v>
      </c>
      <c r="Y967">
        <f t="shared" si="95"/>
        <v>1010.2968000000001</v>
      </c>
    </row>
    <row r="968" spans="1:25" x14ac:dyDescent="0.25">
      <c r="A968" t="s">
        <v>2059</v>
      </c>
      <c r="B968">
        <v>42676</v>
      </c>
      <c r="C968" t="str">
        <f t="shared" si="90"/>
        <v>2016</v>
      </c>
      <c r="D968" t="s">
        <v>1008</v>
      </c>
      <c r="E968" t="s">
        <v>709</v>
      </c>
      <c r="F968" t="s">
        <v>257</v>
      </c>
      <c r="G968" t="s">
        <v>258</v>
      </c>
      <c r="H968" t="s">
        <v>241</v>
      </c>
      <c r="I968" t="s">
        <v>275</v>
      </c>
      <c r="J968" t="s">
        <v>279</v>
      </c>
      <c r="K968" t="s">
        <v>334</v>
      </c>
      <c r="L968" t="s">
        <v>245</v>
      </c>
      <c r="M968" t="s">
        <v>253</v>
      </c>
      <c r="N968" t="s">
        <v>247</v>
      </c>
      <c r="O968">
        <v>42680</v>
      </c>
      <c r="P968">
        <v>1.3</v>
      </c>
      <c r="Q968">
        <v>2.88</v>
      </c>
      <c r="R968">
        <f t="shared" si="91"/>
        <v>1.5799999999999998</v>
      </c>
      <c r="S968">
        <v>41</v>
      </c>
      <c r="T968">
        <f t="shared" si="92"/>
        <v>118.08</v>
      </c>
      <c r="U968">
        <v>0.1</v>
      </c>
      <c r="V968">
        <f t="shared" si="93"/>
        <v>11.808</v>
      </c>
      <c r="W968">
        <f t="shared" si="94"/>
        <v>106.27199999999999</v>
      </c>
      <c r="X968">
        <v>1.01</v>
      </c>
      <c r="Y968">
        <f t="shared" si="95"/>
        <v>107.282</v>
      </c>
    </row>
    <row r="969" spans="1:25" x14ac:dyDescent="0.25">
      <c r="A969" t="s">
        <v>2060</v>
      </c>
      <c r="B969">
        <v>42677</v>
      </c>
      <c r="C969" t="str">
        <f t="shared" si="90"/>
        <v>2016</v>
      </c>
      <c r="D969" t="s">
        <v>2061</v>
      </c>
      <c r="E969" t="s">
        <v>432</v>
      </c>
      <c r="F969" t="s">
        <v>257</v>
      </c>
      <c r="G969" t="s">
        <v>258</v>
      </c>
      <c r="H969" t="s">
        <v>259</v>
      </c>
      <c r="I969" t="s">
        <v>333</v>
      </c>
      <c r="J969" t="s">
        <v>294</v>
      </c>
      <c r="K969" t="s">
        <v>460</v>
      </c>
      <c r="L969" t="s">
        <v>245</v>
      </c>
      <c r="M969" t="s">
        <v>246</v>
      </c>
      <c r="N969" t="s">
        <v>247</v>
      </c>
      <c r="O969">
        <v>42678</v>
      </c>
      <c r="P969">
        <v>3.84</v>
      </c>
      <c r="Q969">
        <v>6.3</v>
      </c>
      <c r="R969">
        <f t="shared" si="91"/>
        <v>2.46</v>
      </c>
      <c r="S969">
        <v>35</v>
      </c>
      <c r="T969">
        <f t="shared" si="92"/>
        <v>220.5</v>
      </c>
      <c r="U969">
        <v>0.03</v>
      </c>
      <c r="V969">
        <f t="shared" si="93"/>
        <v>6.6149999999999993</v>
      </c>
      <c r="W969">
        <f t="shared" si="94"/>
        <v>213.88499999999999</v>
      </c>
      <c r="X969">
        <v>0.5</v>
      </c>
      <c r="Y969">
        <f t="shared" si="95"/>
        <v>214.38499999999999</v>
      </c>
    </row>
    <row r="970" spans="1:25" x14ac:dyDescent="0.25">
      <c r="A970" t="s">
        <v>2062</v>
      </c>
      <c r="B970">
        <v>42679</v>
      </c>
      <c r="C970" t="str">
        <f t="shared" si="90"/>
        <v>2016</v>
      </c>
      <c r="D970" t="s">
        <v>2063</v>
      </c>
      <c r="E970" t="s">
        <v>921</v>
      </c>
      <c r="F970" t="s">
        <v>257</v>
      </c>
      <c r="G970" t="s">
        <v>258</v>
      </c>
      <c r="H970" t="s">
        <v>293</v>
      </c>
      <c r="I970" t="s">
        <v>299</v>
      </c>
      <c r="J970" t="s">
        <v>279</v>
      </c>
      <c r="K970" t="s">
        <v>653</v>
      </c>
      <c r="L970" t="s">
        <v>245</v>
      </c>
      <c r="M970" t="s">
        <v>246</v>
      </c>
      <c r="N970" t="s">
        <v>247</v>
      </c>
      <c r="O970">
        <v>42686</v>
      </c>
      <c r="P970">
        <v>3.5</v>
      </c>
      <c r="Q970">
        <v>5.74</v>
      </c>
      <c r="R970">
        <f t="shared" si="91"/>
        <v>2.2400000000000002</v>
      </c>
      <c r="S970">
        <v>5</v>
      </c>
      <c r="T970">
        <f t="shared" si="92"/>
        <v>28.700000000000003</v>
      </c>
      <c r="U970">
        <v>7.0000000000000007E-2</v>
      </c>
      <c r="V970">
        <f t="shared" si="93"/>
        <v>2.0090000000000003</v>
      </c>
      <c r="W970">
        <f t="shared" si="94"/>
        <v>26.691000000000003</v>
      </c>
      <c r="X970">
        <v>5.01</v>
      </c>
      <c r="Y970">
        <f t="shared" si="95"/>
        <v>31.701000000000001</v>
      </c>
    </row>
    <row r="971" spans="1:25" x14ac:dyDescent="0.25">
      <c r="A971" t="s">
        <v>2064</v>
      </c>
      <c r="B971">
        <v>42682</v>
      </c>
      <c r="C971" t="str">
        <f t="shared" si="90"/>
        <v>2016</v>
      </c>
      <c r="D971" t="s">
        <v>2065</v>
      </c>
      <c r="E971" t="s">
        <v>650</v>
      </c>
      <c r="F971" t="s">
        <v>257</v>
      </c>
      <c r="G971" t="s">
        <v>258</v>
      </c>
      <c r="H971" t="s">
        <v>274</v>
      </c>
      <c r="I971" t="s">
        <v>299</v>
      </c>
      <c r="J971" t="s">
        <v>279</v>
      </c>
      <c r="K971" t="s">
        <v>479</v>
      </c>
      <c r="L971" t="s">
        <v>245</v>
      </c>
      <c r="M971" t="s">
        <v>246</v>
      </c>
      <c r="N971" t="s">
        <v>247</v>
      </c>
      <c r="O971">
        <v>42687</v>
      </c>
      <c r="P971">
        <v>8.92</v>
      </c>
      <c r="Q971">
        <v>29.74</v>
      </c>
      <c r="R971">
        <f t="shared" si="91"/>
        <v>20.82</v>
      </c>
      <c r="S971">
        <v>31</v>
      </c>
      <c r="T971">
        <f t="shared" si="92"/>
        <v>921.93999999999994</v>
      </c>
      <c r="U971">
        <v>0</v>
      </c>
      <c r="V971">
        <f t="shared" si="93"/>
        <v>0</v>
      </c>
      <c r="W971">
        <f t="shared" si="94"/>
        <v>921.93999999999994</v>
      </c>
      <c r="X971">
        <v>6.64</v>
      </c>
      <c r="Y971">
        <f t="shared" si="95"/>
        <v>928.57999999999993</v>
      </c>
    </row>
    <row r="972" spans="1:25" x14ac:dyDescent="0.25">
      <c r="A972" t="s">
        <v>2066</v>
      </c>
      <c r="B972">
        <v>42682</v>
      </c>
      <c r="C972" t="str">
        <f t="shared" si="90"/>
        <v>2016</v>
      </c>
      <c r="D972" t="s">
        <v>690</v>
      </c>
      <c r="E972" t="s">
        <v>691</v>
      </c>
      <c r="F972" t="s">
        <v>448</v>
      </c>
      <c r="G972" t="s">
        <v>449</v>
      </c>
      <c r="H972" t="s">
        <v>241</v>
      </c>
      <c r="I972" t="s">
        <v>504</v>
      </c>
      <c r="J972" t="s">
        <v>279</v>
      </c>
      <c r="K972" t="s">
        <v>1082</v>
      </c>
      <c r="L972" t="s">
        <v>245</v>
      </c>
      <c r="M972" t="s">
        <v>253</v>
      </c>
      <c r="N972" t="s">
        <v>247</v>
      </c>
      <c r="O972">
        <v>42684</v>
      </c>
      <c r="P972">
        <v>1.0900000000000001</v>
      </c>
      <c r="Q972">
        <v>1.82</v>
      </c>
      <c r="R972">
        <f t="shared" si="91"/>
        <v>0.73</v>
      </c>
      <c r="S972">
        <v>40</v>
      </c>
      <c r="T972">
        <f t="shared" si="92"/>
        <v>72.8</v>
      </c>
      <c r="U972">
        <v>0.05</v>
      </c>
      <c r="V972">
        <f t="shared" si="93"/>
        <v>3.64</v>
      </c>
      <c r="W972">
        <f t="shared" si="94"/>
        <v>69.16</v>
      </c>
      <c r="X972">
        <v>1</v>
      </c>
      <c r="Y972">
        <f t="shared" si="95"/>
        <v>70.16</v>
      </c>
    </row>
    <row r="973" spans="1:25" x14ac:dyDescent="0.25">
      <c r="A973" t="s">
        <v>2067</v>
      </c>
      <c r="B973">
        <v>42682</v>
      </c>
      <c r="C973" t="str">
        <f t="shared" si="90"/>
        <v>2016</v>
      </c>
      <c r="D973" t="s">
        <v>754</v>
      </c>
      <c r="E973" t="s">
        <v>316</v>
      </c>
      <c r="F973" t="s">
        <v>239</v>
      </c>
      <c r="G973" t="s">
        <v>240</v>
      </c>
      <c r="H973" t="s">
        <v>274</v>
      </c>
      <c r="I973" t="s">
        <v>242</v>
      </c>
      <c r="J973" t="s">
        <v>294</v>
      </c>
      <c r="K973" t="s">
        <v>276</v>
      </c>
      <c r="L973" t="s">
        <v>245</v>
      </c>
      <c r="M973" t="s">
        <v>253</v>
      </c>
      <c r="N973" t="s">
        <v>247</v>
      </c>
      <c r="O973">
        <v>42682</v>
      </c>
      <c r="P973">
        <v>0.9</v>
      </c>
      <c r="Q973">
        <v>2.1</v>
      </c>
      <c r="R973">
        <f t="shared" si="91"/>
        <v>1.2000000000000002</v>
      </c>
      <c r="S973">
        <v>27</v>
      </c>
      <c r="T973">
        <f t="shared" si="92"/>
        <v>56.7</v>
      </c>
      <c r="U973">
        <v>0.04</v>
      </c>
      <c r="V973">
        <f t="shared" si="93"/>
        <v>2.2680000000000002</v>
      </c>
      <c r="W973">
        <f t="shared" si="94"/>
        <v>54.432000000000002</v>
      </c>
      <c r="X973">
        <v>0.7</v>
      </c>
      <c r="Y973">
        <f t="shared" si="95"/>
        <v>55.132000000000005</v>
      </c>
    </row>
    <row r="974" spans="1:25" x14ac:dyDescent="0.25">
      <c r="A974" t="s">
        <v>2068</v>
      </c>
      <c r="B974">
        <v>42683</v>
      </c>
      <c r="C974" t="str">
        <f t="shared" si="90"/>
        <v>2016</v>
      </c>
      <c r="D974" t="s">
        <v>2069</v>
      </c>
      <c r="E974" t="s">
        <v>1805</v>
      </c>
      <c r="F974" t="s">
        <v>257</v>
      </c>
      <c r="G974" t="s">
        <v>258</v>
      </c>
      <c r="H974" t="s">
        <v>259</v>
      </c>
      <c r="I974" t="s">
        <v>275</v>
      </c>
      <c r="J974" t="s">
        <v>243</v>
      </c>
      <c r="K974" t="s">
        <v>353</v>
      </c>
      <c r="L974" t="s">
        <v>245</v>
      </c>
      <c r="M974" t="s">
        <v>323</v>
      </c>
      <c r="N974" t="s">
        <v>247</v>
      </c>
      <c r="O974">
        <v>42685</v>
      </c>
      <c r="P974">
        <v>0.94</v>
      </c>
      <c r="Q974">
        <v>2.08</v>
      </c>
      <c r="R974">
        <f t="shared" si="91"/>
        <v>1.1400000000000001</v>
      </c>
      <c r="S974">
        <v>39</v>
      </c>
      <c r="T974">
        <f t="shared" si="92"/>
        <v>81.12</v>
      </c>
      <c r="U974">
        <v>0.04</v>
      </c>
      <c r="V974">
        <f t="shared" si="93"/>
        <v>3.2448000000000001</v>
      </c>
      <c r="W974">
        <f t="shared" si="94"/>
        <v>77.875200000000007</v>
      </c>
      <c r="X974">
        <v>2.56</v>
      </c>
      <c r="Y974">
        <f t="shared" si="95"/>
        <v>80.435200000000009</v>
      </c>
    </row>
    <row r="975" spans="1:25" x14ac:dyDescent="0.25">
      <c r="A975" t="s">
        <v>2070</v>
      </c>
      <c r="B975">
        <v>42684</v>
      </c>
      <c r="C975" t="str">
        <f t="shared" si="90"/>
        <v>2016</v>
      </c>
      <c r="D975" t="s">
        <v>1676</v>
      </c>
      <c r="E975" t="s">
        <v>709</v>
      </c>
      <c r="F975" t="s">
        <v>257</v>
      </c>
      <c r="G975" t="s">
        <v>258</v>
      </c>
      <c r="H975" t="s">
        <v>274</v>
      </c>
      <c r="I975" t="s">
        <v>275</v>
      </c>
      <c r="J975" t="s">
        <v>294</v>
      </c>
      <c r="K975" t="s">
        <v>488</v>
      </c>
      <c r="L975" t="s">
        <v>268</v>
      </c>
      <c r="M975" t="s">
        <v>323</v>
      </c>
      <c r="N975" t="s">
        <v>247</v>
      </c>
      <c r="O975">
        <v>42686</v>
      </c>
      <c r="P975">
        <v>20.18</v>
      </c>
      <c r="Q975">
        <v>35.409999999999997</v>
      </c>
      <c r="R975">
        <f t="shared" si="91"/>
        <v>15.229999999999997</v>
      </c>
      <c r="S975">
        <v>21</v>
      </c>
      <c r="T975">
        <f t="shared" si="92"/>
        <v>743.6099999999999</v>
      </c>
      <c r="U975">
        <v>0.09</v>
      </c>
      <c r="V975">
        <f t="shared" si="93"/>
        <v>66.924899999999994</v>
      </c>
      <c r="W975">
        <f t="shared" si="94"/>
        <v>676.68509999999992</v>
      </c>
      <c r="X975">
        <v>1.99</v>
      </c>
      <c r="Y975">
        <f t="shared" si="95"/>
        <v>678.67509999999993</v>
      </c>
    </row>
    <row r="976" spans="1:25" x14ac:dyDescent="0.25">
      <c r="A976" t="s">
        <v>2071</v>
      </c>
      <c r="B976">
        <v>42686</v>
      </c>
      <c r="C976" t="str">
        <f t="shared" si="90"/>
        <v>2016</v>
      </c>
      <c r="D976" t="s">
        <v>778</v>
      </c>
      <c r="E976" t="s">
        <v>767</v>
      </c>
      <c r="F976" t="s">
        <v>257</v>
      </c>
      <c r="G976" t="s">
        <v>258</v>
      </c>
      <c r="H976" t="s">
        <v>293</v>
      </c>
      <c r="I976" t="s">
        <v>260</v>
      </c>
      <c r="J976" t="s">
        <v>294</v>
      </c>
      <c r="K976" t="s">
        <v>514</v>
      </c>
      <c r="L976" t="s">
        <v>245</v>
      </c>
      <c r="M976" t="s">
        <v>246</v>
      </c>
      <c r="N976" t="s">
        <v>247</v>
      </c>
      <c r="O976">
        <v>42686</v>
      </c>
      <c r="P976">
        <v>19.829999999999998</v>
      </c>
      <c r="Q976">
        <v>30.98</v>
      </c>
      <c r="R976">
        <f t="shared" si="91"/>
        <v>11.150000000000002</v>
      </c>
      <c r="S976">
        <v>15</v>
      </c>
      <c r="T976">
        <f t="shared" si="92"/>
        <v>464.7</v>
      </c>
      <c r="U976">
        <v>0</v>
      </c>
      <c r="V976">
        <f t="shared" si="93"/>
        <v>0</v>
      </c>
      <c r="W976">
        <f t="shared" si="94"/>
        <v>464.7</v>
      </c>
      <c r="X976">
        <v>19.510000000000002</v>
      </c>
      <c r="Y976">
        <f t="shared" si="95"/>
        <v>484.21</v>
      </c>
    </row>
    <row r="977" spans="1:25" x14ac:dyDescent="0.25">
      <c r="A977" t="s">
        <v>2072</v>
      </c>
      <c r="B977">
        <v>42687</v>
      </c>
      <c r="C977" t="str">
        <f t="shared" si="90"/>
        <v>2016</v>
      </c>
      <c r="D977" t="s">
        <v>2073</v>
      </c>
      <c r="E977" t="s">
        <v>1621</v>
      </c>
      <c r="F977" t="s">
        <v>257</v>
      </c>
      <c r="G977" t="s">
        <v>258</v>
      </c>
      <c r="H977" t="s">
        <v>293</v>
      </c>
      <c r="I977" t="s">
        <v>381</v>
      </c>
      <c r="J977" t="s">
        <v>279</v>
      </c>
      <c r="K977" t="s">
        <v>555</v>
      </c>
      <c r="L977" t="s">
        <v>245</v>
      </c>
      <c r="M977" t="s">
        <v>246</v>
      </c>
      <c r="N977" t="s">
        <v>247</v>
      </c>
      <c r="O977">
        <v>42689</v>
      </c>
      <c r="P977">
        <v>1.98</v>
      </c>
      <c r="Q977">
        <v>3.15</v>
      </c>
      <c r="R977">
        <f t="shared" si="91"/>
        <v>1.17</v>
      </c>
      <c r="S977">
        <v>41</v>
      </c>
      <c r="T977">
        <f t="shared" si="92"/>
        <v>129.15</v>
      </c>
      <c r="U977">
        <v>0.06</v>
      </c>
      <c r="V977">
        <f t="shared" si="93"/>
        <v>7.7489999999999997</v>
      </c>
      <c r="W977">
        <f t="shared" si="94"/>
        <v>121.40100000000001</v>
      </c>
      <c r="X977">
        <v>0.49</v>
      </c>
      <c r="Y977">
        <f t="shared" si="95"/>
        <v>121.89100000000001</v>
      </c>
    </row>
    <row r="978" spans="1:25" x14ac:dyDescent="0.25">
      <c r="A978" t="s">
        <v>2074</v>
      </c>
      <c r="B978">
        <v>42688</v>
      </c>
      <c r="C978" t="str">
        <f t="shared" si="90"/>
        <v>2016</v>
      </c>
      <c r="D978" t="s">
        <v>2075</v>
      </c>
      <c r="E978" t="s">
        <v>2076</v>
      </c>
      <c r="F978" t="s">
        <v>257</v>
      </c>
      <c r="G978" t="s">
        <v>258</v>
      </c>
      <c r="H978" t="s">
        <v>259</v>
      </c>
      <c r="I978" t="s">
        <v>299</v>
      </c>
      <c r="J978" t="s">
        <v>304</v>
      </c>
      <c r="K978" t="s">
        <v>280</v>
      </c>
      <c r="L978" t="s">
        <v>245</v>
      </c>
      <c r="M978" t="s">
        <v>253</v>
      </c>
      <c r="N978" t="s">
        <v>247</v>
      </c>
      <c r="O978">
        <v>42689</v>
      </c>
      <c r="P978">
        <v>1.0900000000000001</v>
      </c>
      <c r="Q978">
        <v>2.6</v>
      </c>
      <c r="R978">
        <f t="shared" si="91"/>
        <v>1.51</v>
      </c>
      <c r="S978">
        <v>11</v>
      </c>
      <c r="T978">
        <f t="shared" si="92"/>
        <v>28.6</v>
      </c>
      <c r="U978">
        <v>0.09</v>
      </c>
      <c r="V978">
        <f t="shared" si="93"/>
        <v>2.5739999999999998</v>
      </c>
      <c r="W978">
        <f t="shared" si="94"/>
        <v>26.026000000000003</v>
      </c>
      <c r="X978">
        <v>2.4</v>
      </c>
      <c r="Y978">
        <f t="shared" si="95"/>
        <v>28.426000000000002</v>
      </c>
    </row>
    <row r="979" spans="1:25" x14ac:dyDescent="0.25">
      <c r="A979" t="s">
        <v>2077</v>
      </c>
      <c r="B979">
        <v>42690</v>
      </c>
      <c r="C979" t="str">
        <f t="shared" si="90"/>
        <v>2016</v>
      </c>
      <c r="D979" t="s">
        <v>2078</v>
      </c>
      <c r="E979" t="s">
        <v>727</v>
      </c>
      <c r="F979" t="s">
        <v>257</v>
      </c>
      <c r="G979" t="s">
        <v>258</v>
      </c>
      <c r="H979" t="s">
        <v>259</v>
      </c>
      <c r="I979" t="s">
        <v>333</v>
      </c>
      <c r="J979" t="s">
        <v>243</v>
      </c>
      <c r="K979" t="s">
        <v>468</v>
      </c>
      <c r="L979" t="s">
        <v>245</v>
      </c>
      <c r="M979" t="s">
        <v>253</v>
      </c>
      <c r="N979" t="s">
        <v>247</v>
      </c>
      <c r="O979">
        <v>42690</v>
      </c>
      <c r="P979">
        <v>2.29</v>
      </c>
      <c r="Q979">
        <v>3.58</v>
      </c>
      <c r="R979">
        <f t="shared" si="91"/>
        <v>1.29</v>
      </c>
      <c r="S979">
        <v>32</v>
      </c>
      <c r="T979">
        <f t="shared" si="92"/>
        <v>114.56</v>
      </c>
      <c r="U979">
        <v>0.09</v>
      </c>
      <c r="V979">
        <f t="shared" si="93"/>
        <v>10.3104</v>
      </c>
      <c r="W979">
        <f t="shared" si="94"/>
        <v>104.2496</v>
      </c>
      <c r="X979">
        <v>1.63</v>
      </c>
      <c r="Y979">
        <f t="shared" si="95"/>
        <v>105.8796</v>
      </c>
    </row>
    <row r="980" spans="1:25" x14ac:dyDescent="0.25">
      <c r="A980" t="s">
        <v>2079</v>
      </c>
      <c r="B980">
        <v>42691</v>
      </c>
      <c r="C980" t="str">
        <f t="shared" si="90"/>
        <v>2016</v>
      </c>
      <c r="D980" t="s">
        <v>1000</v>
      </c>
      <c r="E980" t="s">
        <v>1001</v>
      </c>
      <c r="F980" t="s">
        <v>239</v>
      </c>
      <c r="G980" t="s">
        <v>240</v>
      </c>
      <c r="H980" t="s">
        <v>293</v>
      </c>
      <c r="I980" t="s">
        <v>251</v>
      </c>
      <c r="J980" t="s">
        <v>243</v>
      </c>
      <c r="K980" t="s">
        <v>443</v>
      </c>
      <c r="L980" t="s">
        <v>245</v>
      </c>
      <c r="M980" t="s">
        <v>246</v>
      </c>
      <c r="N980" t="s">
        <v>247</v>
      </c>
      <c r="O980">
        <v>42693</v>
      </c>
      <c r="P980">
        <v>13.64</v>
      </c>
      <c r="Q980">
        <v>20.98</v>
      </c>
      <c r="R980">
        <f t="shared" si="91"/>
        <v>7.34</v>
      </c>
      <c r="S980">
        <v>42</v>
      </c>
      <c r="T980">
        <f t="shared" si="92"/>
        <v>881.16</v>
      </c>
      <c r="U980">
        <v>0.1</v>
      </c>
      <c r="V980">
        <f t="shared" si="93"/>
        <v>88.116</v>
      </c>
      <c r="W980">
        <f t="shared" si="94"/>
        <v>793.04399999999998</v>
      </c>
      <c r="X980">
        <v>1.49</v>
      </c>
      <c r="Y980">
        <f t="shared" si="95"/>
        <v>794.53399999999999</v>
      </c>
    </row>
    <row r="981" spans="1:25" x14ac:dyDescent="0.25">
      <c r="A981" t="s">
        <v>2080</v>
      </c>
      <c r="B981">
        <v>42691</v>
      </c>
      <c r="C981" t="str">
        <f t="shared" si="90"/>
        <v>2016</v>
      </c>
      <c r="D981" t="s">
        <v>882</v>
      </c>
      <c r="E981" t="s">
        <v>816</v>
      </c>
      <c r="F981" t="s">
        <v>257</v>
      </c>
      <c r="G981" t="s">
        <v>258</v>
      </c>
      <c r="H981" t="s">
        <v>259</v>
      </c>
      <c r="I981" t="s">
        <v>492</v>
      </c>
      <c r="J981" t="s">
        <v>304</v>
      </c>
      <c r="K981" t="s">
        <v>779</v>
      </c>
      <c r="L981" t="s">
        <v>245</v>
      </c>
      <c r="M981" t="s">
        <v>246</v>
      </c>
      <c r="N981" t="s">
        <v>247</v>
      </c>
      <c r="O981">
        <v>42693</v>
      </c>
      <c r="P981">
        <v>11.04</v>
      </c>
      <c r="Q981">
        <v>16.98</v>
      </c>
      <c r="R981">
        <f t="shared" si="91"/>
        <v>5.9400000000000013</v>
      </c>
      <c r="S981">
        <v>46</v>
      </c>
      <c r="T981">
        <f t="shared" si="92"/>
        <v>781.08</v>
      </c>
      <c r="U981">
        <v>0.09</v>
      </c>
      <c r="V981">
        <f t="shared" si="93"/>
        <v>70.297200000000004</v>
      </c>
      <c r="W981">
        <f t="shared" si="94"/>
        <v>710.78280000000007</v>
      </c>
      <c r="X981">
        <v>12.39</v>
      </c>
      <c r="Y981">
        <f t="shared" si="95"/>
        <v>723.17280000000005</v>
      </c>
    </row>
    <row r="982" spans="1:25" x14ac:dyDescent="0.25">
      <c r="A982" t="s">
        <v>2081</v>
      </c>
      <c r="B982">
        <v>42694</v>
      </c>
      <c r="C982" t="str">
        <f t="shared" si="90"/>
        <v>2016</v>
      </c>
      <c r="D982" t="s">
        <v>646</v>
      </c>
      <c r="E982" t="s">
        <v>376</v>
      </c>
      <c r="F982" t="s">
        <v>239</v>
      </c>
      <c r="G982" t="s">
        <v>240</v>
      </c>
      <c r="H982" t="s">
        <v>241</v>
      </c>
      <c r="I982" t="s">
        <v>242</v>
      </c>
      <c r="J982" t="s">
        <v>261</v>
      </c>
      <c r="K982" t="s">
        <v>1021</v>
      </c>
      <c r="L982" t="s">
        <v>245</v>
      </c>
      <c r="M982" t="s">
        <v>253</v>
      </c>
      <c r="N982" t="s">
        <v>247</v>
      </c>
      <c r="O982">
        <v>42695</v>
      </c>
      <c r="P982">
        <v>1.05</v>
      </c>
      <c r="Q982">
        <v>1.95</v>
      </c>
      <c r="R982">
        <f t="shared" si="91"/>
        <v>0.89999999999999991</v>
      </c>
      <c r="S982">
        <v>20</v>
      </c>
      <c r="T982">
        <f t="shared" si="92"/>
        <v>39</v>
      </c>
      <c r="U982">
        <v>0.06</v>
      </c>
      <c r="V982">
        <f t="shared" si="93"/>
        <v>2.34</v>
      </c>
      <c r="W982">
        <f t="shared" si="94"/>
        <v>36.659999999999997</v>
      </c>
      <c r="X982">
        <v>1.63</v>
      </c>
      <c r="Y982">
        <f t="shared" si="95"/>
        <v>38.29</v>
      </c>
    </row>
    <row r="983" spans="1:25" x14ac:dyDescent="0.25">
      <c r="A983" t="s">
        <v>2082</v>
      </c>
      <c r="B983">
        <v>42696</v>
      </c>
      <c r="C983" t="str">
        <f t="shared" si="90"/>
        <v>2016</v>
      </c>
      <c r="D983" t="s">
        <v>2083</v>
      </c>
      <c r="E983" t="s">
        <v>456</v>
      </c>
      <c r="F983" t="s">
        <v>257</v>
      </c>
      <c r="G983" t="s">
        <v>258</v>
      </c>
      <c r="H983" t="s">
        <v>259</v>
      </c>
      <c r="I983" t="s">
        <v>342</v>
      </c>
      <c r="J983" t="s">
        <v>279</v>
      </c>
      <c r="K983" t="s">
        <v>349</v>
      </c>
      <c r="L983" t="s">
        <v>245</v>
      </c>
      <c r="M983" t="s">
        <v>246</v>
      </c>
      <c r="N983" t="s">
        <v>247</v>
      </c>
      <c r="O983">
        <v>42701</v>
      </c>
      <c r="P983">
        <v>3.52</v>
      </c>
      <c r="Q983">
        <v>5.68</v>
      </c>
      <c r="R983">
        <f t="shared" si="91"/>
        <v>2.1599999999999997</v>
      </c>
      <c r="S983">
        <v>10</v>
      </c>
      <c r="T983">
        <f t="shared" si="92"/>
        <v>56.8</v>
      </c>
      <c r="U983">
        <v>0.09</v>
      </c>
      <c r="V983">
        <f t="shared" si="93"/>
        <v>5.1119999999999992</v>
      </c>
      <c r="W983">
        <f t="shared" si="94"/>
        <v>51.687999999999995</v>
      </c>
      <c r="X983">
        <v>1.39</v>
      </c>
      <c r="Y983">
        <f t="shared" si="95"/>
        <v>53.077999999999996</v>
      </c>
    </row>
    <row r="984" spans="1:25" x14ac:dyDescent="0.25">
      <c r="A984" t="s">
        <v>2084</v>
      </c>
      <c r="B984">
        <v>42697</v>
      </c>
      <c r="C984" t="str">
        <f t="shared" si="90"/>
        <v>2016</v>
      </c>
      <c r="D984" t="s">
        <v>2085</v>
      </c>
      <c r="E984" t="s">
        <v>428</v>
      </c>
      <c r="F984" t="s">
        <v>257</v>
      </c>
      <c r="G984" t="s">
        <v>258</v>
      </c>
      <c r="H984" t="s">
        <v>259</v>
      </c>
      <c r="I984" t="s">
        <v>333</v>
      </c>
      <c r="J984" t="s">
        <v>261</v>
      </c>
      <c r="K984" t="s">
        <v>435</v>
      </c>
      <c r="L984" t="s">
        <v>245</v>
      </c>
      <c r="M984" t="s">
        <v>253</v>
      </c>
      <c r="N984" t="s">
        <v>247</v>
      </c>
      <c r="O984">
        <v>42699</v>
      </c>
      <c r="P984">
        <v>3.75</v>
      </c>
      <c r="Q984">
        <v>7.08</v>
      </c>
      <c r="R984">
        <f t="shared" si="91"/>
        <v>3.33</v>
      </c>
      <c r="S984">
        <v>29</v>
      </c>
      <c r="T984">
        <f t="shared" si="92"/>
        <v>205.32</v>
      </c>
      <c r="U984">
        <v>7.0000000000000007E-2</v>
      </c>
      <c r="V984">
        <f t="shared" si="93"/>
        <v>14.372400000000001</v>
      </c>
      <c r="W984">
        <f t="shared" si="94"/>
        <v>190.94759999999999</v>
      </c>
      <c r="X984">
        <v>2.35</v>
      </c>
      <c r="Y984">
        <f t="shared" si="95"/>
        <v>193.29759999999999</v>
      </c>
    </row>
    <row r="985" spans="1:25" x14ac:dyDescent="0.25">
      <c r="A985" t="s">
        <v>2086</v>
      </c>
      <c r="B985">
        <v>42700</v>
      </c>
      <c r="C985" t="str">
        <f t="shared" si="90"/>
        <v>2016</v>
      </c>
      <c r="D985" t="s">
        <v>379</v>
      </c>
      <c r="E985" t="s">
        <v>380</v>
      </c>
      <c r="F985" t="s">
        <v>257</v>
      </c>
      <c r="G985" t="s">
        <v>258</v>
      </c>
      <c r="H985" t="s">
        <v>293</v>
      </c>
      <c r="I985" t="s">
        <v>381</v>
      </c>
      <c r="J985" t="s">
        <v>304</v>
      </c>
      <c r="K985" t="s">
        <v>533</v>
      </c>
      <c r="L985" t="s">
        <v>245</v>
      </c>
      <c r="M985" t="s">
        <v>246</v>
      </c>
      <c r="N985" t="s">
        <v>247</v>
      </c>
      <c r="O985">
        <v>42702</v>
      </c>
      <c r="P985">
        <v>3.4</v>
      </c>
      <c r="Q985">
        <v>5.4</v>
      </c>
      <c r="R985">
        <f t="shared" si="91"/>
        <v>2.0000000000000004</v>
      </c>
      <c r="S985">
        <v>1</v>
      </c>
      <c r="T985">
        <f t="shared" si="92"/>
        <v>5.4</v>
      </c>
      <c r="U985">
        <v>0</v>
      </c>
      <c r="V985">
        <f t="shared" si="93"/>
        <v>0</v>
      </c>
      <c r="W985">
        <f t="shared" si="94"/>
        <v>5.4</v>
      </c>
      <c r="X985">
        <v>7.78</v>
      </c>
      <c r="Y985">
        <f t="shared" si="95"/>
        <v>13.18</v>
      </c>
    </row>
    <row r="986" spans="1:25" x14ac:dyDescent="0.25">
      <c r="A986" t="s">
        <v>2087</v>
      </c>
      <c r="B986">
        <v>42700</v>
      </c>
      <c r="C986" t="str">
        <f t="shared" si="90"/>
        <v>2016</v>
      </c>
      <c r="D986" t="s">
        <v>2088</v>
      </c>
      <c r="E986" t="s">
        <v>673</v>
      </c>
      <c r="F986" t="s">
        <v>257</v>
      </c>
      <c r="G986" t="s">
        <v>258</v>
      </c>
      <c r="H986" t="s">
        <v>241</v>
      </c>
      <c r="I986" t="s">
        <v>372</v>
      </c>
      <c r="J986" t="s">
        <v>304</v>
      </c>
      <c r="K986" t="s">
        <v>1119</v>
      </c>
      <c r="L986" t="s">
        <v>245</v>
      </c>
      <c r="M986" t="s">
        <v>246</v>
      </c>
      <c r="N986" t="s">
        <v>247</v>
      </c>
      <c r="O986">
        <v>42702</v>
      </c>
      <c r="P986">
        <v>1.84</v>
      </c>
      <c r="Q986">
        <v>2.88</v>
      </c>
      <c r="R986">
        <f t="shared" si="91"/>
        <v>1.0399999999999998</v>
      </c>
      <c r="S986">
        <v>6</v>
      </c>
      <c r="T986">
        <f t="shared" si="92"/>
        <v>17.28</v>
      </c>
      <c r="U986">
        <v>0.06</v>
      </c>
      <c r="V986">
        <f t="shared" si="93"/>
        <v>1.0367999999999999</v>
      </c>
      <c r="W986">
        <f t="shared" si="94"/>
        <v>16.243200000000002</v>
      </c>
      <c r="X986">
        <v>0.99</v>
      </c>
      <c r="Y986">
        <f t="shared" si="95"/>
        <v>17.2332</v>
      </c>
    </row>
    <row r="987" spans="1:25" x14ac:dyDescent="0.25">
      <c r="A987" t="s">
        <v>2089</v>
      </c>
      <c r="B987">
        <v>42700</v>
      </c>
      <c r="C987" t="str">
        <f t="shared" si="90"/>
        <v>2016</v>
      </c>
      <c r="D987" t="s">
        <v>819</v>
      </c>
      <c r="E987" t="s">
        <v>256</v>
      </c>
      <c r="F987" t="s">
        <v>257</v>
      </c>
      <c r="G987" t="s">
        <v>258</v>
      </c>
      <c r="H987" t="s">
        <v>274</v>
      </c>
      <c r="I987" t="s">
        <v>260</v>
      </c>
      <c r="J987" t="s">
        <v>279</v>
      </c>
      <c r="K987" t="s">
        <v>1051</v>
      </c>
      <c r="L987" t="s">
        <v>245</v>
      </c>
      <c r="M987" t="s">
        <v>253</v>
      </c>
      <c r="N987" t="s">
        <v>247</v>
      </c>
      <c r="O987">
        <v>42704</v>
      </c>
      <c r="P987">
        <v>0.87</v>
      </c>
      <c r="Q987">
        <v>1.81</v>
      </c>
      <c r="R987">
        <f t="shared" si="91"/>
        <v>0.94000000000000006</v>
      </c>
      <c r="S987">
        <v>18</v>
      </c>
      <c r="T987">
        <f t="shared" si="92"/>
        <v>32.58</v>
      </c>
      <c r="U987">
        <v>0.06</v>
      </c>
      <c r="V987">
        <f t="shared" si="93"/>
        <v>1.9547999999999999</v>
      </c>
      <c r="W987">
        <f t="shared" si="94"/>
        <v>30.6252</v>
      </c>
      <c r="X987">
        <v>0.75</v>
      </c>
      <c r="Y987">
        <f t="shared" si="95"/>
        <v>31.3752</v>
      </c>
    </row>
    <row r="988" spans="1:25" x14ac:dyDescent="0.25">
      <c r="A988" t="s">
        <v>2090</v>
      </c>
      <c r="B988">
        <v>42701</v>
      </c>
      <c r="C988" t="str">
        <f t="shared" si="90"/>
        <v>2016</v>
      </c>
      <c r="D988" t="s">
        <v>973</v>
      </c>
      <c r="E988" t="s">
        <v>346</v>
      </c>
      <c r="F988" t="s">
        <v>257</v>
      </c>
      <c r="G988" t="s">
        <v>258</v>
      </c>
      <c r="H988" t="s">
        <v>259</v>
      </c>
      <c r="I988" t="s">
        <v>309</v>
      </c>
      <c r="J988" t="s">
        <v>294</v>
      </c>
      <c r="K988" t="s">
        <v>761</v>
      </c>
      <c r="L988" t="s">
        <v>268</v>
      </c>
      <c r="M988" t="s">
        <v>246</v>
      </c>
      <c r="N988" t="s">
        <v>247</v>
      </c>
      <c r="O988">
        <v>42703</v>
      </c>
      <c r="P988">
        <v>62.4</v>
      </c>
      <c r="Q988">
        <v>155.99</v>
      </c>
      <c r="R988">
        <f t="shared" si="91"/>
        <v>93.59</v>
      </c>
      <c r="S988">
        <v>24</v>
      </c>
      <c r="T988">
        <f t="shared" si="92"/>
        <v>3743.76</v>
      </c>
      <c r="U988">
        <v>0.04</v>
      </c>
      <c r="V988">
        <f t="shared" si="93"/>
        <v>149.75040000000001</v>
      </c>
      <c r="W988">
        <f t="shared" si="94"/>
        <v>3594.0096000000003</v>
      </c>
      <c r="X988">
        <v>8.08</v>
      </c>
      <c r="Y988">
        <f t="shared" si="95"/>
        <v>3602.0896000000002</v>
      </c>
    </row>
    <row r="989" spans="1:25" x14ac:dyDescent="0.25">
      <c r="A989" t="s">
        <v>2091</v>
      </c>
      <c r="B989">
        <v>42701</v>
      </c>
      <c r="C989" t="str">
        <f t="shared" si="90"/>
        <v>2016</v>
      </c>
      <c r="D989" t="s">
        <v>1279</v>
      </c>
      <c r="E989" t="s">
        <v>288</v>
      </c>
      <c r="F989" t="s">
        <v>257</v>
      </c>
      <c r="G989" t="s">
        <v>258</v>
      </c>
      <c r="H989" t="s">
        <v>293</v>
      </c>
      <c r="I989" t="s">
        <v>284</v>
      </c>
      <c r="J989" t="s">
        <v>279</v>
      </c>
      <c r="K989" t="s">
        <v>594</v>
      </c>
      <c r="L989" t="s">
        <v>268</v>
      </c>
      <c r="M989" t="s">
        <v>269</v>
      </c>
      <c r="N989" t="s">
        <v>270</v>
      </c>
      <c r="O989">
        <v>42701</v>
      </c>
      <c r="P989">
        <v>278.99</v>
      </c>
      <c r="Q989">
        <v>449.99</v>
      </c>
      <c r="R989">
        <f t="shared" si="91"/>
        <v>171</v>
      </c>
      <c r="S989">
        <v>18</v>
      </c>
      <c r="T989">
        <f t="shared" si="92"/>
        <v>8099.82</v>
      </c>
      <c r="U989">
        <v>0.09</v>
      </c>
      <c r="V989">
        <f t="shared" si="93"/>
        <v>728.98379999999997</v>
      </c>
      <c r="W989">
        <f t="shared" si="94"/>
        <v>7370.8361999999997</v>
      </c>
      <c r="X989">
        <v>49</v>
      </c>
      <c r="Y989">
        <f t="shared" si="95"/>
        <v>7419.8361999999997</v>
      </c>
    </row>
    <row r="990" spans="1:25" x14ac:dyDescent="0.25">
      <c r="A990" t="s">
        <v>2092</v>
      </c>
      <c r="B990">
        <v>42702</v>
      </c>
      <c r="C990" t="str">
        <f t="shared" si="90"/>
        <v>2016</v>
      </c>
      <c r="D990" t="s">
        <v>1337</v>
      </c>
      <c r="E990" t="s">
        <v>1338</v>
      </c>
      <c r="F990" t="s">
        <v>257</v>
      </c>
      <c r="G990" t="s">
        <v>258</v>
      </c>
      <c r="H990" t="s">
        <v>293</v>
      </c>
      <c r="I990" t="s">
        <v>372</v>
      </c>
      <c r="J990" t="s">
        <v>261</v>
      </c>
      <c r="K990" t="s">
        <v>617</v>
      </c>
      <c r="L990" t="s">
        <v>245</v>
      </c>
      <c r="M990" t="s">
        <v>246</v>
      </c>
      <c r="N990" t="s">
        <v>247</v>
      </c>
      <c r="O990">
        <v>42703</v>
      </c>
      <c r="P990">
        <v>1.94</v>
      </c>
      <c r="Q990">
        <v>3.08</v>
      </c>
      <c r="R990">
        <f t="shared" si="91"/>
        <v>1.1400000000000001</v>
      </c>
      <c r="S990">
        <v>18</v>
      </c>
      <c r="T990">
        <f t="shared" si="92"/>
        <v>55.44</v>
      </c>
      <c r="U990">
        <v>0.02</v>
      </c>
      <c r="V990">
        <f t="shared" si="93"/>
        <v>1.1088</v>
      </c>
      <c r="W990">
        <f t="shared" si="94"/>
        <v>54.331199999999995</v>
      </c>
      <c r="X990">
        <v>0.99</v>
      </c>
      <c r="Y990">
        <f t="shared" si="95"/>
        <v>55.321199999999997</v>
      </c>
    </row>
    <row r="991" spans="1:25" x14ac:dyDescent="0.25">
      <c r="A991" t="s">
        <v>2093</v>
      </c>
      <c r="B991">
        <v>42702</v>
      </c>
      <c r="C991" t="str">
        <f t="shared" si="90"/>
        <v>2016</v>
      </c>
      <c r="D991" t="s">
        <v>1413</v>
      </c>
      <c r="E991" t="s">
        <v>511</v>
      </c>
      <c r="F991" t="s">
        <v>257</v>
      </c>
      <c r="G991" t="s">
        <v>258</v>
      </c>
      <c r="H991" t="s">
        <v>259</v>
      </c>
      <c r="I991" t="s">
        <v>381</v>
      </c>
      <c r="J991" t="s">
        <v>261</v>
      </c>
      <c r="K991" t="s">
        <v>941</v>
      </c>
      <c r="L991" t="s">
        <v>245</v>
      </c>
      <c r="M991" t="s">
        <v>253</v>
      </c>
      <c r="N991" t="s">
        <v>247</v>
      </c>
      <c r="O991">
        <v>42705</v>
      </c>
      <c r="P991">
        <v>2.59</v>
      </c>
      <c r="Q991">
        <v>3.98</v>
      </c>
      <c r="R991">
        <f t="shared" si="91"/>
        <v>1.3900000000000001</v>
      </c>
      <c r="S991">
        <v>11</v>
      </c>
      <c r="T991">
        <f t="shared" si="92"/>
        <v>43.78</v>
      </c>
      <c r="U991">
        <v>7.0000000000000007E-2</v>
      </c>
      <c r="V991">
        <f t="shared" si="93"/>
        <v>3.0646000000000004</v>
      </c>
      <c r="W991">
        <f t="shared" si="94"/>
        <v>40.715400000000002</v>
      </c>
      <c r="X991">
        <v>2.97</v>
      </c>
      <c r="Y991">
        <f t="shared" si="95"/>
        <v>43.685400000000001</v>
      </c>
    </row>
    <row r="992" spans="1:25" x14ac:dyDescent="0.25">
      <c r="A992" t="s">
        <v>2094</v>
      </c>
      <c r="B992">
        <v>42703</v>
      </c>
      <c r="C992" t="str">
        <f t="shared" si="90"/>
        <v>2016</v>
      </c>
      <c r="D992" t="s">
        <v>408</v>
      </c>
      <c r="E992" t="s">
        <v>409</v>
      </c>
      <c r="F992" t="s">
        <v>257</v>
      </c>
      <c r="G992" t="s">
        <v>258</v>
      </c>
      <c r="H992" t="s">
        <v>293</v>
      </c>
      <c r="I992" t="s">
        <v>342</v>
      </c>
      <c r="J992" t="s">
        <v>294</v>
      </c>
      <c r="K992" t="s">
        <v>1356</v>
      </c>
      <c r="L992" t="s">
        <v>245</v>
      </c>
      <c r="M992" t="s">
        <v>253</v>
      </c>
      <c r="N992" t="s">
        <v>247</v>
      </c>
      <c r="O992">
        <v>42704</v>
      </c>
      <c r="P992">
        <v>2.68</v>
      </c>
      <c r="Q992">
        <v>6.08</v>
      </c>
      <c r="R992">
        <f t="shared" si="91"/>
        <v>3.4</v>
      </c>
      <c r="S992">
        <v>49</v>
      </c>
      <c r="T992">
        <f t="shared" si="92"/>
        <v>297.92</v>
      </c>
      <c r="U992">
        <v>0.08</v>
      </c>
      <c r="V992">
        <f t="shared" si="93"/>
        <v>23.833600000000001</v>
      </c>
      <c r="W992">
        <f t="shared" si="94"/>
        <v>274.08640000000003</v>
      </c>
      <c r="X992">
        <v>1.17</v>
      </c>
      <c r="Y992">
        <f t="shared" si="95"/>
        <v>275.25640000000004</v>
      </c>
    </row>
    <row r="993" spans="1:25" x14ac:dyDescent="0.25">
      <c r="A993" t="s">
        <v>2095</v>
      </c>
      <c r="B993">
        <v>42705</v>
      </c>
      <c r="C993" t="str">
        <f t="shared" si="90"/>
        <v>2016</v>
      </c>
      <c r="D993" t="s">
        <v>516</v>
      </c>
      <c r="E993" t="s">
        <v>256</v>
      </c>
      <c r="F993" t="s">
        <v>257</v>
      </c>
      <c r="G993" t="s">
        <v>258</v>
      </c>
      <c r="H993" t="s">
        <v>274</v>
      </c>
      <c r="I993" t="s">
        <v>260</v>
      </c>
      <c r="J993" t="s">
        <v>243</v>
      </c>
      <c r="K993" t="s">
        <v>586</v>
      </c>
      <c r="L993" t="s">
        <v>268</v>
      </c>
      <c r="M993" t="s">
        <v>246</v>
      </c>
      <c r="N993" t="s">
        <v>247</v>
      </c>
      <c r="O993">
        <v>42706</v>
      </c>
      <c r="P993">
        <v>54.52</v>
      </c>
      <c r="Q993">
        <v>100.97</v>
      </c>
      <c r="R993">
        <f t="shared" si="91"/>
        <v>46.449999999999996</v>
      </c>
      <c r="S993">
        <v>42</v>
      </c>
      <c r="T993">
        <f t="shared" si="92"/>
        <v>4240.74</v>
      </c>
      <c r="U993">
        <v>0.1</v>
      </c>
      <c r="V993">
        <f t="shared" si="93"/>
        <v>424.07400000000001</v>
      </c>
      <c r="W993">
        <f t="shared" si="94"/>
        <v>3816.6659999999997</v>
      </c>
      <c r="X993">
        <v>7.18</v>
      </c>
      <c r="Y993">
        <f t="shared" si="95"/>
        <v>3823.8459999999995</v>
      </c>
    </row>
    <row r="994" spans="1:25" x14ac:dyDescent="0.25">
      <c r="A994" t="s">
        <v>2096</v>
      </c>
      <c r="B994">
        <v>42707</v>
      </c>
      <c r="C994" t="str">
        <f t="shared" si="90"/>
        <v>2016</v>
      </c>
      <c r="D994" t="s">
        <v>474</v>
      </c>
      <c r="E994" t="s">
        <v>1439</v>
      </c>
      <c r="F994" t="s">
        <v>448</v>
      </c>
      <c r="G994" t="s">
        <v>449</v>
      </c>
      <c r="H994" t="s">
        <v>293</v>
      </c>
      <c r="I994" t="s">
        <v>381</v>
      </c>
      <c r="J994" t="s">
        <v>304</v>
      </c>
      <c r="K994" t="s">
        <v>625</v>
      </c>
      <c r="L994" t="s">
        <v>245</v>
      </c>
      <c r="M994" t="s">
        <v>246</v>
      </c>
      <c r="N994" t="s">
        <v>247</v>
      </c>
      <c r="O994">
        <v>42709</v>
      </c>
      <c r="P994">
        <v>1.84</v>
      </c>
      <c r="Q994">
        <v>2.88</v>
      </c>
      <c r="R994">
        <f t="shared" si="91"/>
        <v>1.0399999999999998</v>
      </c>
      <c r="S994">
        <v>40</v>
      </c>
      <c r="T994">
        <f t="shared" si="92"/>
        <v>115.19999999999999</v>
      </c>
      <c r="U994">
        <v>0</v>
      </c>
      <c r="V994">
        <f t="shared" si="93"/>
        <v>0</v>
      </c>
      <c r="W994">
        <f t="shared" si="94"/>
        <v>115.19999999999999</v>
      </c>
      <c r="X994">
        <v>1.49</v>
      </c>
      <c r="Y994">
        <f t="shared" si="95"/>
        <v>116.68999999999998</v>
      </c>
    </row>
    <row r="995" spans="1:25" x14ac:dyDescent="0.25">
      <c r="A995" t="s">
        <v>2097</v>
      </c>
      <c r="B995">
        <v>42708</v>
      </c>
      <c r="C995" t="str">
        <f t="shared" si="90"/>
        <v>2016</v>
      </c>
      <c r="D995" t="s">
        <v>2098</v>
      </c>
      <c r="E995" t="s">
        <v>637</v>
      </c>
      <c r="F995" t="s">
        <v>239</v>
      </c>
      <c r="G995" t="s">
        <v>240</v>
      </c>
      <c r="H995" t="s">
        <v>241</v>
      </c>
      <c r="I995" t="s">
        <v>251</v>
      </c>
      <c r="J995" t="s">
        <v>243</v>
      </c>
      <c r="K995" t="s">
        <v>373</v>
      </c>
      <c r="L995" t="s">
        <v>268</v>
      </c>
      <c r="M995" t="s">
        <v>246</v>
      </c>
      <c r="N995" t="s">
        <v>247</v>
      </c>
      <c r="O995">
        <v>42709</v>
      </c>
      <c r="P995">
        <v>6.39</v>
      </c>
      <c r="Q995">
        <v>19.98</v>
      </c>
      <c r="R995">
        <f t="shared" si="91"/>
        <v>13.59</v>
      </c>
      <c r="S995">
        <v>29</v>
      </c>
      <c r="T995">
        <f t="shared" si="92"/>
        <v>579.41999999999996</v>
      </c>
      <c r="U995">
        <v>0.06</v>
      </c>
      <c r="V995">
        <f t="shared" si="93"/>
        <v>34.765199999999993</v>
      </c>
      <c r="W995">
        <f t="shared" si="94"/>
        <v>544.65480000000002</v>
      </c>
      <c r="X995">
        <v>4</v>
      </c>
      <c r="Y995">
        <f t="shared" si="95"/>
        <v>548.65480000000002</v>
      </c>
    </row>
    <row r="996" spans="1:25" x14ac:dyDescent="0.25">
      <c r="A996" t="s">
        <v>2099</v>
      </c>
      <c r="B996">
        <v>42709</v>
      </c>
      <c r="C996" t="str">
        <f t="shared" si="90"/>
        <v>2016</v>
      </c>
      <c r="D996" t="s">
        <v>1604</v>
      </c>
      <c r="E996" t="s">
        <v>332</v>
      </c>
      <c r="F996" t="s">
        <v>257</v>
      </c>
      <c r="G996" t="s">
        <v>258</v>
      </c>
      <c r="H996" t="s">
        <v>259</v>
      </c>
      <c r="I996" t="s">
        <v>333</v>
      </c>
      <c r="J996" t="s">
        <v>243</v>
      </c>
      <c r="K996" t="s">
        <v>638</v>
      </c>
      <c r="L996" t="s">
        <v>245</v>
      </c>
      <c r="M996" t="s">
        <v>323</v>
      </c>
      <c r="N996" t="s">
        <v>263</v>
      </c>
      <c r="O996">
        <v>42711</v>
      </c>
      <c r="P996">
        <v>1.46</v>
      </c>
      <c r="Q996">
        <v>3.57</v>
      </c>
      <c r="R996">
        <f t="shared" si="91"/>
        <v>2.11</v>
      </c>
      <c r="S996">
        <v>10</v>
      </c>
      <c r="T996">
        <f t="shared" si="92"/>
        <v>35.699999999999996</v>
      </c>
      <c r="U996">
        <v>0.01</v>
      </c>
      <c r="V996">
        <f t="shared" si="93"/>
        <v>0.35699999999999998</v>
      </c>
      <c r="W996">
        <f t="shared" si="94"/>
        <v>35.342999999999996</v>
      </c>
      <c r="X996">
        <v>4.17</v>
      </c>
      <c r="Y996">
        <f t="shared" si="95"/>
        <v>39.512999999999998</v>
      </c>
    </row>
    <row r="997" spans="1:25" x14ac:dyDescent="0.25">
      <c r="A997" t="s">
        <v>2100</v>
      </c>
      <c r="B997">
        <v>42710</v>
      </c>
      <c r="C997" t="str">
        <f t="shared" si="90"/>
        <v>2016</v>
      </c>
      <c r="D997" t="s">
        <v>861</v>
      </c>
      <c r="E997" t="s">
        <v>456</v>
      </c>
      <c r="F997" t="s">
        <v>257</v>
      </c>
      <c r="G997" t="s">
        <v>258</v>
      </c>
      <c r="H997" t="s">
        <v>259</v>
      </c>
      <c r="I997" t="s">
        <v>260</v>
      </c>
      <c r="J997" t="s">
        <v>279</v>
      </c>
      <c r="K997" t="s">
        <v>377</v>
      </c>
      <c r="L997" t="s">
        <v>268</v>
      </c>
      <c r="M997" t="s">
        <v>246</v>
      </c>
      <c r="N997" t="s">
        <v>247</v>
      </c>
      <c r="O997">
        <v>42712</v>
      </c>
      <c r="P997">
        <v>32.020000000000003</v>
      </c>
      <c r="Q997">
        <v>152.47999999999999</v>
      </c>
      <c r="R997">
        <f t="shared" si="91"/>
        <v>120.45999999999998</v>
      </c>
      <c r="S997">
        <v>46</v>
      </c>
      <c r="T997">
        <f t="shared" si="92"/>
        <v>7014.08</v>
      </c>
      <c r="U997">
        <v>0.01</v>
      </c>
      <c r="V997">
        <f t="shared" si="93"/>
        <v>70.140799999999999</v>
      </c>
      <c r="W997">
        <f t="shared" si="94"/>
        <v>6943.9391999999998</v>
      </c>
      <c r="X997">
        <v>4</v>
      </c>
      <c r="Y997">
        <f t="shared" si="95"/>
        <v>6947.9391999999998</v>
      </c>
    </row>
    <row r="998" spans="1:25" x14ac:dyDescent="0.25">
      <c r="A998" t="s">
        <v>2101</v>
      </c>
      <c r="B998">
        <v>42712</v>
      </c>
      <c r="C998" t="str">
        <f t="shared" si="90"/>
        <v>2016</v>
      </c>
      <c r="D998" t="s">
        <v>499</v>
      </c>
      <c r="E998" t="s">
        <v>500</v>
      </c>
      <c r="F998" t="s">
        <v>257</v>
      </c>
      <c r="G998" t="s">
        <v>258</v>
      </c>
      <c r="H998" t="s">
        <v>293</v>
      </c>
      <c r="I998" t="s">
        <v>275</v>
      </c>
      <c r="J998" t="s">
        <v>279</v>
      </c>
      <c r="K998" t="s">
        <v>329</v>
      </c>
      <c r="L998" t="s">
        <v>245</v>
      </c>
      <c r="M998" t="s">
        <v>246</v>
      </c>
      <c r="N998" t="s">
        <v>247</v>
      </c>
      <c r="O998">
        <v>42719</v>
      </c>
      <c r="P998">
        <v>4.59</v>
      </c>
      <c r="Q998">
        <v>7.28</v>
      </c>
      <c r="R998">
        <f t="shared" si="91"/>
        <v>2.6900000000000004</v>
      </c>
      <c r="S998">
        <v>18</v>
      </c>
      <c r="T998">
        <f t="shared" si="92"/>
        <v>131.04</v>
      </c>
      <c r="U998">
        <v>0.09</v>
      </c>
      <c r="V998">
        <f t="shared" si="93"/>
        <v>11.7936</v>
      </c>
      <c r="W998">
        <f t="shared" si="94"/>
        <v>119.24639999999999</v>
      </c>
      <c r="X998">
        <v>11.15</v>
      </c>
      <c r="Y998">
        <f t="shared" si="95"/>
        <v>130.3964</v>
      </c>
    </row>
    <row r="999" spans="1:25" x14ac:dyDescent="0.25">
      <c r="A999" t="s">
        <v>2102</v>
      </c>
      <c r="B999">
        <v>42712</v>
      </c>
      <c r="C999" t="str">
        <f t="shared" si="90"/>
        <v>2016</v>
      </c>
      <c r="D999" t="s">
        <v>499</v>
      </c>
      <c r="E999" t="s">
        <v>500</v>
      </c>
      <c r="F999" t="s">
        <v>257</v>
      </c>
      <c r="G999" t="s">
        <v>258</v>
      </c>
      <c r="H999" t="s">
        <v>293</v>
      </c>
      <c r="I999" t="s">
        <v>275</v>
      </c>
      <c r="J999" t="s">
        <v>279</v>
      </c>
      <c r="K999" t="s">
        <v>317</v>
      </c>
      <c r="L999" t="s">
        <v>245</v>
      </c>
      <c r="M999" t="s">
        <v>253</v>
      </c>
      <c r="N999" t="s">
        <v>247</v>
      </c>
      <c r="O999">
        <v>42716</v>
      </c>
      <c r="P999">
        <v>0.71</v>
      </c>
      <c r="Q999">
        <v>1.1399999999999999</v>
      </c>
      <c r="R999">
        <f t="shared" si="91"/>
        <v>0.42999999999999994</v>
      </c>
      <c r="S999">
        <v>28</v>
      </c>
      <c r="T999">
        <f t="shared" si="92"/>
        <v>31.919999999999998</v>
      </c>
      <c r="U999">
        <v>0.09</v>
      </c>
      <c r="V999">
        <f t="shared" si="93"/>
        <v>2.8727999999999998</v>
      </c>
      <c r="W999">
        <f t="shared" si="94"/>
        <v>29.047199999999997</v>
      </c>
      <c r="X999">
        <v>0.7</v>
      </c>
      <c r="Y999">
        <f t="shared" si="95"/>
        <v>29.747199999999996</v>
      </c>
    </row>
    <row r="1000" spans="1:25" x14ac:dyDescent="0.25">
      <c r="A1000" t="s">
        <v>2103</v>
      </c>
      <c r="B1000">
        <v>42712</v>
      </c>
      <c r="C1000" t="str">
        <f t="shared" si="90"/>
        <v>2016</v>
      </c>
      <c r="D1000" t="s">
        <v>2104</v>
      </c>
      <c r="E1000" t="s">
        <v>694</v>
      </c>
      <c r="F1000" t="s">
        <v>239</v>
      </c>
      <c r="G1000" t="s">
        <v>240</v>
      </c>
      <c r="H1000" t="s">
        <v>293</v>
      </c>
      <c r="I1000" t="s">
        <v>242</v>
      </c>
      <c r="J1000" t="s">
        <v>243</v>
      </c>
      <c r="K1000" t="s">
        <v>734</v>
      </c>
      <c r="L1000" t="s">
        <v>245</v>
      </c>
      <c r="M1000" t="s">
        <v>246</v>
      </c>
      <c r="N1000" t="s">
        <v>247</v>
      </c>
      <c r="O1000">
        <v>42714</v>
      </c>
      <c r="P1000">
        <v>14.95</v>
      </c>
      <c r="Q1000">
        <v>34.76</v>
      </c>
      <c r="R1000">
        <f t="shared" si="91"/>
        <v>19.809999999999999</v>
      </c>
      <c r="S1000">
        <v>10</v>
      </c>
      <c r="T1000">
        <f t="shared" si="92"/>
        <v>347.59999999999997</v>
      </c>
      <c r="U1000">
        <v>0.06</v>
      </c>
      <c r="V1000">
        <f t="shared" si="93"/>
        <v>20.855999999999998</v>
      </c>
      <c r="W1000">
        <f t="shared" si="94"/>
        <v>326.74399999999997</v>
      </c>
      <c r="X1000">
        <v>8.2200000000000006</v>
      </c>
      <c r="Y1000">
        <f t="shared" si="95"/>
        <v>334.964</v>
      </c>
    </row>
    <row r="1001" spans="1:25" x14ac:dyDescent="0.25">
      <c r="A1001" t="s">
        <v>2105</v>
      </c>
      <c r="B1001">
        <v>42713</v>
      </c>
      <c r="C1001" t="str">
        <f t="shared" si="90"/>
        <v>2016</v>
      </c>
      <c r="D1001" t="s">
        <v>1510</v>
      </c>
      <c r="E1001" t="s">
        <v>1239</v>
      </c>
      <c r="F1001" t="s">
        <v>257</v>
      </c>
      <c r="G1001" t="s">
        <v>258</v>
      </c>
      <c r="H1001" t="s">
        <v>259</v>
      </c>
      <c r="I1001" t="s">
        <v>309</v>
      </c>
      <c r="J1001" t="s">
        <v>243</v>
      </c>
      <c r="K1001" t="s">
        <v>280</v>
      </c>
      <c r="L1001" t="s">
        <v>245</v>
      </c>
      <c r="M1001" t="s">
        <v>253</v>
      </c>
      <c r="N1001" t="s">
        <v>247</v>
      </c>
      <c r="O1001">
        <v>42714</v>
      </c>
      <c r="P1001">
        <v>1.0900000000000001</v>
      </c>
      <c r="Q1001">
        <v>2.6</v>
      </c>
      <c r="R1001">
        <f t="shared" si="91"/>
        <v>1.51</v>
      </c>
      <c r="S1001">
        <v>8</v>
      </c>
      <c r="T1001">
        <f t="shared" si="92"/>
        <v>20.8</v>
      </c>
      <c r="U1001">
        <v>0.02</v>
      </c>
      <c r="V1001">
        <f t="shared" si="93"/>
        <v>0.41600000000000004</v>
      </c>
      <c r="W1001">
        <f t="shared" si="94"/>
        <v>20.384</v>
      </c>
      <c r="X1001">
        <v>2.4</v>
      </c>
      <c r="Y1001">
        <f t="shared" si="95"/>
        <v>22.783999999999999</v>
      </c>
    </row>
    <row r="1002" spans="1:25" x14ac:dyDescent="0.25">
      <c r="A1002" t="s">
        <v>2106</v>
      </c>
      <c r="B1002">
        <v>42714</v>
      </c>
      <c r="C1002" t="str">
        <f t="shared" si="90"/>
        <v>2016</v>
      </c>
      <c r="D1002" t="s">
        <v>1227</v>
      </c>
      <c r="E1002" t="s">
        <v>760</v>
      </c>
      <c r="F1002" t="s">
        <v>448</v>
      </c>
      <c r="G1002" t="s">
        <v>449</v>
      </c>
      <c r="H1002" t="s">
        <v>259</v>
      </c>
      <c r="I1002" t="s">
        <v>333</v>
      </c>
      <c r="J1002" t="s">
        <v>261</v>
      </c>
      <c r="K1002" t="s">
        <v>582</v>
      </c>
      <c r="L1002" t="s">
        <v>245</v>
      </c>
      <c r="M1002" t="s">
        <v>253</v>
      </c>
      <c r="N1002" t="s">
        <v>247</v>
      </c>
      <c r="O1002">
        <v>42716</v>
      </c>
      <c r="P1002">
        <v>0.24</v>
      </c>
      <c r="Q1002">
        <v>1.26</v>
      </c>
      <c r="R1002">
        <f t="shared" si="91"/>
        <v>1.02</v>
      </c>
      <c r="S1002">
        <v>37</v>
      </c>
      <c r="T1002">
        <f t="shared" si="92"/>
        <v>46.62</v>
      </c>
      <c r="U1002">
        <v>0.03</v>
      </c>
      <c r="V1002">
        <f t="shared" si="93"/>
        <v>1.3985999999999998</v>
      </c>
      <c r="W1002">
        <f t="shared" si="94"/>
        <v>45.221399999999996</v>
      </c>
      <c r="X1002">
        <v>0.7</v>
      </c>
      <c r="Y1002">
        <f t="shared" si="95"/>
        <v>45.921399999999998</v>
      </c>
    </row>
    <row r="1003" spans="1:25" x14ac:dyDescent="0.25">
      <c r="A1003" t="s">
        <v>2107</v>
      </c>
      <c r="B1003">
        <v>42714</v>
      </c>
      <c r="C1003" t="str">
        <f t="shared" si="90"/>
        <v>2016</v>
      </c>
      <c r="D1003" t="s">
        <v>923</v>
      </c>
      <c r="E1003" t="s">
        <v>356</v>
      </c>
      <c r="F1003" t="s">
        <v>239</v>
      </c>
      <c r="G1003" t="s">
        <v>240</v>
      </c>
      <c r="H1003" t="s">
        <v>274</v>
      </c>
      <c r="I1003" t="s">
        <v>251</v>
      </c>
      <c r="J1003" t="s">
        <v>279</v>
      </c>
      <c r="K1003" t="s">
        <v>252</v>
      </c>
      <c r="L1003" t="s">
        <v>245</v>
      </c>
      <c r="M1003" t="s">
        <v>253</v>
      </c>
      <c r="N1003" t="s">
        <v>247</v>
      </c>
      <c r="O1003">
        <v>42718</v>
      </c>
      <c r="P1003">
        <v>2.39</v>
      </c>
      <c r="Q1003">
        <v>4.26</v>
      </c>
      <c r="R1003">
        <f t="shared" si="91"/>
        <v>1.8699999999999997</v>
      </c>
      <c r="S1003">
        <v>44</v>
      </c>
      <c r="T1003">
        <f t="shared" si="92"/>
        <v>187.44</v>
      </c>
      <c r="U1003">
        <v>0.01</v>
      </c>
      <c r="V1003">
        <f t="shared" si="93"/>
        <v>1.8744000000000001</v>
      </c>
      <c r="W1003">
        <f t="shared" si="94"/>
        <v>185.56559999999999</v>
      </c>
      <c r="X1003">
        <v>1.2</v>
      </c>
      <c r="Y1003">
        <f t="shared" si="95"/>
        <v>186.76559999999998</v>
      </c>
    </row>
    <row r="1004" spans="1:25" x14ac:dyDescent="0.25">
      <c r="A1004" t="s">
        <v>2108</v>
      </c>
      <c r="B1004">
        <v>42714</v>
      </c>
      <c r="C1004" t="str">
        <f t="shared" si="90"/>
        <v>2016</v>
      </c>
      <c r="D1004" t="s">
        <v>846</v>
      </c>
      <c r="E1004" t="s">
        <v>396</v>
      </c>
      <c r="F1004" t="s">
        <v>257</v>
      </c>
      <c r="G1004" t="s">
        <v>258</v>
      </c>
      <c r="H1004" t="s">
        <v>241</v>
      </c>
      <c r="I1004" t="s">
        <v>372</v>
      </c>
      <c r="J1004" t="s">
        <v>294</v>
      </c>
      <c r="K1004" t="s">
        <v>353</v>
      </c>
      <c r="L1004" t="s">
        <v>245</v>
      </c>
      <c r="M1004" t="s">
        <v>323</v>
      </c>
      <c r="N1004" t="s">
        <v>247</v>
      </c>
      <c r="O1004">
        <v>42716</v>
      </c>
      <c r="P1004">
        <v>0.94</v>
      </c>
      <c r="Q1004">
        <v>2.08</v>
      </c>
      <c r="R1004">
        <f t="shared" si="91"/>
        <v>1.1400000000000001</v>
      </c>
      <c r="S1004">
        <v>36</v>
      </c>
      <c r="T1004">
        <f t="shared" si="92"/>
        <v>74.88</v>
      </c>
      <c r="U1004">
        <v>0.1</v>
      </c>
      <c r="V1004">
        <f t="shared" si="93"/>
        <v>7.4879999999999995</v>
      </c>
      <c r="W1004">
        <f t="shared" si="94"/>
        <v>67.391999999999996</v>
      </c>
      <c r="X1004">
        <v>2.56</v>
      </c>
      <c r="Y1004">
        <f t="shared" si="95"/>
        <v>69.951999999999998</v>
      </c>
    </row>
    <row r="1005" spans="1:25" x14ac:dyDescent="0.25">
      <c r="A1005" t="s">
        <v>2109</v>
      </c>
      <c r="B1005">
        <v>42714</v>
      </c>
      <c r="C1005" t="str">
        <f t="shared" si="90"/>
        <v>2016</v>
      </c>
      <c r="D1005" t="s">
        <v>431</v>
      </c>
      <c r="E1005" t="s">
        <v>432</v>
      </c>
      <c r="F1005" t="s">
        <v>257</v>
      </c>
      <c r="G1005" t="s">
        <v>258</v>
      </c>
      <c r="H1005" t="s">
        <v>259</v>
      </c>
      <c r="I1005" t="s">
        <v>333</v>
      </c>
      <c r="J1005" t="s">
        <v>279</v>
      </c>
      <c r="K1005" t="s">
        <v>338</v>
      </c>
      <c r="L1005" t="s">
        <v>245</v>
      </c>
      <c r="M1005" t="s">
        <v>253</v>
      </c>
      <c r="N1005" t="s">
        <v>247</v>
      </c>
      <c r="O1005">
        <v>42719</v>
      </c>
      <c r="P1005">
        <v>1.82</v>
      </c>
      <c r="Q1005">
        <v>2.98</v>
      </c>
      <c r="R1005">
        <f t="shared" si="91"/>
        <v>1.1599999999999999</v>
      </c>
      <c r="S1005">
        <v>45</v>
      </c>
      <c r="T1005">
        <f t="shared" si="92"/>
        <v>134.1</v>
      </c>
      <c r="U1005">
        <v>0.05</v>
      </c>
      <c r="V1005">
        <f t="shared" si="93"/>
        <v>6.7050000000000001</v>
      </c>
      <c r="W1005">
        <f t="shared" si="94"/>
        <v>127.395</v>
      </c>
      <c r="X1005">
        <v>1.58</v>
      </c>
      <c r="Y1005">
        <f t="shared" si="95"/>
        <v>128.97499999999999</v>
      </c>
    </row>
    <row r="1006" spans="1:25" x14ac:dyDescent="0.25">
      <c r="A1006" t="s">
        <v>2110</v>
      </c>
      <c r="B1006">
        <v>42714</v>
      </c>
      <c r="C1006" t="str">
        <f t="shared" si="90"/>
        <v>2016</v>
      </c>
      <c r="D1006" t="s">
        <v>1790</v>
      </c>
      <c r="E1006" t="s">
        <v>767</v>
      </c>
      <c r="F1006" t="s">
        <v>257</v>
      </c>
      <c r="G1006" t="s">
        <v>258</v>
      </c>
      <c r="H1006" t="s">
        <v>259</v>
      </c>
      <c r="I1006" t="s">
        <v>260</v>
      </c>
      <c r="J1006" t="s">
        <v>261</v>
      </c>
      <c r="K1006" t="s">
        <v>464</v>
      </c>
      <c r="L1006" t="s">
        <v>268</v>
      </c>
      <c r="M1006" t="s">
        <v>246</v>
      </c>
      <c r="N1006" t="s">
        <v>263</v>
      </c>
      <c r="O1006">
        <v>42716</v>
      </c>
      <c r="P1006">
        <v>156.5</v>
      </c>
      <c r="Q1006">
        <v>300.97000000000003</v>
      </c>
      <c r="R1006">
        <f t="shared" si="91"/>
        <v>144.47000000000003</v>
      </c>
      <c r="S1006">
        <v>8</v>
      </c>
      <c r="T1006">
        <f t="shared" si="92"/>
        <v>2407.7600000000002</v>
      </c>
      <c r="U1006">
        <v>0.05</v>
      </c>
      <c r="V1006">
        <f t="shared" si="93"/>
        <v>120.38800000000002</v>
      </c>
      <c r="W1006">
        <f t="shared" si="94"/>
        <v>2287.3720000000003</v>
      </c>
      <c r="X1006">
        <v>7.18</v>
      </c>
      <c r="Y1006">
        <f t="shared" si="95"/>
        <v>2294.5520000000001</v>
      </c>
    </row>
    <row r="1007" spans="1:25" x14ac:dyDescent="0.25">
      <c r="A1007" t="s">
        <v>2111</v>
      </c>
      <c r="B1007">
        <v>42718</v>
      </c>
      <c r="C1007" t="str">
        <f t="shared" si="90"/>
        <v>2016</v>
      </c>
      <c r="D1007" t="s">
        <v>1190</v>
      </c>
      <c r="E1007" t="s">
        <v>552</v>
      </c>
      <c r="F1007" t="s">
        <v>257</v>
      </c>
      <c r="G1007" t="s">
        <v>258</v>
      </c>
      <c r="H1007" t="s">
        <v>241</v>
      </c>
      <c r="I1007" t="s">
        <v>284</v>
      </c>
      <c r="J1007" t="s">
        <v>243</v>
      </c>
      <c r="K1007" t="s">
        <v>479</v>
      </c>
      <c r="L1007" t="s">
        <v>245</v>
      </c>
      <c r="M1007" t="s">
        <v>246</v>
      </c>
      <c r="N1007" t="s">
        <v>247</v>
      </c>
      <c r="O1007">
        <v>42719</v>
      </c>
      <c r="P1007">
        <v>8.92</v>
      </c>
      <c r="Q1007">
        <v>29.74</v>
      </c>
      <c r="R1007">
        <f t="shared" si="91"/>
        <v>20.82</v>
      </c>
      <c r="S1007">
        <v>22</v>
      </c>
      <c r="T1007">
        <f t="shared" si="92"/>
        <v>654.28</v>
      </c>
      <c r="U1007">
        <v>7.0000000000000007E-2</v>
      </c>
      <c r="V1007">
        <f t="shared" si="93"/>
        <v>45.799600000000005</v>
      </c>
      <c r="W1007">
        <f t="shared" si="94"/>
        <v>608.48039999999992</v>
      </c>
      <c r="X1007">
        <v>6.64</v>
      </c>
      <c r="Y1007">
        <f t="shared" si="95"/>
        <v>615.1203999999999</v>
      </c>
    </row>
    <row r="1008" spans="1:25" x14ac:dyDescent="0.25">
      <c r="A1008" t="s">
        <v>2112</v>
      </c>
      <c r="B1008">
        <v>42719</v>
      </c>
      <c r="C1008" t="str">
        <f t="shared" si="90"/>
        <v>2016</v>
      </c>
      <c r="D1008" t="s">
        <v>1132</v>
      </c>
      <c r="E1008" t="s">
        <v>1133</v>
      </c>
      <c r="F1008" t="s">
        <v>257</v>
      </c>
      <c r="G1008" t="s">
        <v>258</v>
      </c>
      <c r="H1008" t="s">
        <v>259</v>
      </c>
      <c r="I1008" t="s">
        <v>372</v>
      </c>
      <c r="J1008" t="s">
        <v>279</v>
      </c>
      <c r="K1008" t="s">
        <v>439</v>
      </c>
      <c r="L1008" t="s">
        <v>440</v>
      </c>
      <c r="M1008" t="s">
        <v>323</v>
      </c>
      <c r="N1008" t="s">
        <v>263</v>
      </c>
      <c r="O1008">
        <v>42728</v>
      </c>
      <c r="P1008">
        <v>5.5</v>
      </c>
      <c r="Q1008">
        <v>12.22</v>
      </c>
      <c r="R1008">
        <f t="shared" si="91"/>
        <v>6.7200000000000006</v>
      </c>
      <c r="S1008">
        <v>17</v>
      </c>
      <c r="T1008">
        <f t="shared" si="92"/>
        <v>207.74</v>
      </c>
      <c r="U1008">
        <v>0.01</v>
      </c>
      <c r="V1008">
        <f t="shared" si="93"/>
        <v>2.0773999999999999</v>
      </c>
      <c r="W1008">
        <f t="shared" si="94"/>
        <v>205.6626</v>
      </c>
      <c r="X1008">
        <v>2.85</v>
      </c>
      <c r="Y1008">
        <f t="shared" si="95"/>
        <v>208.51259999999999</v>
      </c>
    </row>
    <row r="1009" spans="1:25" x14ac:dyDescent="0.25">
      <c r="A1009" t="s">
        <v>2113</v>
      </c>
      <c r="B1009">
        <v>42721</v>
      </c>
      <c r="C1009" t="str">
        <f t="shared" si="90"/>
        <v>2016</v>
      </c>
      <c r="D1009" t="s">
        <v>2114</v>
      </c>
      <c r="E1009" t="s">
        <v>782</v>
      </c>
      <c r="F1009" t="s">
        <v>257</v>
      </c>
      <c r="G1009" t="s">
        <v>258</v>
      </c>
      <c r="H1009" t="s">
        <v>241</v>
      </c>
      <c r="I1009" t="s">
        <v>333</v>
      </c>
      <c r="J1009" t="s">
        <v>243</v>
      </c>
      <c r="K1009" t="s">
        <v>360</v>
      </c>
      <c r="L1009" t="s">
        <v>245</v>
      </c>
      <c r="M1009" t="s">
        <v>253</v>
      </c>
      <c r="N1009" t="s">
        <v>247</v>
      </c>
      <c r="O1009">
        <v>42723</v>
      </c>
      <c r="P1009">
        <v>2.52</v>
      </c>
      <c r="Q1009">
        <v>4</v>
      </c>
      <c r="R1009">
        <f t="shared" si="91"/>
        <v>1.48</v>
      </c>
      <c r="S1009">
        <v>28</v>
      </c>
      <c r="T1009">
        <f t="shared" si="92"/>
        <v>112</v>
      </c>
      <c r="U1009">
        <v>0.04</v>
      </c>
      <c r="V1009">
        <f t="shared" si="93"/>
        <v>4.4800000000000004</v>
      </c>
      <c r="W1009">
        <f t="shared" si="94"/>
        <v>107.52</v>
      </c>
      <c r="X1009">
        <v>1.3</v>
      </c>
      <c r="Y1009">
        <f t="shared" si="95"/>
        <v>108.82</v>
      </c>
    </row>
    <row r="1010" spans="1:25" x14ac:dyDescent="0.25">
      <c r="A1010" t="s">
        <v>2115</v>
      </c>
      <c r="B1010">
        <v>42722</v>
      </c>
      <c r="C1010" t="str">
        <f t="shared" si="90"/>
        <v>2016</v>
      </c>
      <c r="D1010" t="s">
        <v>1084</v>
      </c>
      <c r="E1010" t="s">
        <v>2116</v>
      </c>
      <c r="F1010" t="s">
        <v>448</v>
      </c>
      <c r="G1010" t="s">
        <v>449</v>
      </c>
      <c r="H1010" t="s">
        <v>241</v>
      </c>
      <c r="I1010" t="s">
        <v>333</v>
      </c>
      <c r="J1010" t="s">
        <v>261</v>
      </c>
      <c r="K1010" t="s">
        <v>963</v>
      </c>
      <c r="L1010" t="s">
        <v>245</v>
      </c>
      <c r="M1010" t="s">
        <v>323</v>
      </c>
      <c r="N1010" t="s">
        <v>247</v>
      </c>
      <c r="O1010">
        <v>42723</v>
      </c>
      <c r="P1010">
        <v>4.1900000000000004</v>
      </c>
      <c r="Q1010">
        <v>10.23</v>
      </c>
      <c r="R1010">
        <f t="shared" si="91"/>
        <v>6.04</v>
      </c>
      <c r="S1010">
        <v>19</v>
      </c>
      <c r="T1010">
        <f t="shared" si="92"/>
        <v>194.37</v>
      </c>
      <c r="U1010">
        <v>0.05</v>
      </c>
      <c r="V1010">
        <f t="shared" si="93"/>
        <v>9.7185000000000006</v>
      </c>
      <c r="W1010">
        <f t="shared" si="94"/>
        <v>184.6515</v>
      </c>
      <c r="X1010">
        <v>4.68</v>
      </c>
      <c r="Y1010">
        <f t="shared" si="95"/>
        <v>189.33150000000001</v>
      </c>
    </row>
    <row r="1011" spans="1:25" x14ac:dyDescent="0.25">
      <c r="A1011" t="s">
        <v>2117</v>
      </c>
      <c r="B1011">
        <v>42723</v>
      </c>
      <c r="C1011" t="str">
        <f t="shared" si="90"/>
        <v>2016</v>
      </c>
      <c r="D1011" t="s">
        <v>1635</v>
      </c>
      <c r="E1011" t="s">
        <v>1348</v>
      </c>
      <c r="F1011" t="s">
        <v>257</v>
      </c>
      <c r="G1011" t="s">
        <v>258</v>
      </c>
      <c r="H1011" t="s">
        <v>241</v>
      </c>
      <c r="I1011" t="s">
        <v>492</v>
      </c>
      <c r="J1011" t="s">
        <v>261</v>
      </c>
      <c r="K1011" t="s">
        <v>377</v>
      </c>
      <c r="L1011" t="s">
        <v>268</v>
      </c>
      <c r="M1011" t="s">
        <v>246</v>
      </c>
      <c r="N1011" t="s">
        <v>247</v>
      </c>
      <c r="O1011">
        <v>42725</v>
      </c>
      <c r="P1011">
        <v>32.020000000000003</v>
      </c>
      <c r="Q1011">
        <v>152.47999999999999</v>
      </c>
      <c r="R1011">
        <f t="shared" si="91"/>
        <v>120.45999999999998</v>
      </c>
      <c r="S1011">
        <v>12</v>
      </c>
      <c r="T1011">
        <f t="shared" si="92"/>
        <v>1829.7599999999998</v>
      </c>
      <c r="U1011">
        <v>7.0000000000000007E-2</v>
      </c>
      <c r="V1011">
        <f t="shared" si="93"/>
        <v>128.08320000000001</v>
      </c>
      <c r="W1011">
        <f t="shared" si="94"/>
        <v>1701.6767999999997</v>
      </c>
      <c r="X1011">
        <v>4</v>
      </c>
      <c r="Y1011">
        <f t="shared" si="95"/>
        <v>1705.6767999999997</v>
      </c>
    </row>
    <row r="1012" spans="1:25" x14ac:dyDescent="0.25">
      <c r="A1012" t="s">
        <v>2118</v>
      </c>
      <c r="B1012">
        <v>42725</v>
      </c>
      <c r="C1012" t="str">
        <f t="shared" si="90"/>
        <v>2016</v>
      </c>
      <c r="D1012" t="s">
        <v>2119</v>
      </c>
      <c r="E1012" t="s">
        <v>589</v>
      </c>
      <c r="F1012" t="s">
        <v>257</v>
      </c>
      <c r="G1012" t="s">
        <v>258</v>
      </c>
      <c r="H1012" t="s">
        <v>241</v>
      </c>
      <c r="I1012" t="s">
        <v>333</v>
      </c>
      <c r="J1012" t="s">
        <v>261</v>
      </c>
      <c r="K1012" t="s">
        <v>353</v>
      </c>
      <c r="L1012" t="s">
        <v>245</v>
      </c>
      <c r="M1012" t="s">
        <v>323</v>
      </c>
      <c r="N1012" t="s">
        <v>247</v>
      </c>
      <c r="O1012">
        <v>42726</v>
      </c>
      <c r="P1012">
        <v>0.94</v>
      </c>
      <c r="Q1012">
        <v>2.08</v>
      </c>
      <c r="R1012">
        <f t="shared" si="91"/>
        <v>1.1400000000000001</v>
      </c>
      <c r="S1012">
        <v>49</v>
      </c>
      <c r="T1012">
        <f t="shared" si="92"/>
        <v>101.92</v>
      </c>
      <c r="U1012">
        <v>7.0000000000000007E-2</v>
      </c>
      <c r="V1012">
        <f t="shared" si="93"/>
        <v>7.1344000000000012</v>
      </c>
      <c r="W1012">
        <f t="shared" si="94"/>
        <v>94.785600000000002</v>
      </c>
      <c r="X1012">
        <v>2.56</v>
      </c>
      <c r="Y1012">
        <f t="shared" si="95"/>
        <v>97.345600000000005</v>
      </c>
    </row>
    <row r="1013" spans="1:25" x14ac:dyDescent="0.25">
      <c r="A1013" t="s">
        <v>2120</v>
      </c>
      <c r="B1013">
        <v>42726</v>
      </c>
      <c r="C1013" t="str">
        <f t="shared" si="90"/>
        <v>2016</v>
      </c>
      <c r="D1013" t="s">
        <v>297</v>
      </c>
      <c r="E1013" t="s">
        <v>298</v>
      </c>
      <c r="F1013" t="s">
        <v>257</v>
      </c>
      <c r="G1013" t="s">
        <v>258</v>
      </c>
      <c r="H1013" t="s">
        <v>241</v>
      </c>
      <c r="I1013" t="s">
        <v>299</v>
      </c>
      <c r="J1013" t="s">
        <v>261</v>
      </c>
      <c r="K1013" t="s">
        <v>453</v>
      </c>
      <c r="L1013" t="s">
        <v>245</v>
      </c>
      <c r="M1013" t="s">
        <v>246</v>
      </c>
      <c r="N1013" t="s">
        <v>247</v>
      </c>
      <c r="O1013">
        <v>42727</v>
      </c>
      <c r="P1013">
        <v>1.18</v>
      </c>
      <c r="Q1013">
        <v>1.88</v>
      </c>
      <c r="R1013">
        <f t="shared" si="91"/>
        <v>0.7</v>
      </c>
      <c r="S1013">
        <v>19</v>
      </c>
      <c r="T1013">
        <f t="shared" si="92"/>
        <v>35.72</v>
      </c>
      <c r="U1013">
        <v>0.06</v>
      </c>
      <c r="V1013">
        <f t="shared" si="93"/>
        <v>2.1431999999999998</v>
      </c>
      <c r="W1013">
        <f t="shared" si="94"/>
        <v>33.576799999999999</v>
      </c>
      <c r="X1013">
        <v>1.49</v>
      </c>
      <c r="Y1013">
        <f t="shared" si="95"/>
        <v>35.066800000000001</v>
      </c>
    </row>
    <row r="1014" spans="1:25" x14ac:dyDescent="0.25">
      <c r="A1014" t="s">
        <v>2121</v>
      </c>
      <c r="B1014">
        <v>42728</v>
      </c>
      <c r="C1014" t="str">
        <f t="shared" si="90"/>
        <v>2016</v>
      </c>
      <c r="D1014" t="s">
        <v>2122</v>
      </c>
      <c r="E1014" t="s">
        <v>1539</v>
      </c>
      <c r="F1014" t="s">
        <v>239</v>
      </c>
      <c r="G1014" t="s">
        <v>240</v>
      </c>
      <c r="H1014" t="s">
        <v>241</v>
      </c>
      <c r="I1014" t="s">
        <v>242</v>
      </c>
      <c r="J1014" t="s">
        <v>243</v>
      </c>
      <c r="K1014" t="s">
        <v>688</v>
      </c>
      <c r="L1014" t="s">
        <v>245</v>
      </c>
      <c r="M1014" t="s">
        <v>246</v>
      </c>
      <c r="N1014" t="s">
        <v>247</v>
      </c>
      <c r="O1014">
        <v>42729</v>
      </c>
      <c r="P1014">
        <v>2.4500000000000002</v>
      </c>
      <c r="Q1014">
        <v>3.89</v>
      </c>
      <c r="R1014">
        <f t="shared" si="91"/>
        <v>1.44</v>
      </c>
      <c r="S1014">
        <v>3</v>
      </c>
      <c r="T1014">
        <f t="shared" si="92"/>
        <v>11.67</v>
      </c>
      <c r="U1014">
        <v>0</v>
      </c>
      <c r="V1014">
        <f t="shared" si="93"/>
        <v>0</v>
      </c>
      <c r="W1014">
        <f t="shared" si="94"/>
        <v>11.67</v>
      </c>
      <c r="X1014">
        <v>7.01</v>
      </c>
      <c r="Y1014">
        <f t="shared" si="95"/>
        <v>18.68</v>
      </c>
    </row>
    <row r="1015" spans="1:25" x14ac:dyDescent="0.25">
      <c r="A1015" t="s">
        <v>2123</v>
      </c>
      <c r="B1015">
        <v>42729</v>
      </c>
      <c r="C1015" t="str">
        <f t="shared" si="90"/>
        <v>2016</v>
      </c>
      <c r="D1015" t="s">
        <v>516</v>
      </c>
      <c r="E1015" t="s">
        <v>256</v>
      </c>
      <c r="F1015" t="s">
        <v>257</v>
      </c>
      <c r="G1015" t="s">
        <v>258</v>
      </c>
      <c r="H1015" t="s">
        <v>293</v>
      </c>
      <c r="I1015" t="s">
        <v>260</v>
      </c>
      <c r="J1015" t="s">
        <v>294</v>
      </c>
      <c r="K1015" t="s">
        <v>949</v>
      </c>
      <c r="L1015" t="s">
        <v>245</v>
      </c>
      <c r="M1015" t="s">
        <v>246</v>
      </c>
      <c r="N1015" t="s">
        <v>247</v>
      </c>
      <c r="O1015">
        <v>42730</v>
      </c>
      <c r="P1015">
        <v>52.07</v>
      </c>
      <c r="Q1015">
        <v>83.98</v>
      </c>
      <c r="R1015">
        <f t="shared" si="91"/>
        <v>31.910000000000004</v>
      </c>
      <c r="S1015">
        <v>38</v>
      </c>
      <c r="T1015">
        <f t="shared" si="92"/>
        <v>3191.2400000000002</v>
      </c>
      <c r="U1015">
        <v>0</v>
      </c>
      <c r="V1015">
        <f t="shared" si="93"/>
        <v>0</v>
      </c>
      <c r="W1015">
        <f t="shared" si="94"/>
        <v>3191.2400000000002</v>
      </c>
      <c r="X1015">
        <v>5.01</v>
      </c>
      <c r="Y1015">
        <f t="shared" si="95"/>
        <v>3196.2500000000005</v>
      </c>
    </row>
    <row r="1016" spans="1:25" x14ac:dyDescent="0.25">
      <c r="A1016" t="s">
        <v>2124</v>
      </c>
      <c r="B1016">
        <v>42732</v>
      </c>
      <c r="C1016" t="str">
        <f t="shared" si="90"/>
        <v>2016</v>
      </c>
      <c r="D1016" t="s">
        <v>1227</v>
      </c>
      <c r="E1016" t="s">
        <v>760</v>
      </c>
      <c r="F1016" t="s">
        <v>448</v>
      </c>
      <c r="G1016" t="s">
        <v>449</v>
      </c>
      <c r="H1016" t="s">
        <v>274</v>
      </c>
      <c r="I1016" t="s">
        <v>333</v>
      </c>
      <c r="J1016" t="s">
        <v>243</v>
      </c>
      <c r="K1016" t="s">
        <v>859</v>
      </c>
      <c r="L1016" t="s">
        <v>245</v>
      </c>
      <c r="M1016" t="s">
        <v>246</v>
      </c>
      <c r="N1016" t="s">
        <v>247</v>
      </c>
      <c r="O1016">
        <v>42734</v>
      </c>
      <c r="P1016">
        <v>3.75</v>
      </c>
      <c r="Q1016">
        <v>5.77</v>
      </c>
      <c r="R1016">
        <f t="shared" si="91"/>
        <v>2.0199999999999996</v>
      </c>
      <c r="S1016">
        <v>42</v>
      </c>
      <c r="T1016">
        <f t="shared" si="92"/>
        <v>242.33999999999997</v>
      </c>
      <c r="U1016">
        <v>0</v>
      </c>
      <c r="V1016">
        <f t="shared" si="93"/>
        <v>0</v>
      </c>
      <c r="W1016">
        <f t="shared" si="94"/>
        <v>242.33999999999997</v>
      </c>
      <c r="X1016">
        <v>4.97</v>
      </c>
      <c r="Y1016">
        <f t="shared" si="95"/>
        <v>247.30999999999997</v>
      </c>
    </row>
    <row r="1017" spans="1:25" x14ac:dyDescent="0.25">
      <c r="A1017" t="s">
        <v>2125</v>
      </c>
      <c r="B1017">
        <v>42732</v>
      </c>
      <c r="C1017" t="str">
        <f t="shared" si="90"/>
        <v>2016</v>
      </c>
      <c r="D1017" t="s">
        <v>2126</v>
      </c>
      <c r="E1017" t="s">
        <v>503</v>
      </c>
      <c r="F1017" t="s">
        <v>257</v>
      </c>
      <c r="G1017" t="s">
        <v>258</v>
      </c>
      <c r="H1017" t="s">
        <v>274</v>
      </c>
      <c r="I1017" t="s">
        <v>504</v>
      </c>
      <c r="J1017" t="s">
        <v>304</v>
      </c>
      <c r="K1017" t="s">
        <v>630</v>
      </c>
      <c r="L1017" t="s">
        <v>245</v>
      </c>
      <c r="M1017" t="s">
        <v>253</v>
      </c>
      <c r="N1017" t="s">
        <v>247</v>
      </c>
      <c r="O1017">
        <v>42733</v>
      </c>
      <c r="P1017">
        <v>1.17</v>
      </c>
      <c r="Q1017">
        <v>2.78</v>
      </c>
      <c r="R1017">
        <f t="shared" si="91"/>
        <v>1.6099999999999999</v>
      </c>
      <c r="S1017">
        <v>48</v>
      </c>
      <c r="T1017">
        <f t="shared" si="92"/>
        <v>133.44</v>
      </c>
      <c r="U1017">
        <v>0.03</v>
      </c>
      <c r="V1017">
        <f t="shared" si="93"/>
        <v>4.0031999999999996</v>
      </c>
      <c r="W1017">
        <f t="shared" si="94"/>
        <v>129.43680000000001</v>
      </c>
      <c r="X1017">
        <v>1.2</v>
      </c>
      <c r="Y1017">
        <f t="shared" si="95"/>
        <v>130.63679999999999</v>
      </c>
    </row>
    <row r="1018" spans="1:25" x14ac:dyDescent="0.25">
      <c r="A1018" t="s">
        <v>2127</v>
      </c>
      <c r="B1018">
        <v>42732</v>
      </c>
      <c r="C1018" t="str">
        <f t="shared" si="90"/>
        <v>2016</v>
      </c>
      <c r="D1018" t="s">
        <v>1510</v>
      </c>
      <c r="E1018" t="s">
        <v>1239</v>
      </c>
      <c r="F1018" t="s">
        <v>257</v>
      </c>
      <c r="G1018" t="s">
        <v>258</v>
      </c>
      <c r="H1018" t="s">
        <v>259</v>
      </c>
      <c r="I1018" t="s">
        <v>309</v>
      </c>
      <c r="J1018" t="s">
        <v>304</v>
      </c>
      <c r="K1018" t="s">
        <v>384</v>
      </c>
      <c r="L1018" t="s">
        <v>268</v>
      </c>
      <c r="M1018" t="s">
        <v>246</v>
      </c>
      <c r="N1018" t="s">
        <v>247</v>
      </c>
      <c r="O1018">
        <v>42733</v>
      </c>
      <c r="P1018">
        <v>10.07</v>
      </c>
      <c r="Q1018">
        <v>15.98</v>
      </c>
      <c r="R1018">
        <f t="shared" si="91"/>
        <v>5.91</v>
      </c>
      <c r="S1018">
        <v>14</v>
      </c>
      <c r="T1018">
        <f t="shared" si="92"/>
        <v>223.72</v>
      </c>
      <c r="U1018">
        <v>0.05</v>
      </c>
      <c r="V1018">
        <f t="shared" si="93"/>
        <v>11.186</v>
      </c>
      <c r="W1018">
        <f t="shared" si="94"/>
        <v>212.53399999999999</v>
      </c>
      <c r="X1018">
        <v>4</v>
      </c>
      <c r="Y1018">
        <f t="shared" si="95"/>
        <v>216.53399999999999</v>
      </c>
    </row>
    <row r="1019" spans="1:25" x14ac:dyDescent="0.25">
      <c r="A1019" t="s">
        <v>2128</v>
      </c>
      <c r="B1019">
        <v>42735</v>
      </c>
      <c r="C1019" t="str">
        <f t="shared" si="90"/>
        <v>2016</v>
      </c>
      <c r="D1019" t="s">
        <v>781</v>
      </c>
      <c r="E1019" t="s">
        <v>782</v>
      </c>
      <c r="F1019" t="s">
        <v>257</v>
      </c>
      <c r="G1019" t="s">
        <v>258</v>
      </c>
      <c r="H1019" t="s">
        <v>259</v>
      </c>
      <c r="I1019" t="s">
        <v>381</v>
      </c>
      <c r="J1019" t="s">
        <v>279</v>
      </c>
      <c r="K1019" t="s">
        <v>453</v>
      </c>
      <c r="L1019" t="s">
        <v>245</v>
      </c>
      <c r="M1019" t="s">
        <v>246</v>
      </c>
      <c r="N1019" t="s">
        <v>247</v>
      </c>
      <c r="O1019">
        <v>42739</v>
      </c>
      <c r="P1019">
        <v>1.18</v>
      </c>
      <c r="Q1019">
        <v>1.88</v>
      </c>
      <c r="R1019">
        <f t="shared" si="91"/>
        <v>0.7</v>
      </c>
      <c r="S1019">
        <v>22</v>
      </c>
      <c r="T1019">
        <f t="shared" si="92"/>
        <v>41.36</v>
      </c>
      <c r="U1019">
        <v>0.04</v>
      </c>
      <c r="V1019">
        <f t="shared" si="93"/>
        <v>1.6544000000000001</v>
      </c>
      <c r="W1019">
        <f t="shared" si="94"/>
        <v>39.705599999999997</v>
      </c>
      <c r="X1019">
        <v>1.49</v>
      </c>
      <c r="Y1019">
        <f t="shared" si="95"/>
        <v>41.195599999999999</v>
      </c>
    </row>
    <row r="1020" spans="1:25" x14ac:dyDescent="0.25">
      <c r="A1020" t="s">
        <v>2129</v>
      </c>
      <c r="B1020">
        <v>42738</v>
      </c>
      <c r="C1020" t="str">
        <f t="shared" si="90"/>
        <v>2017</v>
      </c>
      <c r="D1020" t="s">
        <v>1302</v>
      </c>
      <c r="E1020" t="s">
        <v>1303</v>
      </c>
      <c r="F1020" t="s">
        <v>257</v>
      </c>
      <c r="G1020" t="s">
        <v>258</v>
      </c>
      <c r="H1020" t="s">
        <v>241</v>
      </c>
      <c r="I1020" t="s">
        <v>260</v>
      </c>
      <c r="J1020" t="s">
        <v>294</v>
      </c>
      <c r="K1020" t="s">
        <v>377</v>
      </c>
      <c r="L1020" t="s">
        <v>268</v>
      </c>
      <c r="M1020" t="s">
        <v>246</v>
      </c>
      <c r="N1020" t="s">
        <v>247</v>
      </c>
      <c r="O1020">
        <v>42739</v>
      </c>
      <c r="P1020">
        <v>32.020000000000003</v>
      </c>
      <c r="Q1020">
        <v>152.47999999999999</v>
      </c>
      <c r="R1020">
        <f t="shared" si="91"/>
        <v>120.45999999999998</v>
      </c>
      <c r="S1020">
        <v>46</v>
      </c>
      <c r="T1020">
        <f t="shared" si="92"/>
        <v>7014.08</v>
      </c>
      <c r="U1020">
        <v>0.04</v>
      </c>
      <c r="V1020">
        <f t="shared" si="93"/>
        <v>280.56319999999999</v>
      </c>
      <c r="W1020">
        <f t="shared" si="94"/>
        <v>6733.5168000000003</v>
      </c>
      <c r="X1020">
        <v>4</v>
      </c>
      <c r="Y1020">
        <f t="shared" si="95"/>
        <v>6737.5168000000003</v>
      </c>
    </row>
    <row r="1021" spans="1:25" x14ac:dyDescent="0.25">
      <c r="A1021" t="s">
        <v>2130</v>
      </c>
      <c r="B1021">
        <v>42739</v>
      </c>
      <c r="C1021" t="str">
        <f t="shared" si="90"/>
        <v>2017</v>
      </c>
      <c r="D1021" t="s">
        <v>272</v>
      </c>
      <c r="E1021" t="s">
        <v>273</v>
      </c>
      <c r="F1021" t="s">
        <v>257</v>
      </c>
      <c r="G1021" t="s">
        <v>258</v>
      </c>
      <c r="H1021" t="s">
        <v>274</v>
      </c>
      <c r="I1021" t="s">
        <v>275</v>
      </c>
      <c r="K1021" t="s">
        <v>1119</v>
      </c>
      <c r="L1021" t="s">
        <v>245</v>
      </c>
      <c r="M1021" t="s">
        <v>246</v>
      </c>
      <c r="N1021" t="s">
        <v>247</v>
      </c>
      <c r="O1021">
        <v>42740</v>
      </c>
      <c r="P1021">
        <v>1.84</v>
      </c>
      <c r="Q1021">
        <v>2.88</v>
      </c>
      <c r="R1021">
        <f t="shared" si="91"/>
        <v>1.0399999999999998</v>
      </c>
      <c r="S1021">
        <v>26</v>
      </c>
      <c r="T1021">
        <f t="shared" si="92"/>
        <v>74.88</v>
      </c>
      <c r="U1021">
        <v>0.01</v>
      </c>
      <c r="V1021">
        <f t="shared" si="93"/>
        <v>0.74880000000000002</v>
      </c>
      <c r="W1021">
        <f t="shared" si="94"/>
        <v>74.131199999999993</v>
      </c>
      <c r="X1021">
        <v>0.99</v>
      </c>
      <c r="Y1021">
        <f t="shared" si="95"/>
        <v>75.121199999999988</v>
      </c>
    </row>
    <row r="1022" spans="1:25" x14ac:dyDescent="0.25">
      <c r="A1022" t="s">
        <v>2131</v>
      </c>
      <c r="B1022">
        <v>42739</v>
      </c>
      <c r="C1022" t="str">
        <f t="shared" si="90"/>
        <v>2017</v>
      </c>
      <c r="D1022" t="s">
        <v>670</v>
      </c>
      <c r="E1022" t="s">
        <v>558</v>
      </c>
      <c r="F1022" t="s">
        <v>257</v>
      </c>
      <c r="G1022" t="s">
        <v>258</v>
      </c>
      <c r="H1022" t="s">
        <v>293</v>
      </c>
      <c r="I1022" t="s">
        <v>333</v>
      </c>
      <c r="J1022" t="s">
        <v>304</v>
      </c>
      <c r="K1022" t="s">
        <v>529</v>
      </c>
      <c r="L1022" t="s">
        <v>245</v>
      </c>
      <c r="M1022" t="s">
        <v>253</v>
      </c>
      <c r="N1022" t="s">
        <v>247</v>
      </c>
      <c r="O1022">
        <v>42741</v>
      </c>
      <c r="P1022">
        <v>1.6</v>
      </c>
      <c r="Q1022">
        <v>2.62</v>
      </c>
      <c r="R1022">
        <f t="shared" si="91"/>
        <v>1.02</v>
      </c>
      <c r="S1022">
        <v>35</v>
      </c>
      <c r="T1022">
        <f t="shared" si="92"/>
        <v>91.7</v>
      </c>
      <c r="U1022">
        <v>0.04</v>
      </c>
      <c r="V1022">
        <f t="shared" si="93"/>
        <v>3.6680000000000001</v>
      </c>
      <c r="W1022">
        <f t="shared" si="94"/>
        <v>88.031999999999996</v>
      </c>
      <c r="X1022">
        <v>0.8</v>
      </c>
      <c r="Y1022">
        <f t="shared" si="95"/>
        <v>88.831999999999994</v>
      </c>
    </row>
    <row r="1023" spans="1:25" x14ac:dyDescent="0.25">
      <c r="A1023" t="s">
        <v>2132</v>
      </c>
      <c r="B1023">
        <v>42741</v>
      </c>
      <c r="C1023" t="str">
        <f t="shared" si="90"/>
        <v>2017</v>
      </c>
      <c r="D1023" t="s">
        <v>2133</v>
      </c>
      <c r="E1023" t="s">
        <v>1621</v>
      </c>
      <c r="F1023" t="s">
        <v>257</v>
      </c>
      <c r="G1023" t="s">
        <v>258</v>
      </c>
      <c r="H1023" t="s">
        <v>274</v>
      </c>
      <c r="I1023" t="s">
        <v>381</v>
      </c>
      <c r="J1023" t="s">
        <v>304</v>
      </c>
      <c r="K1023" t="s">
        <v>482</v>
      </c>
      <c r="L1023" t="s">
        <v>268</v>
      </c>
      <c r="M1023" t="s">
        <v>246</v>
      </c>
      <c r="N1023" t="s">
        <v>247</v>
      </c>
      <c r="O1023">
        <v>42742</v>
      </c>
      <c r="P1023">
        <v>60.59</v>
      </c>
      <c r="Q1023">
        <v>100.98</v>
      </c>
      <c r="R1023">
        <f t="shared" si="91"/>
        <v>40.39</v>
      </c>
      <c r="S1023">
        <v>12</v>
      </c>
      <c r="T1023">
        <f t="shared" si="92"/>
        <v>1211.76</v>
      </c>
      <c r="U1023">
        <v>0</v>
      </c>
      <c r="V1023">
        <f t="shared" si="93"/>
        <v>0</v>
      </c>
      <c r="W1023">
        <f t="shared" si="94"/>
        <v>1211.76</v>
      </c>
      <c r="X1023">
        <v>7.18</v>
      </c>
      <c r="Y1023">
        <f t="shared" si="95"/>
        <v>1218.94</v>
      </c>
    </row>
    <row r="1024" spans="1:25" x14ac:dyDescent="0.25">
      <c r="A1024" t="s">
        <v>2134</v>
      </c>
      <c r="B1024">
        <v>42745</v>
      </c>
      <c r="C1024" t="str">
        <f t="shared" si="90"/>
        <v>2017</v>
      </c>
      <c r="D1024" t="s">
        <v>1355</v>
      </c>
      <c r="E1024" t="s">
        <v>673</v>
      </c>
      <c r="F1024" t="s">
        <v>257</v>
      </c>
      <c r="G1024" t="s">
        <v>258</v>
      </c>
      <c r="H1024" t="s">
        <v>241</v>
      </c>
      <c r="I1024" t="s">
        <v>372</v>
      </c>
      <c r="J1024" t="s">
        <v>304</v>
      </c>
      <c r="K1024" t="s">
        <v>1119</v>
      </c>
      <c r="L1024" t="s">
        <v>245</v>
      </c>
      <c r="M1024" t="s">
        <v>246</v>
      </c>
      <c r="N1024" t="s">
        <v>247</v>
      </c>
      <c r="O1024">
        <v>42746</v>
      </c>
      <c r="P1024">
        <v>1.84</v>
      </c>
      <c r="Q1024">
        <v>2.88</v>
      </c>
      <c r="R1024">
        <f t="shared" si="91"/>
        <v>1.0399999999999998</v>
      </c>
      <c r="S1024">
        <v>22</v>
      </c>
      <c r="T1024">
        <f t="shared" si="92"/>
        <v>63.36</v>
      </c>
      <c r="U1024">
        <v>0.02</v>
      </c>
      <c r="V1024">
        <f t="shared" si="93"/>
        <v>1.2672000000000001</v>
      </c>
      <c r="W1024">
        <f t="shared" si="94"/>
        <v>62.092799999999997</v>
      </c>
      <c r="X1024">
        <v>0.99</v>
      </c>
      <c r="Y1024">
        <f t="shared" si="95"/>
        <v>63.082799999999999</v>
      </c>
    </row>
    <row r="1025" spans="1:25" x14ac:dyDescent="0.25">
      <c r="A1025" t="s">
        <v>2135</v>
      </c>
      <c r="B1025">
        <v>42746</v>
      </c>
      <c r="C1025" t="str">
        <f t="shared" si="90"/>
        <v>2017</v>
      </c>
      <c r="D1025" t="s">
        <v>1219</v>
      </c>
      <c r="E1025" t="s">
        <v>1220</v>
      </c>
      <c r="F1025" t="s">
        <v>257</v>
      </c>
      <c r="G1025" t="s">
        <v>258</v>
      </c>
      <c r="H1025" t="s">
        <v>259</v>
      </c>
      <c r="I1025" t="s">
        <v>275</v>
      </c>
      <c r="J1025" t="s">
        <v>261</v>
      </c>
      <c r="K1025" t="s">
        <v>676</v>
      </c>
      <c r="L1025" t="s">
        <v>245</v>
      </c>
      <c r="M1025" t="s">
        <v>323</v>
      </c>
      <c r="N1025" t="s">
        <v>247</v>
      </c>
      <c r="O1025">
        <v>42748</v>
      </c>
      <c r="P1025">
        <v>5.19</v>
      </c>
      <c r="Q1025">
        <v>12.98</v>
      </c>
      <c r="R1025">
        <f t="shared" si="91"/>
        <v>7.79</v>
      </c>
      <c r="S1025">
        <v>49</v>
      </c>
      <c r="T1025">
        <f t="shared" si="92"/>
        <v>636.02</v>
      </c>
      <c r="U1025">
        <v>0.02</v>
      </c>
      <c r="V1025">
        <f t="shared" si="93"/>
        <v>12.7204</v>
      </c>
      <c r="W1025">
        <f t="shared" si="94"/>
        <v>623.29959999999994</v>
      </c>
      <c r="X1025">
        <v>3.14</v>
      </c>
      <c r="Y1025">
        <f t="shared" si="95"/>
        <v>626.43959999999993</v>
      </c>
    </row>
    <row r="1026" spans="1:25" x14ac:dyDescent="0.25">
      <c r="A1026" t="s">
        <v>2136</v>
      </c>
      <c r="B1026">
        <v>42749</v>
      </c>
      <c r="C1026" t="str">
        <f t="shared" si="90"/>
        <v>2017</v>
      </c>
      <c r="D1026" t="s">
        <v>1782</v>
      </c>
      <c r="E1026" t="s">
        <v>643</v>
      </c>
      <c r="F1026" t="s">
        <v>257</v>
      </c>
      <c r="G1026" t="s">
        <v>258</v>
      </c>
      <c r="H1026" t="s">
        <v>241</v>
      </c>
      <c r="I1026" t="s">
        <v>342</v>
      </c>
      <c r="J1026" t="s">
        <v>304</v>
      </c>
      <c r="K1026" t="s">
        <v>634</v>
      </c>
      <c r="L1026" t="s">
        <v>245</v>
      </c>
      <c r="M1026" t="s">
        <v>246</v>
      </c>
      <c r="N1026" t="s">
        <v>247</v>
      </c>
      <c r="O1026">
        <v>42750</v>
      </c>
      <c r="P1026">
        <v>2.2599999999999998</v>
      </c>
      <c r="Q1026">
        <v>3.58</v>
      </c>
      <c r="R1026">
        <f t="shared" si="91"/>
        <v>1.3200000000000003</v>
      </c>
      <c r="S1026">
        <v>38</v>
      </c>
      <c r="T1026">
        <f t="shared" si="92"/>
        <v>136.04</v>
      </c>
      <c r="U1026">
        <v>0.03</v>
      </c>
      <c r="V1026">
        <f t="shared" si="93"/>
        <v>4.0811999999999999</v>
      </c>
      <c r="W1026">
        <f t="shared" si="94"/>
        <v>131.9588</v>
      </c>
      <c r="X1026">
        <v>5.47</v>
      </c>
      <c r="Y1026">
        <f t="shared" si="95"/>
        <v>137.4288</v>
      </c>
    </row>
    <row r="1027" spans="1:25" x14ac:dyDescent="0.25">
      <c r="A1027" t="s">
        <v>2137</v>
      </c>
      <c r="B1027">
        <v>42752</v>
      </c>
      <c r="C1027" t="str">
        <f t="shared" si="90"/>
        <v>2017</v>
      </c>
      <c r="D1027" t="s">
        <v>2138</v>
      </c>
      <c r="E1027" t="s">
        <v>507</v>
      </c>
      <c r="F1027" t="s">
        <v>257</v>
      </c>
      <c r="G1027" t="s">
        <v>258</v>
      </c>
      <c r="H1027" t="s">
        <v>259</v>
      </c>
      <c r="I1027" t="s">
        <v>275</v>
      </c>
      <c r="J1027" t="s">
        <v>261</v>
      </c>
      <c r="K1027" t="s">
        <v>329</v>
      </c>
      <c r="L1027" t="s">
        <v>245</v>
      </c>
      <c r="M1027" t="s">
        <v>246</v>
      </c>
      <c r="N1027" t="s">
        <v>247</v>
      </c>
      <c r="O1027">
        <v>42753</v>
      </c>
      <c r="P1027">
        <v>4.59</v>
      </c>
      <c r="Q1027">
        <v>7.28</v>
      </c>
      <c r="R1027">
        <f t="shared" si="91"/>
        <v>2.6900000000000004</v>
      </c>
      <c r="S1027">
        <v>39</v>
      </c>
      <c r="T1027">
        <f t="shared" si="92"/>
        <v>283.92</v>
      </c>
      <c r="U1027">
        <v>0.08</v>
      </c>
      <c r="V1027">
        <f t="shared" si="93"/>
        <v>22.713600000000003</v>
      </c>
      <c r="W1027">
        <f t="shared" si="94"/>
        <v>261.20640000000003</v>
      </c>
      <c r="X1027">
        <v>11.15</v>
      </c>
      <c r="Y1027">
        <f t="shared" si="95"/>
        <v>272.35640000000001</v>
      </c>
    </row>
    <row r="1028" spans="1:25" x14ac:dyDescent="0.25">
      <c r="A1028" t="s">
        <v>2139</v>
      </c>
      <c r="B1028">
        <v>42753</v>
      </c>
      <c r="C1028" t="str">
        <f t="shared" si="90"/>
        <v>2017</v>
      </c>
      <c r="D1028" t="s">
        <v>788</v>
      </c>
      <c r="E1028" t="s">
        <v>789</v>
      </c>
      <c r="F1028" t="s">
        <v>257</v>
      </c>
      <c r="G1028" t="s">
        <v>258</v>
      </c>
      <c r="H1028" t="s">
        <v>241</v>
      </c>
      <c r="I1028" t="s">
        <v>309</v>
      </c>
      <c r="J1028" t="s">
        <v>294</v>
      </c>
      <c r="K1028" t="s">
        <v>317</v>
      </c>
      <c r="L1028" t="s">
        <v>245</v>
      </c>
      <c r="M1028" t="s">
        <v>253</v>
      </c>
      <c r="N1028" t="s">
        <v>263</v>
      </c>
      <c r="O1028">
        <v>42755</v>
      </c>
      <c r="P1028">
        <v>0.71</v>
      </c>
      <c r="Q1028">
        <v>1.1399999999999999</v>
      </c>
      <c r="R1028">
        <f t="shared" si="91"/>
        <v>0.42999999999999994</v>
      </c>
      <c r="S1028">
        <v>14</v>
      </c>
      <c r="T1028">
        <f t="shared" si="92"/>
        <v>15.959999999999999</v>
      </c>
      <c r="U1028">
        <v>0</v>
      </c>
      <c r="V1028">
        <f t="shared" si="93"/>
        <v>0</v>
      </c>
      <c r="W1028">
        <f t="shared" si="94"/>
        <v>15.959999999999999</v>
      </c>
      <c r="X1028">
        <v>0.7</v>
      </c>
      <c r="Y1028">
        <f t="shared" si="95"/>
        <v>16.66</v>
      </c>
    </row>
    <row r="1029" spans="1:25" x14ac:dyDescent="0.25">
      <c r="A1029" t="s">
        <v>2140</v>
      </c>
      <c r="B1029">
        <v>42754</v>
      </c>
      <c r="C1029" t="str">
        <f t="shared" si="90"/>
        <v>2017</v>
      </c>
      <c r="D1029" t="s">
        <v>1112</v>
      </c>
      <c r="E1029" t="s">
        <v>1041</v>
      </c>
      <c r="F1029" t="s">
        <v>257</v>
      </c>
      <c r="G1029" t="s">
        <v>258</v>
      </c>
      <c r="H1029" t="s">
        <v>259</v>
      </c>
      <c r="I1029" t="s">
        <v>372</v>
      </c>
      <c r="J1029" t="s">
        <v>294</v>
      </c>
      <c r="K1029" t="s">
        <v>413</v>
      </c>
      <c r="L1029" t="s">
        <v>268</v>
      </c>
      <c r="M1029" t="s">
        <v>414</v>
      </c>
      <c r="N1029" t="s">
        <v>247</v>
      </c>
      <c r="O1029">
        <v>42756</v>
      </c>
      <c r="P1029">
        <v>8.82</v>
      </c>
      <c r="Q1029">
        <v>20.99</v>
      </c>
      <c r="R1029">
        <f t="shared" si="91"/>
        <v>12.169999999999998</v>
      </c>
      <c r="S1029">
        <v>29</v>
      </c>
      <c r="T1029">
        <f t="shared" si="92"/>
        <v>608.70999999999992</v>
      </c>
      <c r="U1029">
        <v>0.03</v>
      </c>
      <c r="V1029">
        <f t="shared" si="93"/>
        <v>18.261299999999999</v>
      </c>
      <c r="W1029">
        <f t="shared" si="94"/>
        <v>590.44869999999992</v>
      </c>
      <c r="X1029">
        <v>4.8099999999999996</v>
      </c>
      <c r="Y1029">
        <f t="shared" si="95"/>
        <v>595.25869999999986</v>
      </c>
    </row>
    <row r="1030" spans="1:25" x14ac:dyDescent="0.25">
      <c r="A1030" t="s">
        <v>2141</v>
      </c>
      <c r="B1030">
        <v>42754</v>
      </c>
      <c r="C1030" t="str">
        <f t="shared" ref="C1030:C1044" si="96">TEXT(B1030,"yyyy")</f>
        <v>2017</v>
      </c>
      <c r="D1030" t="s">
        <v>2142</v>
      </c>
      <c r="E1030" t="s">
        <v>681</v>
      </c>
      <c r="F1030" t="s">
        <v>257</v>
      </c>
      <c r="G1030" t="s">
        <v>258</v>
      </c>
      <c r="H1030" t="s">
        <v>241</v>
      </c>
      <c r="I1030" t="s">
        <v>299</v>
      </c>
      <c r="J1030" t="s">
        <v>304</v>
      </c>
      <c r="K1030" t="s">
        <v>676</v>
      </c>
      <c r="L1030" t="s">
        <v>245</v>
      </c>
      <c r="M1030" t="s">
        <v>323</v>
      </c>
      <c r="N1030" t="s">
        <v>263</v>
      </c>
      <c r="O1030">
        <v>42756</v>
      </c>
      <c r="P1030">
        <v>5.19</v>
      </c>
      <c r="Q1030">
        <v>12.98</v>
      </c>
      <c r="R1030">
        <f t="shared" ref="R1030:R1044" si="97">Q1030-P1030</f>
        <v>7.79</v>
      </c>
      <c r="S1030">
        <v>10</v>
      </c>
      <c r="T1030">
        <f t="shared" ref="T1030:T1044" si="98">Q1030*S1030</f>
        <v>129.80000000000001</v>
      </c>
      <c r="U1030">
        <v>0.05</v>
      </c>
      <c r="V1030">
        <f t="shared" ref="V1030:V1044" si="99">T1030*U1030</f>
        <v>6.4900000000000011</v>
      </c>
      <c r="W1030">
        <f t="shared" ref="W1030:W1044" si="100">T1030-V1030</f>
        <v>123.31000000000002</v>
      </c>
      <c r="X1030">
        <v>3.14</v>
      </c>
      <c r="Y1030">
        <f t="shared" ref="Y1030:Y1044" si="101">W1030+X1030</f>
        <v>126.45000000000002</v>
      </c>
    </row>
    <row r="1031" spans="1:25" x14ac:dyDescent="0.25">
      <c r="A1031" t="s">
        <v>2143</v>
      </c>
      <c r="B1031">
        <v>42754</v>
      </c>
      <c r="C1031" t="str">
        <f t="shared" si="96"/>
        <v>2017</v>
      </c>
      <c r="D1031" t="s">
        <v>1834</v>
      </c>
      <c r="E1031" t="s">
        <v>637</v>
      </c>
      <c r="F1031" t="s">
        <v>239</v>
      </c>
      <c r="G1031" t="s">
        <v>240</v>
      </c>
      <c r="H1031" t="s">
        <v>293</v>
      </c>
      <c r="I1031" t="s">
        <v>242</v>
      </c>
      <c r="J1031" t="s">
        <v>279</v>
      </c>
      <c r="K1031" t="s">
        <v>514</v>
      </c>
      <c r="L1031" t="s">
        <v>245</v>
      </c>
      <c r="M1031" t="s">
        <v>246</v>
      </c>
      <c r="N1031" t="s">
        <v>263</v>
      </c>
      <c r="O1031">
        <v>42761</v>
      </c>
      <c r="P1031">
        <v>19.829999999999998</v>
      </c>
      <c r="Q1031">
        <v>30.98</v>
      </c>
      <c r="R1031">
        <f t="shared" si="97"/>
        <v>11.150000000000002</v>
      </c>
      <c r="S1031">
        <v>41</v>
      </c>
      <c r="T1031">
        <f t="shared" si="98"/>
        <v>1270.18</v>
      </c>
      <c r="U1031">
        <v>0.04</v>
      </c>
      <c r="V1031">
        <f t="shared" si="99"/>
        <v>50.807200000000002</v>
      </c>
      <c r="W1031">
        <f t="shared" si="100"/>
        <v>1219.3728000000001</v>
      </c>
      <c r="X1031">
        <v>19.510000000000002</v>
      </c>
      <c r="Y1031">
        <f t="shared" si="101"/>
        <v>1238.8828000000001</v>
      </c>
    </row>
    <row r="1032" spans="1:25" x14ac:dyDescent="0.25">
      <c r="A1032" t="s">
        <v>2144</v>
      </c>
      <c r="B1032">
        <v>42755</v>
      </c>
      <c r="C1032" t="str">
        <f t="shared" si="96"/>
        <v>2017</v>
      </c>
      <c r="D1032" t="s">
        <v>1302</v>
      </c>
      <c r="E1032" t="s">
        <v>1303</v>
      </c>
      <c r="F1032" t="s">
        <v>257</v>
      </c>
      <c r="G1032" t="s">
        <v>258</v>
      </c>
      <c r="H1032" t="s">
        <v>259</v>
      </c>
      <c r="I1032" t="s">
        <v>260</v>
      </c>
      <c r="J1032" t="s">
        <v>294</v>
      </c>
      <c r="K1032" t="s">
        <v>329</v>
      </c>
      <c r="L1032" t="s">
        <v>245</v>
      </c>
      <c r="M1032" t="s">
        <v>246</v>
      </c>
      <c r="N1032" t="s">
        <v>247</v>
      </c>
      <c r="O1032">
        <v>42756</v>
      </c>
      <c r="P1032">
        <v>4.59</v>
      </c>
      <c r="Q1032">
        <v>7.28</v>
      </c>
      <c r="R1032">
        <f t="shared" si="97"/>
        <v>2.6900000000000004</v>
      </c>
      <c r="S1032">
        <v>24</v>
      </c>
      <c r="T1032">
        <f t="shared" si="98"/>
        <v>174.72</v>
      </c>
      <c r="U1032">
        <v>0.1</v>
      </c>
      <c r="V1032">
        <f t="shared" si="99"/>
        <v>17.472000000000001</v>
      </c>
      <c r="W1032">
        <f t="shared" si="100"/>
        <v>157.24799999999999</v>
      </c>
      <c r="X1032">
        <v>11.15</v>
      </c>
      <c r="Y1032">
        <f t="shared" si="101"/>
        <v>168.398</v>
      </c>
    </row>
    <row r="1033" spans="1:25" x14ac:dyDescent="0.25">
      <c r="A1033" t="s">
        <v>2145</v>
      </c>
      <c r="B1033">
        <v>42758</v>
      </c>
      <c r="C1033" t="str">
        <f t="shared" si="96"/>
        <v>2017</v>
      </c>
      <c r="D1033" t="s">
        <v>1413</v>
      </c>
      <c r="E1033" t="s">
        <v>511</v>
      </c>
      <c r="F1033" t="s">
        <v>257</v>
      </c>
      <c r="G1033" t="s">
        <v>258</v>
      </c>
      <c r="H1033" t="s">
        <v>259</v>
      </c>
      <c r="I1033" t="s">
        <v>381</v>
      </c>
      <c r="J1033" t="s">
        <v>294</v>
      </c>
      <c r="K1033" t="s">
        <v>953</v>
      </c>
      <c r="L1033" t="s">
        <v>245</v>
      </c>
      <c r="M1033" t="s">
        <v>253</v>
      </c>
      <c r="N1033" t="s">
        <v>247</v>
      </c>
      <c r="O1033">
        <v>42760</v>
      </c>
      <c r="P1033">
        <v>2.16</v>
      </c>
      <c r="Q1033">
        <v>3.85</v>
      </c>
      <c r="R1033">
        <f t="shared" si="97"/>
        <v>1.69</v>
      </c>
      <c r="S1033">
        <v>18</v>
      </c>
      <c r="T1033">
        <f t="shared" si="98"/>
        <v>69.3</v>
      </c>
      <c r="U1033">
        <v>0.04</v>
      </c>
      <c r="V1033">
        <f t="shared" si="99"/>
        <v>2.7719999999999998</v>
      </c>
      <c r="W1033">
        <f t="shared" si="100"/>
        <v>66.527999999999992</v>
      </c>
      <c r="X1033">
        <v>0.7</v>
      </c>
      <c r="Y1033">
        <f t="shared" si="101"/>
        <v>67.227999999999994</v>
      </c>
    </row>
    <row r="1034" spans="1:25" x14ac:dyDescent="0.25">
      <c r="A1034" t="s">
        <v>2146</v>
      </c>
      <c r="B1034">
        <v>42759</v>
      </c>
      <c r="C1034" t="str">
        <f t="shared" si="96"/>
        <v>2017</v>
      </c>
      <c r="D1034" t="s">
        <v>2147</v>
      </c>
      <c r="E1034" t="s">
        <v>424</v>
      </c>
      <c r="F1034" t="s">
        <v>257</v>
      </c>
      <c r="G1034" t="s">
        <v>258</v>
      </c>
      <c r="H1034" t="s">
        <v>259</v>
      </c>
      <c r="I1034" t="s">
        <v>299</v>
      </c>
      <c r="J1034" t="s">
        <v>294</v>
      </c>
      <c r="K1034" t="s">
        <v>653</v>
      </c>
      <c r="L1034" t="s">
        <v>245</v>
      </c>
      <c r="M1034" t="s">
        <v>246</v>
      </c>
      <c r="N1034" t="s">
        <v>247</v>
      </c>
      <c r="O1034">
        <v>42761</v>
      </c>
      <c r="P1034">
        <v>3.5</v>
      </c>
      <c r="Q1034">
        <v>5.74</v>
      </c>
      <c r="R1034">
        <f t="shared" si="97"/>
        <v>2.2400000000000002</v>
      </c>
      <c r="S1034">
        <v>46</v>
      </c>
      <c r="T1034">
        <f t="shared" si="98"/>
        <v>264.04000000000002</v>
      </c>
      <c r="U1034">
        <v>0.05</v>
      </c>
      <c r="V1034">
        <f t="shared" si="99"/>
        <v>13.202000000000002</v>
      </c>
      <c r="W1034">
        <f t="shared" si="100"/>
        <v>250.83800000000002</v>
      </c>
      <c r="X1034">
        <v>5.01</v>
      </c>
      <c r="Y1034">
        <f t="shared" si="101"/>
        <v>255.84800000000001</v>
      </c>
    </row>
    <row r="1035" spans="1:25" x14ac:dyDescent="0.25">
      <c r="A1035" t="s">
        <v>2148</v>
      </c>
      <c r="B1035">
        <v>42761</v>
      </c>
      <c r="C1035" t="str">
        <f t="shared" si="96"/>
        <v>2017</v>
      </c>
      <c r="D1035" t="s">
        <v>1446</v>
      </c>
      <c r="E1035" t="s">
        <v>528</v>
      </c>
      <c r="F1035" t="s">
        <v>239</v>
      </c>
      <c r="G1035" t="s">
        <v>240</v>
      </c>
      <c r="H1035" t="s">
        <v>293</v>
      </c>
      <c r="I1035" t="s">
        <v>251</v>
      </c>
      <c r="J1035" t="s">
        <v>243</v>
      </c>
      <c r="K1035" t="s">
        <v>464</v>
      </c>
      <c r="L1035" t="s">
        <v>268</v>
      </c>
      <c r="M1035" t="s">
        <v>246</v>
      </c>
      <c r="N1035" t="s">
        <v>247</v>
      </c>
      <c r="O1035">
        <v>42762</v>
      </c>
      <c r="P1035">
        <v>156.5</v>
      </c>
      <c r="Q1035">
        <v>300.97000000000003</v>
      </c>
      <c r="R1035">
        <f t="shared" si="97"/>
        <v>144.47000000000003</v>
      </c>
      <c r="S1035">
        <v>29</v>
      </c>
      <c r="T1035">
        <f t="shared" si="98"/>
        <v>8728.130000000001</v>
      </c>
      <c r="U1035">
        <v>0.03</v>
      </c>
      <c r="V1035">
        <f t="shared" si="99"/>
        <v>261.84390000000002</v>
      </c>
      <c r="W1035">
        <f t="shared" si="100"/>
        <v>8466.2861000000012</v>
      </c>
      <c r="X1035">
        <v>7.18</v>
      </c>
      <c r="Y1035">
        <f t="shared" si="101"/>
        <v>8473.4661000000015</v>
      </c>
    </row>
    <row r="1036" spans="1:25" x14ac:dyDescent="0.25">
      <c r="A1036" t="s">
        <v>2149</v>
      </c>
      <c r="B1036">
        <v>42762</v>
      </c>
      <c r="C1036" t="str">
        <f t="shared" si="96"/>
        <v>2017</v>
      </c>
      <c r="D1036" t="s">
        <v>1206</v>
      </c>
      <c r="E1036" t="s">
        <v>1207</v>
      </c>
      <c r="F1036" t="s">
        <v>448</v>
      </c>
      <c r="G1036" t="s">
        <v>449</v>
      </c>
      <c r="H1036" t="s">
        <v>259</v>
      </c>
      <c r="I1036" t="s">
        <v>299</v>
      </c>
      <c r="J1036" t="s">
        <v>261</v>
      </c>
      <c r="K1036" t="s">
        <v>1429</v>
      </c>
      <c r="L1036" t="s">
        <v>245</v>
      </c>
      <c r="M1036" t="s">
        <v>246</v>
      </c>
      <c r="N1036" t="s">
        <v>247</v>
      </c>
      <c r="O1036">
        <v>42763</v>
      </c>
      <c r="P1036">
        <v>3.99</v>
      </c>
      <c r="Q1036">
        <v>6.23</v>
      </c>
      <c r="R1036">
        <f t="shared" si="97"/>
        <v>2.2400000000000002</v>
      </c>
      <c r="S1036">
        <v>25</v>
      </c>
      <c r="T1036">
        <f t="shared" si="98"/>
        <v>155.75</v>
      </c>
      <c r="U1036">
        <v>7.0000000000000007E-2</v>
      </c>
      <c r="V1036">
        <f t="shared" si="99"/>
        <v>10.902500000000002</v>
      </c>
      <c r="W1036">
        <f t="shared" si="100"/>
        <v>144.8475</v>
      </c>
      <c r="X1036">
        <v>6.97</v>
      </c>
      <c r="Y1036">
        <f t="shared" si="101"/>
        <v>151.8175</v>
      </c>
    </row>
    <row r="1037" spans="1:25" x14ac:dyDescent="0.25">
      <c r="A1037" t="s">
        <v>2150</v>
      </c>
      <c r="B1037">
        <v>42765</v>
      </c>
      <c r="C1037" t="str">
        <f t="shared" si="96"/>
        <v>2017</v>
      </c>
      <c r="D1037" t="s">
        <v>596</v>
      </c>
      <c r="E1037" t="s">
        <v>352</v>
      </c>
      <c r="F1037" t="s">
        <v>257</v>
      </c>
      <c r="G1037" t="s">
        <v>258</v>
      </c>
      <c r="H1037" t="s">
        <v>241</v>
      </c>
      <c r="I1037" t="s">
        <v>275</v>
      </c>
      <c r="J1037" t="s">
        <v>294</v>
      </c>
      <c r="K1037" t="s">
        <v>267</v>
      </c>
      <c r="L1037" t="s">
        <v>268</v>
      </c>
      <c r="M1037" t="s">
        <v>269</v>
      </c>
      <c r="N1037" t="s">
        <v>270</v>
      </c>
      <c r="O1037">
        <v>42768</v>
      </c>
      <c r="P1037">
        <v>75</v>
      </c>
      <c r="Q1037">
        <v>120.97</v>
      </c>
      <c r="R1037">
        <f t="shared" si="97"/>
        <v>45.97</v>
      </c>
      <c r="S1037">
        <v>4</v>
      </c>
      <c r="T1037">
        <f t="shared" si="98"/>
        <v>483.88</v>
      </c>
      <c r="U1037">
        <v>7.0000000000000007E-2</v>
      </c>
      <c r="V1037">
        <f t="shared" si="99"/>
        <v>33.871600000000001</v>
      </c>
      <c r="W1037">
        <f t="shared" si="100"/>
        <v>450.00839999999999</v>
      </c>
      <c r="X1037">
        <v>26.3</v>
      </c>
      <c r="Y1037">
        <f t="shared" si="101"/>
        <v>476.30840000000001</v>
      </c>
    </row>
    <row r="1038" spans="1:25" x14ac:dyDescent="0.25">
      <c r="A1038" t="s">
        <v>2151</v>
      </c>
      <c r="B1038">
        <v>42767</v>
      </c>
      <c r="C1038" t="str">
        <f t="shared" si="96"/>
        <v>2017</v>
      </c>
      <c r="D1038" t="s">
        <v>2152</v>
      </c>
      <c r="E1038" t="s">
        <v>500</v>
      </c>
      <c r="F1038" t="s">
        <v>257</v>
      </c>
      <c r="G1038" t="s">
        <v>258</v>
      </c>
      <c r="H1038" t="s">
        <v>259</v>
      </c>
      <c r="I1038" t="s">
        <v>275</v>
      </c>
      <c r="J1038" t="s">
        <v>279</v>
      </c>
      <c r="K1038" t="s">
        <v>638</v>
      </c>
      <c r="L1038" t="s">
        <v>245</v>
      </c>
      <c r="M1038" t="s">
        <v>323</v>
      </c>
      <c r="N1038" t="s">
        <v>247</v>
      </c>
      <c r="O1038">
        <v>42771</v>
      </c>
      <c r="P1038">
        <v>1.46</v>
      </c>
      <c r="Q1038">
        <v>3.57</v>
      </c>
      <c r="R1038">
        <f t="shared" si="97"/>
        <v>2.11</v>
      </c>
      <c r="S1038">
        <v>25</v>
      </c>
      <c r="T1038">
        <f t="shared" si="98"/>
        <v>89.25</v>
      </c>
      <c r="U1038">
        <v>0.01</v>
      </c>
      <c r="V1038">
        <f t="shared" si="99"/>
        <v>0.89250000000000007</v>
      </c>
      <c r="W1038">
        <f t="shared" si="100"/>
        <v>88.357500000000002</v>
      </c>
      <c r="X1038">
        <v>4.17</v>
      </c>
      <c r="Y1038">
        <f t="shared" si="101"/>
        <v>92.527500000000003</v>
      </c>
    </row>
    <row r="1039" spans="1:25" x14ac:dyDescent="0.25">
      <c r="A1039" t="s">
        <v>2153</v>
      </c>
      <c r="B1039">
        <v>42768</v>
      </c>
      <c r="C1039" t="str">
        <f t="shared" si="96"/>
        <v>2017</v>
      </c>
      <c r="D1039" t="s">
        <v>1227</v>
      </c>
      <c r="E1039" t="s">
        <v>760</v>
      </c>
      <c r="F1039" t="s">
        <v>448</v>
      </c>
      <c r="G1039" t="s">
        <v>449</v>
      </c>
      <c r="H1039" t="s">
        <v>259</v>
      </c>
      <c r="I1039" t="s">
        <v>333</v>
      </c>
      <c r="K1039" t="s">
        <v>435</v>
      </c>
      <c r="L1039" t="s">
        <v>245</v>
      </c>
      <c r="M1039" t="s">
        <v>253</v>
      </c>
      <c r="N1039" t="s">
        <v>247</v>
      </c>
      <c r="O1039">
        <v>42770</v>
      </c>
      <c r="P1039">
        <v>3.75</v>
      </c>
      <c r="Q1039">
        <v>7.08</v>
      </c>
      <c r="R1039">
        <f t="shared" si="97"/>
        <v>3.33</v>
      </c>
      <c r="S1039">
        <v>46</v>
      </c>
      <c r="T1039">
        <f t="shared" si="98"/>
        <v>325.68</v>
      </c>
      <c r="U1039">
        <v>0.1</v>
      </c>
      <c r="V1039">
        <f t="shared" si="99"/>
        <v>32.568000000000005</v>
      </c>
      <c r="W1039">
        <f t="shared" si="100"/>
        <v>293.11200000000002</v>
      </c>
      <c r="X1039">
        <v>2.35</v>
      </c>
      <c r="Y1039">
        <f t="shared" si="101"/>
        <v>295.46200000000005</v>
      </c>
    </row>
    <row r="1040" spans="1:25" x14ac:dyDescent="0.25">
      <c r="A1040" t="s">
        <v>2154</v>
      </c>
      <c r="B1040">
        <v>42769</v>
      </c>
      <c r="C1040" t="str">
        <f t="shared" si="96"/>
        <v>2017</v>
      </c>
      <c r="D1040" t="s">
        <v>249</v>
      </c>
      <c r="E1040" t="s">
        <v>2155</v>
      </c>
      <c r="F1040" t="s">
        <v>239</v>
      </c>
      <c r="G1040" t="s">
        <v>240</v>
      </c>
      <c r="H1040" t="s">
        <v>241</v>
      </c>
      <c r="I1040" t="s">
        <v>251</v>
      </c>
      <c r="J1040" t="s">
        <v>243</v>
      </c>
      <c r="K1040" t="s">
        <v>368</v>
      </c>
      <c r="L1040" t="s">
        <v>245</v>
      </c>
      <c r="M1040" t="s">
        <v>246</v>
      </c>
      <c r="N1040" t="s">
        <v>247</v>
      </c>
      <c r="O1040">
        <v>42771</v>
      </c>
      <c r="P1040">
        <v>1.59</v>
      </c>
      <c r="Q1040">
        <v>2.61</v>
      </c>
      <c r="R1040">
        <f t="shared" si="97"/>
        <v>1.0199999999999998</v>
      </c>
      <c r="S1040">
        <v>38</v>
      </c>
      <c r="T1040">
        <f t="shared" si="98"/>
        <v>99.179999999999993</v>
      </c>
      <c r="U1040">
        <v>0.04</v>
      </c>
      <c r="V1040">
        <f t="shared" si="99"/>
        <v>3.9671999999999996</v>
      </c>
      <c r="W1040">
        <f t="shared" si="100"/>
        <v>95.212799999999987</v>
      </c>
      <c r="X1040">
        <v>0.5</v>
      </c>
      <c r="Y1040">
        <f t="shared" si="101"/>
        <v>95.712799999999987</v>
      </c>
    </row>
    <row r="1041" spans="1:25" x14ac:dyDescent="0.25">
      <c r="A1041" t="s">
        <v>2156</v>
      </c>
      <c r="B1041">
        <v>42770</v>
      </c>
      <c r="C1041" t="str">
        <f t="shared" si="96"/>
        <v>2017</v>
      </c>
      <c r="D1041" t="s">
        <v>2157</v>
      </c>
      <c r="E1041" t="s">
        <v>424</v>
      </c>
      <c r="F1041" t="s">
        <v>257</v>
      </c>
      <c r="G1041" t="s">
        <v>258</v>
      </c>
      <c r="H1041" t="s">
        <v>293</v>
      </c>
      <c r="I1041" t="s">
        <v>299</v>
      </c>
      <c r="J1041" t="s">
        <v>243</v>
      </c>
      <c r="K1041" t="s">
        <v>443</v>
      </c>
      <c r="L1041" t="s">
        <v>245</v>
      </c>
      <c r="M1041" t="s">
        <v>246</v>
      </c>
      <c r="N1041" t="s">
        <v>247</v>
      </c>
      <c r="O1041">
        <v>42771</v>
      </c>
      <c r="P1041">
        <v>13.64</v>
      </c>
      <c r="Q1041">
        <v>20.98</v>
      </c>
      <c r="R1041">
        <f t="shared" si="97"/>
        <v>7.34</v>
      </c>
      <c r="S1041">
        <v>41</v>
      </c>
      <c r="T1041">
        <f t="shared" si="98"/>
        <v>860.18000000000006</v>
      </c>
      <c r="U1041">
        <v>0.05</v>
      </c>
      <c r="V1041">
        <f t="shared" si="99"/>
        <v>43.009000000000007</v>
      </c>
      <c r="W1041">
        <f t="shared" si="100"/>
        <v>817.17100000000005</v>
      </c>
      <c r="X1041">
        <v>1.49</v>
      </c>
      <c r="Y1041">
        <f t="shared" si="101"/>
        <v>818.66100000000006</v>
      </c>
    </row>
    <row r="1042" spans="1:25" x14ac:dyDescent="0.25">
      <c r="A1042" t="s">
        <v>2158</v>
      </c>
      <c r="B1042">
        <v>42771</v>
      </c>
      <c r="C1042" t="str">
        <f t="shared" si="96"/>
        <v>2017</v>
      </c>
      <c r="D1042" t="s">
        <v>319</v>
      </c>
      <c r="E1042" t="s">
        <v>320</v>
      </c>
      <c r="F1042" t="s">
        <v>257</v>
      </c>
      <c r="G1042" t="s">
        <v>258</v>
      </c>
      <c r="H1042" t="s">
        <v>241</v>
      </c>
      <c r="I1042" t="s">
        <v>321</v>
      </c>
      <c r="J1042" t="s">
        <v>304</v>
      </c>
      <c r="K1042" t="s">
        <v>443</v>
      </c>
      <c r="L1042" t="s">
        <v>245</v>
      </c>
      <c r="M1042" t="s">
        <v>246</v>
      </c>
      <c r="N1042" t="s">
        <v>247</v>
      </c>
      <c r="O1042">
        <v>42773</v>
      </c>
      <c r="P1042">
        <v>13.64</v>
      </c>
      <c r="Q1042">
        <v>20.98</v>
      </c>
      <c r="R1042">
        <f t="shared" si="97"/>
        <v>7.34</v>
      </c>
      <c r="S1042">
        <v>2</v>
      </c>
      <c r="T1042">
        <f t="shared" si="98"/>
        <v>41.96</v>
      </c>
      <c r="U1042">
        <v>0.01</v>
      </c>
      <c r="V1042">
        <f t="shared" si="99"/>
        <v>0.41960000000000003</v>
      </c>
      <c r="W1042">
        <f t="shared" si="100"/>
        <v>41.540399999999998</v>
      </c>
      <c r="X1042">
        <v>1.49</v>
      </c>
      <c r="Y1042">
        <f t="shared" si="101"/>
        <v>43.0304</v>
      </c>
    </row>
    <row r="1043" spans="1:25" x14ac:dyDescent="0.25">
      <c r="A1043" t="s">
        <v>2159</v>
      </c>
      <c r="B1043">
        <v>42773</v>
      </c>
      <c r="C1043" t="str">
        <f t="shared" si="96"/>
        <v>2017</v>
      </c>
      <c r="D1043" t="s">
        <v>1197</v>
      </c>
      <c r="E1043" t="s">
        <v>359</v>
      </c>
      <c r="F1043" t="s">
        <v>239</v>
      </c>
      <c r="G1043" t="s">
        <v>240</v>
      </c>
      <c r="H1043" t="s">
        <v>241</v>
      </c>
      <c r="I1043" t="s">
        <v>251</v>
      </c>
      <c r="J1043" t="s">
        <v>279</v>
      </c>
      <c r="K1043" t="s">
        <v>373</v>
      </c>
      <c r="L1043" t="s">
        <v>268</v>
      </c>
      <c r="M1043" t="s">
        <v>246</v>
      </c>
      <c r="N1043" t="s">
        <v>247</v>
      </c>
      <c r="P1043">
        <v>6.39</v>
      </c>
      <c r="Q1043">
        <v>19.98</v>
      </c>
      <c r="R1043">
        <f t="shared" si="97"/>
        <v>13.59</v>
      </c>
      <c r="S1043">
        <v>31</v>
      </c>
      <c r="T1043">
        <f t="shared" si="98"/>
        <v>619.38</v>
      </c>
      <c r="U1043">
        <v>0</v>
      </c>
      <c r="V1043">
        <f t="shared" si="99"/>
        <v>0</v>
      </c>
      <c r="W1043">
        <f t="shared" si="100"/>
        <v>619.38</v>
      </c>
      <c r="X1043">
        <v>4</v>
      </c>
      <c r="Y1043">
        <f t="shared" si="101"/>
        <v>623.38</v>
      </c>
    </row>
    <row r="1044" spans="1:25" x14ac:dyDescent="0.25">
      <c r="A1044" t="s">
        <v>2160</v>
      </c>
      <c r="B1044">
        <v>42773</v>
      </c>
      <c r="C1044" t="str">
        <f t="shared" si="96"/>
        <v>2017</v>
      </c>
      <c r="D1044" t="s">
        <v>2161</v>
      </c>
      <c r="E1044" t="s">
        <v>359</v>
      </c>
      <c r="F1044" t="s">
        <v>239</v>
      </c>
      <c r="G1044" t="s">
        <v>240</v>
      </c>
      <c r="H1044" t="s">
        <v>274</v>
      </c>
      <c r="I1044" t="s">
        <v>251</v>
      </c>
      <c r="J1044" t="s">
        <v>304</v>
      </c>
      <c r="K1044" t="s">
        <v>656</v>
      </c>
      <c r="L1044" t="s">
        <v>245</v>
      </c>
      <c r="M1044" t="s">
        <v>253</v>
      </c>
      <c r="N1044" t="s">
        <v>247</v>
      </c>
      <c r="P1044">
        <v>0.93</v>
      </c>
      <c r="Q1044">
        <v>1.48</v>
      </c>
      <c r="R1044">
        <f t="shared" si="97"/>
        <v>0.54999999999999993</v>
      </c>
      <c r="S1044">
        <v>10</v>
      </c>
      <c r="T1044">
        <f t="shared" si="98"/>
        <v>14.8</v>
      </c>
      <c r="U1044">
        <v>0.1</v>
      </c>
      <c r="V1044">
        <f t="shared" si="99"/>
        <v>1.4800000000000002</v>
      </c>
      <c r="W1044">
        <f t="shared" si="100"/>
        <v>13.32</v>
      </c>
      <c r="X1044">
        <v>0.7</v>
      </c>
      <c r="Y1044">
        <f t="shared" si="101"/>
        <v>14.02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EDF2-A756-4678-8CCA-0AB00B42FAB7}">
  <dimension ref="A1:G42"/>
  <sheetViews>
    <sheetView showGridLines="0" topLeftCell="A5" workbookViewId="0">
      <selection activeCell="I30" sqref="A1:XFD1048576"/>
    </sheetView>
  </sheetViews>
  <sheetFormatPr defaultRowHeight="12" x14ac:dyDescent="0.25"/>
  <cols>
    <col min="1" max="1" width="29.42578125" customWidth="1"/>
    <col min="2" max="2" width="19.5703125" customWidth="1"/>
    <col min="3" max="7" width="19.140625" customWidth="1"/>
    <col min="8" max="8" width="18.42578125" customWidth="1"/>
  </cols>
  <sheetData>
    <row r="1" spans="1:1" ht="33.9" customHeight="1" x14ac:dyDescent="0.25">
      <c r="A1" t="s">
        <v>2162</v>
      </c>
    </row>
    <row r="4" spans="1:1" x14ac:dyDescent="0.25">
      <c r="A4" t="s">
        <v>2163</v>
      </c>
    </row>
    <row r="5" spans="1:1" x14ac:dyDescent="0.25">
      <c r="A5" t="s">
        <v>240</v>
      </c>
    </row>
    <row r="6" spans="1:1" x14ac:dyDescent="0.25">
      <c r="A6" t="s">
        <v>258</v>
      </c>
    </row>
    <row r="7" spans="1:1" x14ac:dyDescent="0.25">
      <c r="A7" t="s">
        <v>449</v>
      </c>
    </row>
    <row r="10" spans="1:1" x14ac:dyDescent="0.25">
      <c r="A10" t="s">
        <v>2164</v>
      </c>
    </row>
    <row r="11" spans="1:1" x14ac:dyDescent="0.25">
      <c r="A11" t="s">
        <v>241</v>
      </c>
    </row>
    <row r="12" spans="1:1" x14ac:dyDescent="0.25">
      <c r="A12" t="s">
        <v>274</v>
      </c>
    </row>
    <row r="13" spans="1:1" x14ac:dyDescent="0.25">
      <c r="A13" t="s">
        <v>293</v>
      </c>
    </row>
    <row r="14" spans="1:1" x14ac:dyDescent="0.25">
      <c r="A14" t="s">
        <v>259</v>
      </c>
    </row>
    <row r="17" spans="1:7" x14ac:dyDescent="0.25">
      <c r="A17" t="s">
        <v>2165</v>
      </c>
    </row>
    <row r="20" spans="1:7" x14ac:dyDescent="0.25">
      <c r="A20" t="s">
        <v>2166</v>
      </c>
      <c r="B20" t="s">
        <v>235</v>
      </c>
      <c r="C20">
        <v>2013</v>
      </c>
      <c r="D20">
        <v>2014</v>
      </c>
      <c r="E20">
        <v>2015</v>
      </c>
      <c r="F20">
        <v>2016</v>
      </c>
      <c r="G20" t="s">
        <v>2167</v>
      </c>
    </row>
    <row r="21" spans="1:7" x14ac:dyDescent="0.25">
      <c r="A21" t="s">
        <v>251</v>
      </c>
    </row>
    <row r="22" spans="1:7" x14ac:dyDescent="0.25">
      <c r="A22" t="s">
        <v>321</v>
      </c>
    </row>
    <row r="23" spans="1:7" x14ac:dyDescent="0.25">
      <c r="A23" t="s">
        <v>299</v>
      </c>
    </row>
    <row r="24" spans="1:7" x14ac:dyDescent="0.25">
      <c r="A24" t="s">
        <v>333</v>
      </c>
    </row>
    <row r="25" spans="1:7" x14ac:dyDescent="0.25">
      <c r="A25" t="s">
        <v>275</v>
      </c>
    </row>
    <row r="26" spans="1:7" x14ac:dyDescent="0.25">
      <c r="A26" t="s">
        <v>381</v>
      </c>
    </row>
    <row r="27" spans="1:7" x14ac:dyDescent="0.25">
      <c r="A27" t="s">
        <v>260</v>
      </c>
    </row>
    <row r="28" spans="1:7" x14ac:dyDescent="0.25">
      <c r="A28" t="s">
        <v>372</v>
      </c>
    </row>
    <row r="29" spans="1:7" x14ac:dyDescent="0.25">
      <c r="A29" t="s">
        <v>242</v>
      </c>
    </row>
    <row r="30" spans="1:7" x14ac:dyDescent="0.25">
      <c r="A30" t="s">
        <v>309</v>
      </c>
    </row>
    <row r="31" spans="1:7" x14ac:dyDescent="0.25">
      <c r="A31" t="s">
        <v>342</v>
      </c>
    </row>
    <row r="32" spans="1:7" x14ac:dyDescent="0.25">
      <c r="A32" t="s">
        <v>504</v>
      </c>
    </row>
    <row r="33" spans="1:5" x14ac:dyDescent="0.25">
      <c r="A33" t="s">
        <v>492</v>
      </c>
    </row>
    <row r="34" spans="1:5" x14ac:dyDescent="0.25">
      <c r="A34" t="s">
        <v>284</v>
      </c>
    </row>
    <row r="35" spans="1:5" x14ac:dyDescent="0.25">
      <c r="D35" t="s">
        <v>2168</v>
      </c>
    </row>
    <row r="37" spans="1:5" x14ac:dyDescent="0.25">
      <c r="A37" t="s">
        <v>2169</v>
      </c>
      <c r="B37" t="s">
        <v>258</v>
      </c>
      <c r="C37" t="s">
        <v>240</v>
      </c>
      <c r="D37" t="s">
        <v>449</v>
      </c>
      <c r="E37" t="s">
        <v>2170</v>
      </c>
    </row>
    <row r="38" spans="1:5" x14ac:dyDescent="0.25">
      <c r="A38">
        <v>2013</v>
      </c>
      <c r="B38">
        <f t="shared" ref="B38:D42" si="0">COUNTIFS(Order_Year,$A38,State,B$37)</f>
        <v>138</v>
      </c>
      <c r="C38">
        <f t="shared" si="0"/>
        <v>66</v>
      </c>
      <c r="D38">
        <f t="shared" si="0"/>
        <v>17</v>
      </c>
      <c r="E38">
        <f>SUMIFS(Total,Order_Year,A38)</f>
        <v>171750.79886199994</v>
      </c>
    </row>
    <row r="39" spans="1:5" x14ac:dyDescent="0.25">
      <c r="A39">
        <v>2014</v>
      </c>
      <c r="B39">
        <f t="shared" si="0"/>
        <v>147</v>
      </c>
      <c r="C39">
        <f t="shared" si="0"/>
        <v>70</v>
      </c>
      <c r="D39">
        <f t="shared" si="0"/>
        <v>25</v>
      </c>
      <c r="E39">
        <f>SUMIFS(Total,Order_Year,A39)</f>
        <v>319231.65950000001</v>
      </c>
    </row>
    <row r="40" spans="1:5" x14ac:dyDescent="0.25">
      <c r="A40">
        <v>2015</v>
      </c>
      <c r="B40">
        <f t="shared" si="0"/>
        <v>162</v>
      </c>
      <c r="C40">
        <f t="shared" si="0"/>
        <v>89</v>
      </c>
      <c r="D40">
        <f t="shared" si="0"/>
        <v>27</v>
      </c>
      <c r="E40">
        <f>SUMIFS(Total,Order_Year,A40)</f>
        <v>352762.94619999995</v>
      </c>
    </row>
    <row r="41" spans="1:5" x14ac:dyDescent="0.25">
      <c r="A41">
        <v>2016</v>
      </c>
      <c r="B41">
        <f t="shared" si="0"/>
        <v>181</v>
      </c>
      <c r="C41">
        <f t="shared" si="0"/>
        <v>59</v>
      </c>
      <c r="D41">
        <f t="shared" si="0"/>
        <v>33</v>
      </c>
      <c r="E41">
        <f>SUMIFS(Total,Order_Year,A41)</f>
        <v>272288.69620000001</v>
      </c>
    </row>
    <row r="42" spans="1:5" x14ac:dyDescent="0.25">
      <c r="A42">
        <v>2017</v>
      </c>
      <c r="B42">
        <f t="shared" si="0"/>
        <v>18</v>
      </c>
      <c r="C42">
        <f t="shared" si="0"/>
        <v>5</v>
      </c>
      <c r="D42">
        <f t="shared" si="0"/>
        <v>2</v>
      </c>
      <c r="E42">
        <f>SUMIFS(Total,Order_Year,A42)</f>
        <v>22772.828800000007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9535-C5EF-44F5-A69B-415ACB1EBA21}">
  <dimension ref="A1:P38"/>
  <sheetViews>
    <sheetView zoomScale="80" zoomScaleNormal="80" workbookViewId="0">
      <selection activeCell="F53" activeCellId="1" sqref="P12 F53"/>
    </sheetView>
  </sheetViews>
  <sheetFormatPr defaultRowHeight="12" x14ac:dyDescent="0.25"/>
  <cols>
    <col min="1" max="1" width="11.42578125" customWidth="1"/>
    <col min="2" max="2" width="16.7109375" customWidth="1"/>
    <col min="3" max="3" width="15.140625" customWidth="1"/>
    <col min="4" max="4" width="11.5703125" customWidth="1"/>
    <col min="5" max="5" width="37.42578125" bestFit="1" customWidth="1"/>
    <col min="6" max="6" width="18" customWidth="1"/>
    <col min="7" max="7" width="11.85546875" customWidth="1"/>
    <col min="8" max="8" width="22.7109375" customWidth="1"/>
    <col min="9" max="9" width="20.7109375" customWidth="1"/>
    <col min="10" max="10" width="13.42578125" customWidth="1"/>
    <col min="11" max="11" width="16.42578125" customWidth="1"/>
    <col min="12" max="13" width="18.140625" customWidth="1"/>
    <col min="14" max="14" width="15.5703125" bestFit="1" customWidth="1"/>
    <col min="15" max="15" width="14.5703125" bestFit="1" customWidth="1"/>
  </cols>
  <sheetData>
    <row r="1" spans="1:16" x14ac:dyDescent="0.25">
      <c r="A1" t="s">
        <v>34</v>
      </c>
      <c r="O1" t="s">
        <v>194</v>
      </c>
      <c r="P1">
        <v>0.09</v>
      </c>
    </row>
    <row r="3" spans="1:16" x14ac:dyDescent="0.25">
      <c r="A3" t="s">
        <v>36</v>
      </c>
      <c r="B3" t="s">
        <v>37</v>
      </c>
      <c r="C3" t="s">
        <v>38</v>
      </c>
      <c r="D3" t="s">
        <v>195</v>
      </c>
      <c r="E3" t="s">
        <v>40</v>
      </c>
      <c r="F3" t="s">
        <v>41</v>
      </c>
      <c r="G3" t="s">
        <v>42</v>
      </c>
      <c r="H3" t="s">
        <v>45</v>
      </c>
      <c r="I3" t="s">
        <v>46</v>
      </c>
      <c r="J3" t="s">
        <v>47</v>
      </c>
      <c r="K3" t="s">
        <v>48</v>
      </c>
      <c r="L3" t="s">
        <v>43</v>
      </c>
      <c r="M3" t="s">
        <v>44</v>
      </c>
      <c r="N3" t="s">
        <v>196</v>
      </c>
      <c r="O3" t="s">
        <v>2171</v>
      </c>
    </row>
    <row r="4" spans="1:16" x14ac:dyDescent="0.25">
      <c r="A4" t="s">
        <v>86</v>
      </c>
      <c r="B4" t="s">
        <v>2172</v>
      </c>
      <c r="C4" t="s">
        <v>88</v>
      </c>
      <c r="D4" t="s">
        <v>198</v>
      </c>
      <c r="E4" t="str">
        <f t="shared" ref="E4:E38" si="0">LOWER(C4&amp;"."&amp;B4&amp;"@pushpin.com")</f>
        <v>joe.carol@pushpin.com</v>
      </c>
      <c r="F4">
        <v>36923</v>
      </c>
      <c r="G4">
        <f t="shared" ref="G4:G38" ca="1" si="1">YEARFRAC(F4,TODAY())</f>
        <v>24.941666666666666</v>
      </c>
      <c r="H4" t="s">
        <v>89</v>
      </c>
      <c r="I4" t="s">
        <v>90</v>
      </c>
      <c r="J4" t="str">
        <f t="shared" ref="J4:J38" si="2">LEFT(I4,2)</f>
        <v>01</v>
      </c>
      <c r="K4" t="str">
        <f t="shared" ref="K4:K38" si="3">RIGHT(I4,4)</f>
        <v>2321</v>
      </c>
      <c r="L4">
        <v>42817</v>
      </c>
      <c r="M4">
        <f t="shared" ref="M4:M38" si="4">L4+365</f>
        <v>43182</v>
      </c>
      <c r="N4">
        <v>101400</v>
      </c>
      <c r="O4">
        <f t="shared" ref="O4:O38" si="5">N4*Pension_Rate</f>
        <v>9126</v>
      </c>
    </row>
    <row r="5" spans="1:16" x14ac:dyDescent="0.25">
      <c r="A5" t="s">
        <v>108</v>
      </c>
      <c r="B5" t="s">
        <v>2173</v>
      </c>
      <c r="C5" t="s">
        <v>110</v>
      </c>
      <c r="D5" t="s">
        <v>198</v>
      </c>
      <c r="E5" t="str">
        <f t="shared" si="0"/>
        <v>eric.chung@pushpin.com</v>
      </c>
      <c r="F5">
        <v>36949</v>
      </c>
      <c r="G5">
        <f t="shared" ca="1" si="1"/>
        <v>24.869444444444444</v>
      </c>
      <c r="H5" t="s">
        <v>106</v>
      </c>
      <c r="I5" t="s">
        <v>111</v>
      </c>
      <c r="J5" t="str">
        <f t="shared" si="2"/>
        <v>03</v>
      </c>
      <c r="K5" t="str">
        <f t="shared" si="3"/>
        <v>2796</v>
      </c>
      <c r="L5">
        <v>42731</v>
      </c>
      <c r="M5">
        <f t="shared" si="4"/>
        <v>43096</v>
      </c>
      <c r="N5">
        <v>70300</v>
      </c>
      <c r="O5">
        <f t="shared" si="5"/>
        <v>6327</v>
      </c>
    </row>
    <row r="6" spans="1:16" x14ac:dyDescent="0.25">
      <c r="A6" t="s">
        <v>154</v>
      </c>
      <c r="B6" t="s">
        <v>2174</v>
      </c>
      <c r="C6" t="s">
        <v>156</v>
      </c>
      <c r="D6" t="s">
        <v>198</v>
      </c>
      <c r="E6" t="str">
        <f t="shared" si="0"/>
        <v>daniel.flanders@pushpin.com</v>
      </c>
      <c r="F6">
        <v>37510</v>
      </c>
      <c r="G6">
        <f t="shared" ca="1" si="1"/>
        <v>23.330555555555556</v>
      </c>
      <c r="H6" t="s">
        <v>53</v>
      </c>
      <c r="I6" t="s">
        <v>157</v>
      </c>
      <c r="J6" t="str">
        <f t="shared" si="2"/>
        <v>02</v>
      </c>
      <c r="K6" t="str">
        <f t="shared" si="3"/>
        <v>2639</v>
      </c>
      <c r="L6">
        <v>42590</v>
      </c>
      <c r="M6">
        <f t="shared" si="4"/>
        <v>42955</v>
      </c>
      <c r="N6">
        <v>68800</v>
      </c>
      <c r="O6">
        <f t="shared" si="5"/>
        <v>6192</v>
      </c>
    </row>
    <row r="7" spans="1:16" x14ac:dyDescent="0.25">
      <c r="A7" t="s">
        <v>55</v>
      </c>
      <c r="B7" t="s">
        <v>2175</v>
      </c>
      <c r="C7" t="s">
        <v>57</v>
      </c>
      <c r="D7" t="s">
        <v>198</v>
      </c>
      <c r="E7" t="str">
        <f t="shared" si="0"/>
        <v>adam.barry@pushpin.com</v>
      </c>
      <c r="F7">
        <v>38099</v>
      </c>
      <c r="G7">
        <f t="shared" ca="1" si="1"/>
        <v>21.716666666666665</v>
      </c>
      <c r="H7" t="s">
        <v>58</v>
      </c>
      <c r="I7" t="s">
        <v>59</v>
      </c>
      <c r="J7" t="str">
        <f t="shared" si="2"/>
        <v>02</v>
      </c>
      <c r="K7" t="str">
        <f t="shared" si="3"/>
        <v>2018</v>
      </c>
      <c r="L7">
        <v>42860</v>
      </c>
      <c r="M7">
        <f t="shared" si="4"/>
        <v>43225</v>
      </c>
      <c r="N7">
        <v>59200</v>
      </c>
      <c r="O7">
        <f t="shared" si="5"/>
        <v>5328</v>
      </c>
    </row>
    <row r="8" spans="1:16" x14ac:dyDescent="0.25">
      <c r="A8" t="s">
        <v>146</v>
      </c>
      <c r="B8" t="s">
        <v>2176</v>
      </c>
      <c r="C8" t="s">
        <v>148</v>
      </c>
      <c r="D8" t="s">
        <v>199</v>
      </c>
      <c r="E8" t="str">
        <f t="shared" si="0"/>
        <v>mary.ferris@pushpin.com</v>
      </c>
      <c r="F8">
        <v>38548</v>
      </c>
      <c r="G8">
        <f t="shared" ca="1" si="1"/>
        <v>20.486111111111111</v>
      </c>
      <c r="H8" t="s">
        <v>53</v>
      </c>
      <c r="I8" t="s">
        <v>149</v>
      </c>
      <c r="J8" t="str">
        <f t="shared" si="2"/>
        <v>03</v>
      </c>
      <c r="K8" t="str">
        <f t="shared" si="3"/>
        <v>2392</v>
      </c>
      <c r="L8">
        <v>42598</v>
      </c>
      <c r="M8">
        <f t="shared" si="4"/>
        <v>42963</v>
      </c>
      <c r="N8">
        <v>62900</v>
      </c>
      <c r="O8">
        <f t="shared" si="5"/>
        <v>5661</v>
      </c>
    </row>
    <row r="9" spans="1:16" x14ac:dyDescent="0.25">
      <c r="A9" t="s">
        <v>150</v>
      </c>
      <c r="B9" t="s">
        <v>2177</v>
      </c>
      <c r="C9" t="s">
        <v>152</v>
      </c>
      <c r="D9" t="s">
        <v>199</v>
      </c>
      <c r="E9" t="str">
        <f t="shared" si="0"/>
        <v>susan.filosa@pushpin.com</v>
      </c>
      <c r="F9">
        <v>38744</v>
      </c>
      <c r="G9">
        <f t="shared" ca="1" si="1"/>
        <v>19.952777777777779</v>
      </c>
      <c r="H9" t="s">
        <v>58</v>
      </c>
      <c r="I9" t="s">
        <v>153</v>
      </c>
      <c r="J9" t="str">
        <f t="shared" si="2"/>
        <v>02</v>
      </c>
      <c r="K9" t="str">
        <f t="shared" si="3"/>
        <v>2279</v>
      </c>
      <c r="L9">
        <v>42596</v>
      </c>
      <c r="M9">
        <f t="shared" si="4"/>
        <v>42961</v>
      </c>
      <c r="N9">
        <v>58400</v>
      </c>
      <c r="O9">
        <f t="shared" si="5"/>
        <v>5256</v>
      </c>
    </row>
    <row r="10" spans="1:16" x14ac:dyDescent="0.25">
      <c r="A10" t="s">
        <v>82</v>
      </c>
      <c r="B10" t="s">
        <v>83</v>
      </c>
      <c r="C10" t="s">
        <v>84</v>
      </c>
      <c r="D10" t="s">
        <v>199</v>
      </c>
      <c r="E10" t="str">
        <f t="shared" si="0"/>
        <v>tina.carlton@pushpin.com</v>
      </c>
      <c r="F10">
        <v>38798</v>
      </c>
      <c r="G10">
        <f t="shared" ca="1" si="1"/>
        <v>19.8</v>
      </c>
      <c r="H10" t="s">
        <v>53</v>
      </c>
      <c r="I10" t="s">
        <v>85</v>
      </c>
      <c r="J10" t="str">
        <f t="shared" si="2"/>
        <v>02</v>
      </c>
      <c r="K10" t="str">
        <f t="shared" si="3"/>
        <v>2699</v>
      </c>
      <c r="L10">
        <v>42825</v>
      </c>
      <c r="M10">
        <f t="shared" si="4"/>
        <v>43190</v>
      </c>
      <c r="N10">
        <v>59200</v>
      </c>
      <c r="O10">
        <f t="shared" si="5"/>
        <v>5328</v>
      </c>
    </row>
    <row r="11" spans="1:16" x14ac:dyDescent="0.25">
      <c r="A11" t="s">
        <v>142</v>
      </c>
      <c r="B11" t="s">
        <v>143</v>
      </c>
      <c r="C11" t="s">
        <v>144</v>
      </c>
      <c r="D11" t="s">
        <v>198</v>
      </c>
      <c r="E11" t="str">
        <f t="shared" si="0"/>
        <v>nicholas.fernandes@pushpin.com</v>
      </c>
      <c r="F11">
        <v>39023</v>
      </c>
      <c r="G11">
        <f t="shared" ca="1" si="1"/>
        <v>19.18888888888889</v>
      </c>
      <c r="H11" t="s">
        <v>76</v>
      </c>
      <c r="I11" t="s">
        <v>145</v>
      </c>
      <c r="J11" t="str">
        <f t="shared" si="2"/>
        <v>02</v>
      </c>
      <c r="K11" t="str">
        <f t="shared" si="3"/>
        <v>2372</v>
      </c>
      <c r="L11">
        <v>42614</v>
      </c>
      <c r="M11">
        <f t="shared" si="4"/>
        <v>42979</v>
      </c>
      <c r="N11">
        <v>51600</v>
      </c>
      <c r="O11">
        <f t="shared" si="5"/>
        <v>4644</v>
      </c>
    </row>
    <row r="12" spans="1:16" x14ac:dyDescent="0.25">
      <c r="A12" t="s">
        <v>50</v>
      </c>
      <c r="B12" t="s">
        <v>51</v>
      </c>
      <c r="C12" t="s">
        <v>52</v>
      </c>
      <c r="D12" t="s">
        <v>198</v>
      </c>
      <c r="E12" t="str">
        <f t="shared" si="0"/>
        <v>stevie.bacata@pushpin.com</v>
      </c>
      <c r="F12">
        <v>39551</v>
      </c>
      <c r="G12">
        <f t="shared" ca="1" si="1"/>
        <v>17.741666666666667</v>
      </c>
      <c r="H12" t="s">
        <v>53</v>
      </c>
      <c r="I12" t="s">
        <v>54</v>
      </c>
      <c r="J12" t="str">
        <f t="shared" si="2"/>
        <v>02</v>
      </c>
      <c r="K12" t="str">
        <f t="shared" si="3"/>
        <v>2635</v>
      </c>
      <c r="L12">
        <v>42507</v>
      </c>
      <c r="M12">
        <f t="shared" si="4"/>
        <v>42872</v>
      </c>
      <c r="N12">
        <v>58200</v>
      </c>
      <c r="O12">
        <f t="shared" si="5"/>
        <v>5238</v>
      </c>
    </row>
    <row r="13" spans="1:16" x14ac:dyDescent="0.25">
      <c r="A13" t="s">
        <v>123</v>
      </c>
      <c r="B13" t="s">
        <v>2178</v>
      </c>
      <c r="C13" t="s">
        <v>125</v>
      </c>
      <c r="D13" t="s">
        <v>199</v>
      </c>
      <c r="E13" t="str">
        <f t="shared" si="0"/>
        <v>janet.comuntzis@pushpin.com</v>
      </c>
      <c r="F13">
        <v>39686</v>
      </c>
      <c r="G13">
        <f t="shared" ca="1" si="1"/>
        <v>17.372222222222224</v>
      </c>
      <c r="H13" t="s">
        <v>58</v>
      </c>
      <c r="I13" t="s">
        <v>126</v>
      </c>
      <c r="J13" t="str">
        <f t="shared" si="2"/>
        <v>02</v>
      </c>
      <c r="K13" t="str">
        <f t="shared" si="3"/>
        <v>2286</v>
      </c>
      <c r="L13">
        <v>42658</v>
      </c>
      <c r="M13">
        <f t="shared" si="4"/>
        <v>43023</v>
      </c>
      <c r="N13">
        <v>55800</v>
      </c>
      <c r="O13">
        <f t="shared" si="5"/>
        <v>5022</v>
      </c>
    </row>
    <row r="14" spans="1:16" x14ac:dyDescent="0.25">
      <c r="A14" t="s">
        <v>166</v>
      </c>
      <c r="B14" t="s">
        <v>167</v>
      </c>
      <c r="C14" t="s">
        <v>168</v>
      </c>
      <c r="D14" t="s">
        <v>198</v>
      </c>
      <c r="E14" t="str">
        <f t="shared" si="0"/>
        <v>mihael.khan@pushpin.com</v>
      </c>
      <c r="F14">
        <v>40160</v>
      </c>
      <c r="G14">
        <f t="shared" ca="1" si="1"/>
        <v>16.074999999999999</v>
      </c>
      <c r="H14" t="s">
        <v>53</v>
      </c>
      <c r="I14" t="s">
        <v>169</v>
      </c>
      <c r="J14" t="str">
        <f t="shared" si="2"/>
        <v>02</v>
      </c>
      <c r="K14" t="str">
        <f t="shared" si="3"/>
        <v>2294</v>
      </c>
      <c r="L14">
        <v>42566</v>
      </c>
      <c r="M14">
        <f t="shared" si="4"/>
        <v>42931</v>
      </c>
      <c r="N14">
        <v>55500</v>
      </c>
      <c r="O14">
        <f t="shared" si="5"/>
        <v>4995</v>
      </c>
    </row>
    <row r="15" spans="1:16" x14ac:dyDescent="0.25">
      <c r="A15" t="s">
        <v>103</v>
      </c>
      <c r="B15" t="s">
        <v>2179</v>
      </c>
      <c r="C15" t="s">
        <v>105</v>
      </c>
      <c r="D15" t="s">
        <v>199</v>
      </c>
      <c r="E15" t="str">
        <f t="shared" si="0"/>
        <v>elizabeth.chu@pushpin.com</v>
      </c>
      <c r="F15">
        <v>40220</v>
      </c>
      <c r="G15">
        <f t="shared" ca="1" si="1"/>
        <v>15.91388888888889</v>
      </c>
      <c r="H15" t="s">
        <v>106</v>
      </c>
      <c r="I15" t="s">
        <v>107</v>
      </c>
      <c r="J15" t="str">
        <f t="shared" si="2"/>
        <v>01</v>
      </c>
      <c r="K15" t="str">
        <f t="shared" si="3"/>
        <v>2425</v>
      </c>
      <c r="L15">
        <v>42761</v>
      </c>
      <c r="M15">
        <f t="shared" si="4"/>
        <v>43126</v>
      </c>
      <c r="N15">
        <v>48400</v>
      </c>
      <c r="O15">
        <f t="shared" si="5"/>
        <v>4356</v>
      </c>
    </row>
    <row r="16" spans="1:16" x14ac:dyDescent="0.25">
      <c r="A16" t="s">
        <v>95</v>
      </c>
      <c r="B16" t="s">
        <v>96</v>
      </c>
      <c r="C16" t="s">
        <v>97</v>
      </c>
      <c r="D16" t="s">
        <v>199</v>
      </c>
      <c r="E16" t="str">
        <f t="shared" si="0"/>
        <v>samantha.chairs@pushpin.com</v>
      </c>
      <c r="F16">
        <v>40595</v>
      </c>
      <c r="G16">
        <f t="shared" ca="1" si="1"/>
        <v>14.886111111111111</v>
      </c>
      <c r="H16" t="s">
        <v>53</v>
      </c>
      <c r="I16" t="s">
        <v>98</v>
      </c>
      <c r="J16" t="str">
        <f t="shared" si="2"/>
        <v>02</v>
      </c>
      <c r="K16" t="str">
        <f t="shared" si="3"/>
        <v>2962</v>
      </c>
      <c r="L16">
        <v>42801</v>
      </c>
      <c r="M16">
        <f t="shared" si="4"/>
        <v>43166</v>
      </c>
      <c r="N16">
        <v>59300</v>
      </c>
      <c r="O16">
        <f t="shared" si="5"/>
        <v>5337</v>
      </c>
    </row>
    <row r="17" spans="1:15" x14ac:dyDescent="0.25">
      <c r="A17" t="s">
        <v>178</v>
      </c>
      <c r="B17" t="s">
        <v>179</v>
      </c>
      <c r="C17" t="s">
        <v>180</v>
      </c>
      <c r="D17" t="s">
        <v>199</v>
      </c>
      <c r="E17" t="str">
        <f t="shared" si="0"/>
        <v>natasha.song@pushpin.com</v>
      </c>
      <c r="F17">
        <v>40713</v>
      </c>
      <c r="G17">
        <f t="shared" ca="1" si="1"/>
        <v>14.558333333333334</v>
      </c>
      <c r="H17" t="s">
        <v>53</v>
      </c>
      <c r="I17" t="s">
        <v>201</v>
      </c>
      <c r="J17" t="str">
        <f t="shared" si="2"/>
        <v>02</v>
      </c>
      <c r="K17" t="str">
        <f t="shared" si="3"/>
        <v>2578</v>
      </c>
      <c r="L17">
        <v>42552</v>
      </c>
      <c r="M17">
        <f t="shared" si="4"/>
        <v>42917</v>
      </c>
      <c r="N17">
        <v>56000</v>
      </c>
      <c r="O17">
        <f t="shared" si="5"/>
        <v>5040</v>
      </c>
    </row>
    <row r="18" spans="1:15" x14ac:dyDescent="0.25">
      <c r="A18" t="s">
        <v>99</v>
      </c>
      <c r="B18" t="s">
        <v>2180</v>
      </c>
      <c r="C18" t="s">
        <v>101</v>
      </c>
      <c r="D18" t="s">
        <v>199</v>
      </c>
      <c r="E18" t="str">
        <f t="shared" si="0"/>
        <v>uma.chaudri@pushpin.com</v>
      </c>
      <c r="F18">
        <v>40994</v>
      </c>
      <c r="G18">
        <f t="shared" ca="1" si="1"/>
        <v>13.78888888888889</v>
      </c>
      <c r="H18" t="s">
        <v>67</v>
      </c>
      <c r="I18" t="s">
        <v>102</v>
      </c>
      <c r="J18" t="str">
        <f t="shared" si="2"/>
        <v>03</v>
      </c>
      <c r="K18" t="str">
        <f t="shared" si="3"/>
        <v>2134</v>
      </c>
      <c r="L18">
        <v>42776</v>
      </c>
      <c r="M18">
        <f t="shared" si="4"/>
        <v>43141</v>
      </c>
      <c r="N18">
        <v>63200</v>
      </c>
      <c r="O18">
        <f t="shared" si="5"/>
        <v>5688</v>
      </c>
    </row>
    <row r="19" spans="1:15" x14ac:dyDescent="0.25">
      <c r="A19" t="s">
        <v>131</v>
      </c>
      <c r="B19" t="s">
        <v>2181</v>
      </c>
      <c r="C19" t="s">
        <v>84</v>
      </c>
      <c r="D19" t="s">
        <v>199</v>
      </c>
      <c r="E19" t="str">
        <f t="shared" si="0"/>
        <v>tina.desiato@pushpin.com</v>
      </c>
      <c r="F19">
        <v>41175</v>
      </c>
      <c r="G19">
        <f t="shared" ca="1" si="1"/>
        <v>13.297222222222222</v>
      </c>
      <c r="H19" t="s">
        <v>106</v>
      </c>
      <c r="I19" t="s">
        <v>133</v>
      </c>
      <c r="J19" t="str">
        <f t="shared" si="2"/>
        <v>01</v>
      </c>
      <c r="K19" t="str">
        <f t="shared" si="3"/>
        <v>2358</v>
      </c>
      <c r="L19">
        <v>42652</v>
      </c>
      <c r="M19">
        <f t="shared" si="4"/>
        <v>43017</v>
      </c>
      <c r="N19">
        <v>51700</v>
      </c>
      <c r="O19">
        <f t="shared" si="5"/>
        <v>4653</v>
      </c>
    </row>
    <row r="20" spans="1:15" x14ac:dyDescent="0.25">
      <c r="A20" t="s">
        <v>127</v>
      </c>
      <c r="B20" t="s">
        <v>2182</v>
      </c>
      <c r="C20" t="s">
        <v>129</v>
      </c>
      <c r="D20" t="s">
        <v>198</v>
      </c>
      <c r="E20" t="str">
        <f t="shared" si="0"/>
        <v>bob.decker@pushpin.com</v>
      </c>
      <c r="F20">
        <v>41210</v>
      </c>
      <c r="G20">
        <f t="shared" ca="1" si="1"/>
        <v>13.2</v>
      </c>
      <c r="H20" t="s">
        <v>106</v>
      </c>
      <c r="I20" t="s">
        <v>130</v>
      </c>
      <c r="J20" t="str">
        <f t="shared" si="2"/>
        <v>01</v>
      </c>
      <c r="K20" t="str">
        <f t="shared" si="3"/>
        <v>2086</v>
      </c>
      <c r="L20">
        <v>42656</v>
      </c>
      <c r="M20">
        <f t="shared" si="4"/>
        <v>43021</v>
      </c>
      <c r="N20">
        <v>49600</v>
      </c>
      <c r="O20">
        <f t="shared" si="5"/>
        <v>4464</v>
      </c>
    </row>
    <row r="21" spans="1:15" x14ac:dyDescent="0.25">
      <c r="A21" t="s">
        <v>119</v>
      </c>
      <c r="B21" t="s">
        <v>2183</v>
      </c>
      <c r="C21" t="s">
        <v>121</v>
      </c>
      <c r="D21" t="s">
        <v>199</v>
      </c>
      <c r="E21" t="str">
        <f t="shared" si="0"/>
        <v>sabrina.cole@pushpin.com</v>
      </c>
      <c r="F21">
        <v>41401</v>
      </c>
      <c r="G21">
        <f t="shared" ca="1" si="1"/>
        <v>12.675000000000001</v>
      </c>
      <c r="H21" t="s">
        <v>58</v>
      </c>
      <c r="I21" t="s">
        <v>122</v>
      </c>
      <c r="J21" t="str">
        <f t="shared" si="2"/>
        <v>02</v>
      </c>
      <c r="K21" t="str">
        <f t="shared" si="3"/>
        <v>2537</v>
      </c>
      <c r="L21">
        <v>42710</v>
      </c>
      <c r="M21">
        <f t="shared" si="4"/>
        <v>43075</v>
      </c>
      <c r="N21">
        <v>45100</v>
      </c>
      <c r="O21">
        <f t="shared" si="5"/>
        <v>4059</v>
      </c>
    </row>
    <row r="22" spans="1:15" x14ac:dyDescent="0.25">
      <c r="A22" t="s">
        <v>91</v>
      </c>
      <c r="B22" t="s">
        <v>2184</v>
      </c>
      <c r="C22" t="s">
        <v>75</v>
      </c>
      <c r="D22" t="s">
        <v>198</v>
      </c>
      <c r="E22" t="str">
        <f t="shared" si="0"/>
        <v>jim.chaffee@pushpin.com</v>
      </c>
      <c r="F22">
        <v>41787</v>
      </c>
      <c r="G22">
        <f t="shared" ca="1" si="1"/>
        <v>11.616666666666667</v>
      </c>
      <c r="H22" t="s">
        <v>93</v>
      </c>
      <c r="I22" t="s">
        <v>94</v>
      </c>
      <c r="J22" t="str">
        <f t="shared" si="2"/>
        <v>03</v>
      </c>
      <c r="K22" t="str">
        <f t="shared" si="3"/>
        <v>2432</v>
      </c>
      <c r="L22">
        <v>42804</v>
      </c>
      <c r="M22">
        <f t="shared" si="4"/>
        <v>43169</v>
      </c>
      <c r="N22">
        <v>42100</v>
      </c>
      <c r="O22">
        <f t="shared" si="5"/>
        <v>3789</v>
      </c>
    </row>
    <row r="23" spans="1:15" x14ac:dyDescent="0.25">
      <c r="A23" t="s">
        <v>73</v>
      </c>
      <c r="B23" t="s">
        <v>2185</v>
      </c>
      <c r="C23" t="s">
        <v>75</v>
      </c>
      <c r="D23" t="s">
        <v>198</v>
      </c>
      <c r="E23" t="str">
        <f t="shared" si="0"/>
        <v>jim.boller@pushpin.com</v>
      </c>
      <c r="F23">
        <v>41893</v>
      </c>
      <c r="G23">
        <f t="shared" ca="1" si="1"/>
        <v>11.330555555555556</v>
      </c>
      <c r="H23" t="s">
        <v>76</v>
      </c>
      <c r="I23" t="s">
        <v>77</v>
      </c>
      <c r="J23" t="str">
        <f t="shared" si="2"/>
        <v>03</v>
      </c>
      <c r="K23" t="str">
        <f t="shared" si="3"/>
        <v>2318</v>
      </c>
      <c r="L23">
        <v>42835</v>
      </c>
      <c r="M23">
        <f t="shared" si="4"/>
        <v>43200</v>
      </c>
      <c r="N23">
        <v>62800</v>
      </c>
      <c r="O23">
        <f t="shared" si="5"/>
        <v>5652</v>
      </c>
    </row>
    <row r="24" spans="1:15" x14ac:dyDescent="0.25">
      <c r="A24" t="s">
        <v>78</v>
      </c>
      <c r="B24" t="s">
        <v>79</v>
      </c>
      <c r="C24" t="s">
        <v>80</v>
      </c>
      <c r="D24" t="s">
        <v>198</v>
      </c>
      <c r="E24" t="str">
        <f t="shared" si="0"/>
        <v>charlie.bui@pushpin.com</v>
      </c>
      <c r="F24">
        <v>41903</v>
      </c>
      <c r="G24">
        <f t="shared" ca="1" si="1"/>
        <v>11.302777777777777</v>
      </c>
      <c r="H24" t="s">
        <v>53</v>
      </c>
      <c r="I24" t="s">
        <v>81</v>
      </c>
      <c r="J24" t="str">
        <f t="shared" si="2"/>
        <v>02</v>
      </c>
      <c r="K24" t="str">
        <f t="shared" si="3"/>
        <v>2694</v>
      </c>
      <c r="L24">
        <v>42828</v>
      </c>
      <c r="M24">
        <f t="shared" si="4"/>
        <v>43193</v>
      </c>
      <c r="N24">
        <v>54700</v>
      </c>
      <c r="O24">
        <f t="shared" si="5"/>
        <v>4923</v>
      </c>
    </row>
    <row r="25" spans="1:15" x14ac:dyDescent="0.25">
      <c r="A25" t="s">
        <v>60</v>
      </c>
      <c r="B25" t="s">
        <v>61</v>
      </c>
      <c r="C25" t="s">
        <v>62</v>
      </c>
      <c r="D25" t="s">
        <v>198</v>
      </c>
      <c r="E25" t="str">
        <f t="shared" si="0"/>
        <v>connor.betts@pushpin.com</v>
      </c>
      <c r="F25">
        <v>41956</v>
      </c>
      <c r="G25">
        <f t="shared" ca="1" si="1"/>
        <v>11.158333333333333</v>
      </c>
      <c r="H25" t="s">
        <v>53</v>
      </c>
      <c r="I25" t="s">
        <v>63</v>
      </c>
      <c r="J25" t="str">
        <f t="shared" si="2"/>
        <v>02</v>
      </c>
      <c r="K25" t="str">
        <f t="shared" si="3"/>
        <v>2347</v>
      </c>
      <c r="L25">
        <v>42848</v>
      </c>
      <c r="M25">
        <f t="shared" si="4"/>
        <v>43213</v>
      </c>
      <c r="N25">
        <v>52600</v>
      </c>
      <c r="O25">
        <f t="shared" si="5"/>
        <v>4734</v>
      </c>
    </row>
    <row r="26" spans="1:15" x14ac:dyDescent="0.25">
      <c r="A26" t="s">
        <v>116</v>
      </c>
      <c r="B26" t="s">
        <v>2186</v>
      </c>
      <c r="C26" t="s">
        <v>2187</v>
      </c>
      <c r="D26" t="s">
        <v>199</v>
      </c>
      <c r="E26" t="str">
        <f t="shared" si="0"/>
        <v>anna.clark@pushpin.com</v>
      </c>
      <c r="F26">
        <v>41989</v>
      </c>
      <c r="G26">
        <f t="shared" ca="1" si="1"/>
        <v>11.066666666666666</v>
      </c>
      <c r="H26" t="s">
        <v>76</v>
      </c>
      <c r="I26" t="s">
        <v>118</v>
      </c>
      <c r="J26" t="str">
        <f t="shared" si="2"/>
        <v>03</v>
      </c>
      <c r="K26" t="str">
        <f t="shared" si="3"/>
        <v>2601</v>
      </c>
      <c r="L26">
        <v>42731</v>
      </c>
      <c r="M26">
        <f t="shared" si="4"/>
        <v>43096</v>
      </c>
      <c r="N26">
        <v>58500</v>
      </c>
      <c r="O26">
        <f t="shared" si="5"/>
        <v>5265</v>
      </c>
    </row>
    <row r="27" spans="1:15" x14ac:dyDescent="0.25">
      <c r="A27" t="s">
        <v>190</v>
      </c>
      <c r="B27" t="s">
        <v>191</v>
      </c>
      <c r="C27" t="s">
        <v>192</v>
      </c>
      <c r="D27" t="s">
        <v>199</v>
      </c>
      <c r="E27" t="str">
        <f t="shared" si="0"/>
        <v>aanya.zhang@pushpin.com</v>
      </c>
      <c r="F27">
        <v>42002</v>
      </c>
      <c r="G27">
        <f t="shared" ca="1" si="1"/>
        <v>11.030555555555555</v>
      </c>
      <c r="H27" t="s">
        <v>53</v>
      </c>
      <c r="I27" t="s">
        <v>193</v>
      </c>
      <c r="J27" t="str">
        <f t="shared" si="2"/>
        <v>02</v>
      </c>
      <c r="K27" t="str">
        <f t="shared" si="3"/>
        <v>2793</v>
      </c>
      <c r="L27">
        <v>42540</v>
      </c>
      <c r="M27">
        <f t="shared" si="4"/>
        <v>42905</v>
      </c>
      <c r="N27">
        <v>46500</v>
      </c>
      <c r="O27">
        <f t="shared" si="5"/>
        <v>4185</v>
      </c>
    </row>
    <row r="28" spans="1:15" x14ac:dyDescent="0.25">
      <c r="A28" t="s">
        <v>158</v>
      </c>
      <c r="B28" t="s">
        <v>159</v>
      </c>
      <c r="C28" t="s">
        <v>160</v>
      </c>
      <c r="D28" t="s">
        <v>198</v>
      </c>
      <c r="E28" t="str">
        <f t="shared" si="0"/>
        <v>leighton.forrest@pushpin.com</v>
      </c>
      <c r="F28">
        <v>42120</v>
      </c>
      <c r="G28">
        <f t="shared" ca="1" si="1"/>
        <v>10.705555555555556</v>
      </c>
      <c r="H28" t="s">
        <v>53</v>
      </c>
      <c r="I28" t="s">
        <v>161</v>
      </c>
      <c r="J28" t="str">
        <f t="shared" si="2"/>
        <v>02</v>
      </c>
      <c r="K28" t="str">
        <f t="shared" si="3"/>
        <v>2284</v>
      </c>
      <c r="L28">
        <v>42586</v>
      </c>
      <c r="M28">
        <f t="shared" si="4"/>
        <v>42951</v>
      </c>
      <c r="N28">
        <v>56200</v>
      </c>
      <c r="O28">
        <f t="shared" si="5"/>
        <v>5058</v>
      </c>
    </row>
    <row r="29" spans="1:15" x14ac:dyDescent="0.25">
      <c r="A29" t="s">
        <v>134</v>
      </c>
      <c r="B29" t="s">
        <v>2188</v>
      </c>
      <c r="C29" t="s">
        <v>136</v>
      </c>
      <c r="D29" t="s">
        <v>199</v>
      </c>
      <c r="E29" t="str">
        <f t="shared" si="0"/>
        <v>alexandra.donnell@pushpin.com</v>
      </c>
      <c r="F29">
        <v>42228</v>
      </c>
      <c r="G29">
        <f t="shared" ca="1" si="1"/>
        <v>10.411111111111111</v>
      </c>
      <c r="H29" t="s">
        <v>76</v>
      </c>
      <c r="I29" t="s">
        <v>137</v>
      </c>
      <c r="J29" t="str">
        <f t="shared" si="2"/>
        <v>03</v>
      </c>
      <c r="K29" t="str">
        <f t="shared" si="3"/>
        <v>2082</v>
      </c>
      <c r="L29">
        <v>42629</v>
      </c>
      <c r="M29">
        <f t="shared" si="4"/>
        <v>42994</v>
      </c>
      <c r="N29">
        <v>54900</v>
      </c>
      <c r="O29">
        <f t="shared" si="5"/>
        <v>4941</v>
      </c>
    </row>
    <row r="30" spans="1:15" x14ac:dyDescent="0.25">
      <c r="A30" t="s">
        <v>64</v>
      </c>
      <c r="B30" t="s">
        <v>2189</v>
      </c>
      <c r="C30" t="s">
        <v>2190</v>
      </c>
      <c r="D30" t="s">
        <v>198</v>
      </c>
      <c r="E30" t="str">
        <f t="shared" si="0"/>
        <v>carlos.martinez@pushpin.com</v>
      </c>
      <c r="F30">
        <v>42229</v>
      </c>
      <c r="G30">
        <f t="shared" ca="1" si="1"/>
        <v>10.408333333333333</v>
      </c>
      <c r="H30" t="s">
        <v>67</v>
      </c>
      <c r="I30" t="s">
        <v>68</v>
      </c>
      <c r="J30" t="str">
        <f t="shared" si="2"/>
        <v>03</v>
      </c>
      <c r="K30" t="str">
        <f t="shared" si="3"/>
        <v>2764</v>
      </c>
      <c r="L30">
        <v>42845</v>
      </c>
      <c r="M30">
        <f t="shared" si="4"/>
        <v>43210</v>
      </c>
      <c r="N30">
        <v>47900</v>
      </c>
      <c r="O30">
        <f t="shared" si="5"/>
        <v>4311</v>
      </c>
    </row>
    <row r="31" spans="1:15" x14ac:dyDescent="0.25">
      <c r="A31" t="s">
        <v>182</v>
      </c>
      <c r="B31" t="s">
        <v>175</v>
      </c>
      <c r="C31" t="s">
        <v>202</v>
      </c>
      <c r="D31" t="s">
        <v>198</v>
      </c>
      <c r="E31" t="str">
        <f t="shared" si="0"/>
        <v>peter.staples@pushpin.com</v>
      </c>
      <c r="F31">
        <v>42321</v>
      </c>
      <c r="G31">
        <f t="shared" ca="1" si="1"/>
        <v>10.158333333333333</v>
      </c>
      <c r="H31" t="s">
        <v>53</v>
      </c>
      <c r="I31" t="s">
        <v>185</v>
      </c>
      <c r="J31" t="str">
        <f t="shared" si="2"/>
        <v>02</v>
      </c>
      <c r="K31" t="str">
        <f t="shared" si="3"/>
        <v>2654</v>
      </c>
      <c r="L31">
        <v>42551</v>
      </c>
      <c r="M31">
        <f t="shared" si="4"/>
        <v>42916</v>
      </c>
      <c r="N31">
        <v>49600</v>
      </c>
      <c r="O31">
        <f t="shared" si="5"/>
        <v>4464</v>
      </c>
    </row>
    <row r="32" spans="1:15" x14ac:dyDescent="0.25">
      <c r="A32" t="s">
        <v>174</v>
      </c>
      <c r="B32" t="s">
        <v>183</v>
      </c>
      <c r="C32" t="s">
        <v>176</v>
      </c>
      <c r="D32" t="s">
        <v>199</v>
      </c>
      <c r="E32" t="str">
        <f t="shared" si="0"/>
        <v>radhya.senome@pushpin.com</v>
      </c>
      <c r="F32">
        <v>42324</v>
      </c>
      <c r="G32">
        <f t="shared" ca="1" si="1"/>
        <v>10.15</v>
      </c>
      <c r="H32" t="s">
        <v>53</v>
      </c>
      <c r="I32" t="s">
        <v>177</v>
      </c>
      <c r="J32" t="str">
        <f t="shared" si="2"/>
        <v>02</v>
      </c>
      <c r="K32" t="str">
        <f t="shared" si="3"/>
        <v>2260</v>
      </c>
      <c r="L32">
        <v>42563</v>
      </c>
      <c r="M32">
        <f t="shared" si="4"/>
        <v>42928</v>
      </c>
      <c r="N32">
        <v>35600</v>
      </c>
      <c r="O32">
        <f t="shared" si="5"/>
        <v>3204</v>
      </c>
    </row>
    <row r="33" spans="1:15" x14ac:dyDescent="0.25">
      <c r="A33" t="s">
        <v>138</v>
      </c>
      <c r="B33" t="s">
        <v>2191</v>
      </c>
      <c r="C33" t="s">
        <v>140</v>
      </c>
      <c r="D33" t="s">
        <v>198</v>
      </c>
      <c r="E33" t="str">
        <f t="shared" si="0"/>
        <v>mark.ellis@pushpin.com</v>
      </c>
      <c r="F33">
        <v>42371</v>
      </c>
      <c r="G33">
        <f t="shared" ca="1" si="1"/>
        <v>10.022222222222222</v>
      </c>
      <c r="H33" t="s">
        <v>106</v>
      </c>
      <c r="I33" t="s">
        <v>141</v>
      </c>
      <c r="J33" t="str">
        <f t="shared" si="2"/>
        <v>03</v>
      </c>
      <c r="K33" t="str">
        <f t="shared" si="3"/>
        <v>2482</v>
      </c>
      <c r="L33">
        <v>42619</v>
      </c>
      <c r="M33">
        <f t="shared" si="4"/>
        <v>42984</v>
      </c>
      <c r="N33">
        <v>58500</v>
      </c>
      <c r="O33">
        <f t="shared" si="5"/>
        <v>5265</v>
      </c>
    </row>
    <row r="34" spans="1:15" x14ac:dyDescent="0.25">
      <c r="A34" t="s">
        <v>69</v>
      </c>
      <c r="B34" t="s">
        <v>70</v>
      </c>
      <c r="C34" t="s">
        <v>71</v>
      </c>
      <c r="D34" t="s">
        <v>199</v>
      </c>
      <c r="E34" t="str">
        <f t="shared" si="0"/>
        <v>yvette.biti@pushpin.com</v>
      </c>
      <c r="F34">
        <v>42384</v>
      </c>
      <c r="G34">
        <f t="shared" ca="1" si="1"/>
        <v>9.9861111111111107</v>
      </c>
      <c r="H34" t="s">
        <v>53</v>
      </c>
      <c r="I34" t="s">
        <v>72</v>
      </c>
      <c r="J34" t="str">
        <f t="shared" si="2"/>
        <v>02</v>
      </c>
      <c r="K34" t="str">
        <f t="shared" si="3"/>
        <v>2589</v>
      </c>
      <c r="L34">
        <v>42839</v>
      </c>
      <c r="M34">
        <f t="shared" si="4"/>
        <v>43204</v>
      </c>
      <c r="N34">
        <v>51400</v>
      </c>
      <c r="O34">
        <f t="shared" si="5"/>
        <v>4626</v>
      </c>
    </row>
    <row r="35" spans="1:15" x14ac:dyDescent="0.25">
      <c r="A35" t="s">
        <v>170</v>
      </c>
      <c r="B35" t="s">
        <v>2192</v>
      </c>
      <c r="C35" t="s">
        <v>172</v>
      </c>
      <c r="D35" t="s">
        <v>198</v>
      </c>
      <c r="E35" t="str">
        <f t="shared" si="0"/>
        <v>sean.sanders@pushpin.com</v>
      </c>
      <c r="F35">
        <v>42691</v>
      </c>
      <c r="G35">
        <f t="shared" ca="1" si="1"/>
        <v>9.1472222222222221</v>
      </c>
      <c r="H35" t="s">
        <v>67</v>
      </c>
      <c r="I35" t="s">
        <v>173</v>
      </c>
      <c r="J35" t="str">
        <f t="shared" si="2"/>
        <v>03</v>
      </c>
      <c r="K35" t="str">
        <f t="shared" si="3"/>
        <v>2765</v>
      </c>
      <c r="L35">
        <v>42566</v>
      </c>
      <c r="M35">
        <f t="shared" si="4"/>
        <v>42931</v>
      </c>
      <c r="N35">
        <v>38600</v>
      </c>
      <c r="O35">
        <f t="shared" si="5"/>
        <v>3474</v>
      </c>
    </row>
    <row r="36" spans="1:15" x14ac:dyDescent="0.25">
      <c r="A36" t="s">
        <v>162</v>
      </c>
      <c r="B36" t="s">
        <v>163</v>
      </c>
      <c r="C36" t="s">
        <v>164</v>
      </c>
      <c r="D36" t="s">
        <v>199</v>
      </c>
      <c r="E36" t="str">
        <f t="shared" si="0"/>
        <v>phoebe.gour@pushpin.com</v>
      </c>
      <c r="F36">
        <v>42721</v>
      </c>
      <c r="G36">
        <f t="shared" ca="1" si="1"/>
        <v>9.0638888888888882</v>
      </c>
      <c r="H36" t="s">
        <v>53</v>
      </c>
      <c r="I36" t="s">
        <v>165</v>
      </c>
      <c r="J36" t="str">
        <f t="shared" si="2"/>
        <v>02</v>
      </c>
      <c r="K36" t="str">
        <f t="shared" si="3"/>
        <v>2910</v>
      </c>
      <c r="L36">
        <v>42539</v>
      </c>
      <c r="M36">
        <f t="shared" si="4"/>
        <v>42904</v>
      </c>
      <c r="N36">
        <v>40500</v>
      </c>
      <c r="O36">
        <f t="shared" si="5"/>
        <v>3645</v>
      </c>
    </row>
    <row r="37" spans="1:15" x14ac:dyDescent="0.25">
      <c r="A37" t="s">
        <v>186</v>
      </c>
      <c r="B37" t="s">
        <v>2193</v>
      </c>
      <c r="C37" t="s">
        <v>188</v>
      </c>
      <c r="D37" t="s">
        <v>199</v>
      </c>
      <c r="E37" t="str">
        <f t="shared" si="0"/>
        <v>mei.wang@pushpin.com</v>
      </c>
      <c r="F37">
        <v>40188</v>
      </c>
      <c r="G37">
        <f t="shared" ca="1" si="1"/>
        <v>16</v>
      </c>
      <c r="H37" t="s">
        <v>89</v>
      </c>
      <c r="I37" t="s">
        <v>189</v>
      </c>
      <c r="J37" t="str">
        <f t="shared" si="2"/>
        <v>01</v>
      </c>
      <c r="K37" t="str">
        <f t="shared" si="3"/>
        <v>2783</v>
      </c>
      <c r="L37">
        <v>42544</v>
      </c>
      <c r="M37">
        <f t="shared" si="4"/>
        <v>42909</v>
      </c>
      <c r="N37">
        <v>96400</v>
      </c>
      <c r="O37">
        <f t="shared" si="5"/>
        <v>8676</v>
      </c>
    </row>
    <row r="38" spans="1:15" x14ac:dyDescent="0.25">
      <c r="A38" t="s">
        <v>112</v>
      </c>
      <c r="B38" t="s">
        <v>2186</v>
      </c>
      <c r="C38" t="s">
        <v>105</v>
      </c>
      <c r="D38" t="s">
        <v>199</v>
      </c>
      <c r="E38" t="str">
        <f t="shared" si="0"/>
        <v>elizabeth.clark@pushpin.com</v>
      </c>
      <c r="F38">
        <v>42874</v>
      </c>
      <c r="G38">
        <f t="shared" ca="1" si="1"/>
        <v>8.6416666666666675</v>
      </c>
      <c r="H38" t="s">
        <v>58</v>
      </c>
      <c r="I38" t="s">
        <v>115</v>
      </c>
      <c r="J38" t="str">
        <f t="shared" si="2"/>
        <v>02</v>
      </c>
      <c r="K38" t="str">
        <f t="shared" si="3"/>
        <v>2414</v>
      </c>
      <c r="L38">
        <v>42720</v>
      </c>
      <c r="M38">
        <f t="shared" si="4"/>
        <v>43085</v>
      </c>
      <c r="N38">
        <v>37000</v>
      </c>
      <c r="O38">
        <f t="shared" si="5"/>
        <v>3330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505BD-2538-4483-A834-40956D374AC6}">
  <dimension ref="A1:D21"/>
  <sheetViews>
    <sheetView showGridLines="0" zoomScale="80" zoomScaleNormal="80" workbookViewId="0">
      <selection activeCell="F53" activeCellId="1" sqref="P12 F53"/>
    </sheetView>
  </sheetViews>
  <sheetFormatPr defaultRowHeight="12" x14ac:dyDescent="0.25"/>
  <cols>
    <col min="1" max="1" width="38.140625" customWidth="1"/>
    <col min="2" max="4" width="22" customWidth="1"/>
  </cols>
  <sheetData>
    <row r="1" spans="1:4" x14ac:dyDescent="0.25">
      <c r="A1" t="s">
        <v>34</v>
      </c>
    </row>
    <row r="3" spans="1:4" ht="23.25" customHeight="1" x14ac:dyDescent="0.25">
      <c r="A3" t="s">
        <v>2194</v>
      </c>
      <c r="B3">
        <f>COUNTA(Emp_ID)</f>
        <v>35</v>
      </c>
    </row>
    <row r="4" spans="1:4" ht="23.25" customHeight="1" x14ac:dyDescent="0.25">
      <c r="A4" t="s">
        <v>203</v>
      </c>
      <c r="B4">
        <f>SUM(Annual_Salary)</f>
        <v>1958400</v>
      </c>
    </row>
    <row r="5" spans="1:4" ht="23.25" customHeight="1" x14ac:dyDescent="0.25">
      <c r="A5" t="s">
        <v>204</v>
      </c>
      <c r="B5">
        <f>AVERAGE(Annual_Salary)</f>
        <v>55954.285714285717</v>
      </c>
    </row>
    <row r="6" spans="1:4" ht="23.25" customHeight="1" x14ac:dyDescent="0.25">
      <c r="A6" t="s">
        <v>2195</v>
      </c>
      <c r="B6">
        <f ca="1">MAX(Years_Service)</f>
        <v>24.941666666666666</v>
      </c>
    </row>
    <row r="7" spans="1:4" ht="23.25" customHeight="1" x14ac:dyDescent="0.25">
      <c r="A7" t="s">
        <v>2196</v>
      </c>
      <c r="B7">
        <f>MAX(Date_of_Hire)</f>
        <v>42874</v>
      </c>
    </row>
    <row r="10" spans="1:4" x14ac:dyDescent="0.25">
      <c r="A10" t="s">
        <v>195</v>
      </c>
      <c r="B10" t="s">
        <v>2197</v>
      </c>
    </row>
    <row r="11" spans="1:4" x14ac:dyDescent="0.25">
      <c r="A11" t="s">
        <v>2198</v>
      </c>
      <c r="B11">
        <f>COUNTIFS(Gender,"M")</f>
        <v>17</v>
      </c>
    </row>
    <row r="12" spans="1:4" x14ac:dyDescent="0.25">
      <c r="A12" t="s">
        <v>2199</v>
      </c>
      <c r="B12">
        <f>COUNTIFS(Gender,"F")</f>
        <v>18</v>
      </c>
    </row>
    <row r="15" spans="1:4" x14ac:dyDescent="0.25">
      <c r="A15" t="s">
        <v>45</v>
      </c>
      <c r="B15" t="s">
        <v>2200</v>
      </c>
      <c r="C15" t="s">
        <v>198</v>
      </c>
      <c r="D15" t="s">
        <v>199</v>
      </c>
    </row>
    <row r="16" spans="1:4" x14ac:dyDescent="0.25">
      <c r="A16" t="s">
        <v>89</v>
      </c>
      <c r="B16">
        <f t="shared" ref="B16:B21" si="0">SUMIFS(Annual_Salary,Department,A16)</f>
        <v>197800</v>
      </c>
      <c r="C16">
        <f t="shared" ref="C16:C21" si="1">SUMIFS(Annual_Salary,Department,A16,Gender,$C$15)</f>
        <v>101400</v>
      </c>
      <c r="D16">
        <f t="shared" ref="D16:D21" si="2">SUMIFS(Annual_Salary,Department,A16,Gender,$D$15)</f>
        <v>96400</v>
      </c>
    </row>
    <row r="17" spans="1:4" x14ac:dyDescent="0.25">
      <c r="A17" t="s">
        <v>106</v>
      </c>
      <c r="B17">
        <f t="shared" si="0"/>
        <v>278500</v>
      </c>
      <c r="C17">
        <f t="shared" si="1"/>
        <v>178400</v>
      </c>
      <c r="D17">
        <f t="shared" si="2"/>
        <v>100100</v>
      </c>
    </row>
    <row r="18" spans="1:4" x14ac:dyDescent="0.25">
      <c r="A18" t="s">
        <v>53</v>
      </c>
      <c r="B18">
        <f t="shared" si="0"/>
        <v>807000</v>
      </c>
      <c r="C18">
        <f t="shared" si="1"/>
        <v>395600</v>
      </c>
      <c r="D18">
        <f t="shared" si="2"/>
        <v>411400</v>
      </c>
    </row>
    <row r="19" spans="1:4" x14ac:dyDescent="0.25">
      <c r="A19" t="s">
        <v>58</v>
      </c>
      <c r="B19">
        <f t="shared" si="0"/>
        <v>255500</v>
      </c>
      <c r="C19">
        <f t="shared" si="1"/>
        <v>59200</v>
      </c>
      <c r="D19">
        <f t="shared" si="2"/>
        <v>196300</v>
      </c>
    </row>
    <row r="20" spans="1:4" x14ac:dyDescent="0.25">
      <c r="A20" t="s">
        <v>76</v>
      </c>
      <c r="B20">
        <f t="shared" si="0"/>
        <v>227800</v>
      </c>
      <c r="C20">
        <f t="shared" si="1"/>
        <v>114400</v>
      </c>
      <c r="D20">
        <f t="shared" si="2"/>
        <v>113400</v>
      </c>
    </row>
    <row r="21" spans="1:4" x14ac:dyDescent="0.25">
      <c r="A21" t="s">
        <v>67</v>
      </c>
      <c r="B21">
        <f t="shared" si="0"/>
        <v>149700</v>
      </c>
      <c r="C21">
        <f t="shared" si="1"/>
        <v>86500</v>
      </c>
      <c r="D21">
        <f t="shared" si="2"/>
        <v>63200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90AF-EA5A-41F9-8E6E-1A75B642975A}">
  <dimension ref="A1:Y1044"/>
  <sheetViews>
    <sheetView zoomScaleNormal="100" workbookViewId="0">
      <pane xSplit="2" ySplit="5" topLeftCell="C6" activePane="bottomRight" state="frozen"/>
      <selection activeCell="F53" activeCellId="1" sqref="P12 F53"/>
      <selection pane="topRight" activeCell="F53" activeCellId="1" sqref="P12 F53"/>
      <selection pane="bottomLeft" activeCell="F53" activeCellId="1" sqref="P12 F53"/>
      <selection pane="bottomRight" activeCell="F53" activeCellId="1" sqref="P12 F53"/>
    </sheetView>
  </sheetViews>
  <sheetFormatPr defaultColWidth="11.42578125" defaultRowHeight="12" x14ac:dyDescent="0.25"/>
  <cols>
    <col min="1" max="1" width="12.85546875" customWidth="1"/>
    <col min="2" max="2" width="17.140625" customWidth="1"/>
    <col min="3" max="3" width="12.28515625" customWidth="1"/>
    <col min="4" max="4" width="24.140625" hidden="1" customWidth="1"/>
    <col min="5" max="5" width="35.140625" hidden="1" customWidth="1"/>
    <col min="6" max="6" width="13.42578125" hidden="1" customWidth="1"/>
    <col min="7" max="7" width="11.5703125" customWidth="1"/>
    <col min="8" max="8" width="19.140625" customWidth="1"/>
    <col min="9" max="9" width="22" customWidth="1"/>
    <col min="10" max="10" width="19.28515625" customWidth="1"/>
    <col min="11" max="11" width="34.85546875" customWidth="1"/>
    <col min="12" max="12" width="23.7109375" customWidth="1"/>
    <col min="13" max="13" width="24.42578125" customWidth="1"/>
    <col min="14" max="14" width="16" customWidth="1"/>
    <col min="15" max="15" width="14.5703125" customWidth="1"/>
    <col min="16" max="16" width="15.42578125" customWidth="1"/>
    <col min="17" max="18" width="16.42578125" customWidth="1"/>
    <col min="19" max="19" width="19" customWidth="1"/>
    <col min="20" max="20" width="15.5703125" customWidth="1"/>
    <col min="21" max="22" width="13.7109375" customWidth="1"/>
    <col min="23" max="23" width="16.140625" customWidth="1"/>
    <col min="24" max="24" width="18.5703125" customWidth="1"/>
    <col min="25" max="25" width="13.28515625" customWidth="1"/>
  </cols>
  <sheetData>
    <row r="1" spans="1:25" ht="33.9" customHeight="1" x14ac:dyDescent="0.25">
      <c r="A1" t="s">
        <v>207</v>
      </c>
    </row>
    <row r="3" spans="1:25" x14ac:dyDescent="0.25">
      <c r="A3" t="s">
        <v>208</v>
      </c>
      <c r="B3">
        <f>COUNTA(Order_No)</f>
        <v>1039</v>
      </c>
      <c r="I3" t="s">
        <v>209</v>
      </c>
      <c r="J3">
        <f>COUNTBLANK(Order_Priority)</f>
        <v>2</v>
      </c>
      <c r="N3" t="s">
        <v>210</v>
      </c>
      <c r="O3">
        <f>COUNT(Ship_Date)</f>
        <v>1037</v>
      </c>
    </row>
    <row r="5" spans="1:25" ht="18" customHeight="1" x14ac:dyDescent="0.25">
      <c r="A5" t="s">
        <v>211</v>
      </c>
      <c r="B5" t="s">
        <v>212</v>
      </c>
      <c r="C5" t="s">
        <v>213</v>
      </c>
      <c r="D5" t="s">
        <v>214</v>
      </c>
      <c r="E5" t="s">
        <v>215</v>
      </c>
      <c r="F5" t="s">
        <v>216</v>
      </c>
      <c r="G5" t="s">
        <v>217</v>
      </c>
      <c r="H5" t="s">
        <v>218</v>
      </c>
      <c r="I5" t="s">
        <v>219</v>
      </c>
      <c r="J5" t="s">
        <v>220</v>
      </c>
      <c r="K5" t="s">
        <v>221</v>
      </c>
      <c r="L5" t="s">
        <v>222</v>
      </c>
      <c r="M5" t="s">
        <v>223</v>
      </c>
      <c r="N5" t="s">
        <v>224</v>
      </c>
      <c r="O5" t="s">
        <v>225</v>
      </c>
      <c r="P5" t="s">
        <v>226</v>
      </c>
      <c r="Q5" t="s">
        <v>227</v>
      </c>
      <c r="R5" t="s">
        <v>228</v>
      </c>
      <c r="S5" t="s">
        <v>229</v>
      </c>
      <c r="T5" t="s">
        <v>230</v>
      </c>
      <c r="U5" t="s">
        <v>231</v>
      </c>
      <c r="V5" t="s">
        <v>232</v>
      </c>
      <c r="W5" t="s">
        <v>233</v>
      </c>
      <c r="X5" t="s">
        <v>234</v>
      </c>
      <c r="Y5" t="s">
        <v>235</v>
      </c>
    </row>
    <row r="6" spans="1:25" x14ac:dyDescent="0.25">
      <c r="A6" t="s">
        <v>236</v>
      </c>
      <c r="B6">
        <v>41316</v>
      </c>
      <c r="C6" t="str">
        <f t="shared" ref="C6:C69" si="0">TEXT(B6,"yyyy")</f>
        <v>2013</v>
      </c>
      <c r="D6" t="s">
        <v>237</v>
      </c>
      <c r="E6" t="s">
        <v>238</v>
      </c>
      <c r="F6" t="s">
        <v>239</v>
      </c>
      <c r="G6" t="s">
        <v>240</v>
      </c>
      <c r="H6" t="s">
        <v>241</v>
      </c>
      <c r="I6" t="s">
        <v>242</v>
      </c>
      <c r="J6" t="s">
        <v>243</v>
      </c>
      <c r="K6" t="s">
        <v>244</v>
      </c>
      <c r="L6" t="s">
        <v>245</v>
      </c>
      <c r="M6" t="s">
        <v>246</v>
      </c>
      <c r="N6" t="s">
        <v>247</v>
      </c>
      <c r="O6">
        <v>41317</v>
      </c>
      <c r="P6">
        <v>3.52</v>
      </c>
      <c r="Q6">
        <v>5.58</v>
      </c>
      <c r="R6">
        <f t="shared" ref="R6:R69" si="1">Q6-P6</f>
        <v>2.06</v>
      </c>
      <c r="S6">
        <v>29</v>
      </c>
      <c r="T6">
        <f t="shared" ref="T6:T69" si="2">Q6*S6</f>
        <v>161.82</v>
      </c>
      <c r="U6">
        <v>0.03</v>
      </c>
      <c r="V6">
        <f t="shared" ref="V6:V69" si="3">T6*U6</f>
        <v>4.8545999999999996</v>
      </c>
      <c r="W6">
        <f t="shared" ref="W6:W69" si="4">T6-V6</f>
        <v>156.96539999999999</v>
      </c>
      <c r="X6">
        <v>2.99</v>
      </c>
      <c r="Y6">
        <f t="shared" ref="Y6:Y69" si="5">W6+X6</f>
        <v>159.9554</v>
      </c>
    </row>
    <row r="7" spans="1:25" x14ac:dyDescent="0.25">
      <c r="A7" t="s">
        <v>248</v>
      </c>
      <c r="B7">
        <v>41316</v>
      </c>
      <c r="C7" t="str">
        <f t="shared" si="0"/>
        <v>2013</v>
      </c>
      <c r="D7" t="s">
        <v>249</v>
      </c>
      <c r="E7" t="s">
        <v>250</v>
      </c>
      <c r="F7" t="s">
        <v>239</v>
      </c>
      <c r="G7" t="s">
        <v>240</v>
      </c>
      <c r="H7" t="s">
        <v>241</v>
      </c>
      <c r="I7" t="s">
        <v>251</v>
      </c>
      <c r="J7" t="s">
        <v>243</v>
      </c>
      <c r="K7" t="s">
        <v>252</v>
      </c>
      <c r="L7" t="s">
        <v>245</v>
      </c>
      <c r="M7" t="s">
        <v>253</v>
      </c>
      <c r="N7" t="s">
        <v>247</v>
      </c>
      <c r="O7">
        <v>41317</v>
      </c>
      <c r="P7">
        <v>2.39</v>
      </c>
      <c r="Q7">
        <v>4.26</v>
      </c>
      <c r="R7">
        <f t="shared" si="1"/>
        <v>1.8699999999999997</v>
      </c>
      <c r="S7">
        <v>29</v>
      </c>
      <c r="T7">
        <f t="shared" si="2"/>
        <v>123.53999999999999</v>
      </c>
      <c r="U7">
        <v>0.03</v>
      </c>
      <c r="V7">
        <f t="shared" si="3"/>
        <v>3.7061999999999995</v>
      </c>
      <c r="W7">
        <f t="shared" si="4"/>
        <v>119.8338</v>
      </c>
      <c r="X7">
        <v>1.2</v>
      </c>
      <c r="Y7">
        <f t="shared" si="5"/>
        <v>121.0338</v>
      </c>
    </row>
    <row r="8" spans="1:25" x14ac:dyDescent="0.25">
      <c r="A8" t="s">
        <v>254</v>
      </c>
      <c r="B8">
        <v>41317</v>
      </c>
      <c r="C8" t="str">
        <f t="shared" si="0"/>
        <v>2013</v>
      </c>
      <c r="D8" t="s">
        <v>255</v>
      </c>
      <c r="E8" t="s">
        <v>256</v>
      </c>
      <c r="F8" t="s">
        <v>257</v>
      </c>
      <c r="G8" t="s">
        <v>258</v>
      </c>
      <c r="H8" t="s">
        <v>259</v>
      </c>
      <c r="I8" t="s">
        <v>260</v>
      </c>
      <c r="J8" t="s">
        <v>261</v>
      </c>
      <c r="K8" t="s">
        <v>262</v>
      </c>
      <c r="L8" t="s">
        <v>245</v>
      </c>
      <c r="M8" t="s">
        <v>253</v>
      </c>
      <c r="N8" t="s">
        <v>263</v>
      </c>
      <c r="O8">
        <v>41319</v>
      </c>
      <c r="P8">
        <v>2.41</v>
      </c>
      <c r="Q8">
        <v>3.71</v>
      </c>
      <c r="R8">
        <f t="shared" si="1"/>
        <v>1.2999999999999998</v>
      </c>
      <c r="S8">
        <v>42</v>
      </c>
      <c r="T8">
        <f t="shared" si="2"/>
        <v>155.82</v>
      </c>
      <c r="U8">
        <v>7.0000000000000007E-2</v>
      </c>
      <c r="V8">
        <f t="shared" si="3"/>
        <v>10.907400000000001</v>
      </c>
      <c r="W8">
        <f t="shared" si="4"/>
        <v>144.9126</v>
      </c>
      <c r="X8">
        <v>1.93</v>
      </c>
      <c r="Y8">
        <f t="shared" si="5"/>
        <v>146.8426</v>
      </c>
    </row>
    <row r="9" spans="1:25" x14ac:dyDescent="0.25">
      <c r="A9" t="s">
        <v>264</v>
      </c>
      <c r="B9">
        <v>41318</v>
      </c>
      <c r="C9" t="str">
        <f t="shared" si="0"/>
        <v>2013</v>
      </c>
      <c r="D9" t="s">
        <v>265</v>
      </c>
      <c r="E9" t="s">
        <v>266</v>
      </c>
      <c r="F9" t="s">
        <v>239</v>
      </c>
      <c r="G9" t="s">
        <v>240</v>
      </c>
      <c r="H9" t="s">
        <v>241</v>
      </c>
      <c r="I9" t="s">
        <v>242</v>
      </c>
      <c r="J9" t="s">
        <v>243</v>
      </c>
      <c r="K9" t="s">
        <v>267</v>
      </c>
      <c r="L9" t="s">
        <v>268</v>
      </c>
      <c r="M9" t="s">
        <v>269</v>
      </c>
      <c r="N9" t="s">
        <v>270</v>
      </c>
      <c r="O9">
        <v>41320</v>
      </c>
      <c r="P9">
        <v>75</v>
      </c>
      <c r="Q9">
        <v>120.97</v>
      </c>
      <c r="R9">
        <f t="shared" si="1"/>
        <v>45.97</v>
      </c>
      <c r="S9">
        <v>6</v>
      </c>
      <c r="T9">
        <f t="shared" si="2"/>
        <v>725.81999999999994</v>
      </c>
      <c r="U9">
        <v>0.08</v>
      </c>
      <c r="V9">
        <f t="shared" si="3"/>
        <v>58.065599999999996</v>
      </c>
      <c r="W9">
        <f t="shared" si="4"/>
        <v>667.75439999999992</v>
      </c>
      <c r="X9">
        <v>26.3</v>
      </c>
      <c r="Y9">
        <f t="shared" si="5"/>
        <v>694.05439999999987</v>
      </c>
    </row>
    <row r="10" spans="1:25" x14ac:dyDescent="0.25">
      <c r="A10" t="s">
        <v>271</v>
      </c>
      <c r="B10">
        <v>41319</v>
      </c>
      <c r="C10" t="str">
        <f t="shared" si="0"/>
        <v>2013</v>
      </c>
      <c r="D10" t="s">
        <v>272</v>
      </c>
      <c r="E10" t="s">
        <v>273</v>
      </c>
      <c r="F10" t="s">
        <v>257</v>
      </c>
      <c r="G10" t="s">
        <v>258</v>
      </c>
      <c r="H10" t="s">
        <v>274</v>
      </c>
      <c r="I10" t="s">
        <v>275</v>
      </c>
      <c r="J10" t="s">
        <v>261</v>
      </c>
      <c r="K10" t="s">
        <v>276</v>
      </c>
      <c r="L10" t="s">
        <v>245</v>
      </c>
      <c r="M10" t="s">
        <v>253</v>
      </c>
      <c r="N10" t="s">
        <v>247</v>
      </c>
      <c r="O10">
        <v>41320</v>
      </c>
      <c r="P10">
        <v>0.9</v>
      </c>
      <c r="Q10">
        <v>2.1</v>
      </c>
      <c r="R10">
        <f t="shared" si="1"/>
        <v>1.2000000000000002</v>
      </c>
      <c r="S10">
        <v>17</v>
      </c>
      <c r="T10">
        <f t="shared" si="2"/>
        <v>35.700000000000003</v>
      </c>
      <c r="U10">
        <v>0.03</v>
      </c>
      <c r="V10">
        <f t="shared" si="3"/>
        <v>1.071</v>
      </c>
      <c r="W10">
        <f t="shared" si="4"/>
        <v>34.629000000000005</v>
      </c>
      <c r="X10">
        <v>0.7</v>
      </c>
      <c r="Y10">
        <f t="shared" si="5"/>
        <v>35.329000000000008</v>
      </c>
    </row>
    <row r="11" spans="1:25" x14ac:dyDescent="0.25">
      <c r="A11" t="s">
        <v>277</v>
      </c>
      <c r="B11">
        <v>41322</v>
      </c>
      <c r="C11" t="str">
        <f t="shared" si="0"/>
        <v>2013</v>
      </c>
      <c r="D11" t="s">
        <v>278</v>
      </c>
      <c r="E11" t="s">
        <v>266</v>
      </c>
      <c r="F11" t="s">
        <v>239</v>
      </c>
      <c r="G11" t="s">
        <v>240</v>
      </c>
      <c r="H11" t="s">
        <v>241</v>
      </c>
      <c r="I11" t="s">
        <v>242</v>
      </c>
      <c r="J11" t="s">
        <v>279</v>
      </c>
      <c r="K11" t="s">
        <v>280</v>
      </c>
      <c r="L11" t="s">
        <v>245</v>
      </c>
      <c r="M11" t="s">
        <v>253</v>
      </c>
      <c r="N11" t="s">
        <v>247</v>
      </c>
      <c r="O11">
        <v>41327</v>
      </c>
      <c r="P11">
        <v>1.0900000000000001</v>
      </c>
      <c r="Q11">
        <v>2.6</v>
      </c>
      <c r="R11">
        <f t="shared" si="1"/>
        <v>1.51</v>
      </c>
      <c r="S11">
        <v>47</v>
      </c>
      <c r="T11">
        <f t="shared" si="2"/>
        <v>122.2</v>
      </c>
      <c r="U11">
        <v>0.1</v>
      </c>
      <c r="V11">
        <f t="shared" si="3"/>
        <v>12.22</v>
      </c>
      <c r="W11">
        <f t="shared" si="4"/>
        <v>109.98</v>
      </c>
      <c r="X11">
        <v>2.4</v>
      </c>
      <c r="Y11">
        <f t="shared" si="5"/>
        <v>112.38000000000001</v>
      </c>
    </row>
    <row r="12" spans="1:25" x14ac:dyDescent="0.25">
      <c r="A12" t="s">
        <v>281</v>
      </c>
      <c r="B12">
        <v>41323</v>
      </c>
      <c r="C12" t="str">
        <f t="shared" si="0"/>
        <v>2013</v>
      </c>
      <c r="D12" t="s">
        <v>282</v>
      </c>
      <c r="E12" t="s">
        <v>283</v>
      </c>
      <c r="F12" t="s">
        <v>257</v>
      </c>
      <c r="G12" t="s">
        <v>258</v>
      </c>
      <c r="H12" t="s">
        <v>259</v>
      </c>
      <c r="I12" t="s">
        <v>284</v>
      </c>
      <c r="J12" t="s">
        <v>261</v>
      </c>
      <c r="K12" t="s">
        <v>285</v>
      </c>
      <c r="L12" t="s">
        <v>245</v>
      </c>
      <c r="M12" t="s">
        <v>246</v>
      </c>
      <c r="N12" t="s">
        <v>247</v>
      </c>
      <c r="O12">
        <v>41325</v>
      </c>
      <c r="P12">
        <v>99.39</v>
      </c>
      <c r="Q12">
        <v>162.93</v>
      </c>
      <c r="R12">
        <f t="shared" si="1"/>
        <v>63.540000000000006</v>
      </c>
      <c r="S12">
        <v>32</v>
      </c>
      <c r="T12">
        <f t="shared" si="2"/>
        <v>5213.76</v>
      </c>
      <c r="U12">
        <v>0.09</v>
      </c>
      <c r="V12">
        <f t="shared" si="3"/>
        <v>469.23840000000001</v>
      </c>
      <c r="W12">
        <f t="shared" si="4"/>
        <v>4744.5216</v>
      </c>
      <c r="X12">
        <v>19.989999999999998</v>
      </c>
      <c r="Y12">
        <f t="shared" si="5"/>
        <v>4764.5115999999998</v>
      </c>
    </row>
    <row r="13" spans="1:25" x14ac:dyDescent="0.25">
      <c r="A13" t="s">
        <v>286</v>
      </c>
      <c r="B13">
        <v>41325</v>
      </c>
      <c r="C13" t="str">
        <f t="shared" si="0"/>
        <v>2013</v>
      </c>
      <c r="D13" t="s">
        <v>287</v>
      </c>
      <c r="E13" t="s">
        <v>288</v>
      </c>
      <c r="F13" t="s">
        <v>257</v>
      </c>
      <c r="G13" t="s">
        <v>258</v>
      </c>
      <c r="H13" t="s">
        <v>274</v>
      </c>
      <c r="I13" t="s">
        <v>284</v>
      </c>
      <c r="J13" t="s">
        <v>261</v>
      </c>
      <c r="K13" t="s">
        <v>289</v>
      </c>
      <c r="L13" t="s">
        <v>245</v>
      </c>
      <c r="M13" t="s">
        <v>253</v>
      </c>
      <c r="N13" t="s">
        <v>247</v>
      </c>
      <c r="O13">
        <v>41327</v>
      </c>
      <c r="P13">
        <v>1.0900000000000001</v>
      </c>
      <c r="Q13">
        <v>1.68</v>
      </c>
      <c r="R13">
        <f t="shared" si="1"/>
        <v>0.58999999999999986</v>
      </c>
      <c r="S13">
        <v>33</v>
      </c>
      <c r="T13">
        <f t="shared" si="2"/>
        <v>55.44</v>
      </c>
      <c r="U13">
        <v>0.04</v>
      </c>
      <c r="V13">
        <f t="shared" si="3"/>
        <v>2.2176</v>
      </c>
      <c r="W13">
        <f t="shared" si="4"/>
        <v>53.2224</v>
      </c>
      <c r="X13">
        <v>1</v>
      </c>
      <c r="Y13">
        <f t="shared" si="5"/>
        <v>54.2224</v>
      </c>
    </row>
    <row r="14" spans="1:25" x14ac:dyDescent="0.25">
      <c r="A14" t="s">
        <v>290</v>
      </c>
      <c r="B14">
        <v>41327</v>
      </c>
      <c r="C14" t="str">
        <f t="shared" si="0"/>
        <v>2013</v>
      </c>
      <c r="D14" t="s">
        <v>291</v>
      </c>
      <c r="E14" t="s">
        <v>292</v>
      </c>
      <c r="F14" t="s">
        <v>257</v>
      </c>
      <c r="G14" t="s">
        <v>258</v>
      </c>
      <c r="H14" t="s">
        <v>293</v>
      </c>
      <c r="I14" t="s">
        <v>260</v>
      </c>
      <c r="J14" t="s">
        <v>294</v>
      </c>
      <c r="K14" t="s">
        <v>295</v>
      </c>
      <c r="L14" t="s">
        <v>245</v>
      </c>
      <c r="M14" t="s">
        <v>246</v>
      </c>
      <c r="N14" t="s">
        <v>247</v>
      </c>
      <c r="O14">
        <v>41328</v>
      </c>
      <c r="P14">
        <v>54.29</v>
      </c>
      <c r="Q14">
        <v>90.48</v>
      </c>
      <c r="R14">
        <f t="shared" si="1"/>
        <v>36.190000000000005</v>
      </c>
      <c r="S14">
        <v>8</v>
      </c>
      <c r="T14">
        <f t="shared" si="2"/>
        <v>723.84</v>
      </c>
      <c r="U14">
        <v>7.0000000000000007E-2</v>
      </c>
      <c r="V14">
        <f t="shared" si="3"/>
        <v>50.668800000000005</v>
      </c>
      <c r="W14">
        <f t="shared" si="4"/>
        <v>673.1712</v>
      </c>
      <c r="X14">
        <v>19.989999999999998</v>
      </c>
      <c r="Y14">
        <f t="shared" si="5"/>
        <v>693.16120000000001</v>
      </c>
    </row>
    <row r="15" spans="1:25" x14ac:dyDescent="0.25">
      <c r="A15" t="s">
        <v>296</v>
      </c>
      <c r="B15">
        <v>41328</v>
      </c>
      <c r="C15" t="str">
        <f t="shared" si="0"/>
        <v>2013</v>
      </c>
      <c r="D15" t="s">
        <v>297</v>
      </c>
      <c r="E15" t="s">
        <v>298</v>
      </c>
      <c r="F15" t="s">
        <v>257</v>
      </c>
      <c r="G15" t="s">
        <v>258</v>
      </c>
      <c r="H15" t="s">
        <v>259</v>
      </c>
      <c r="I15" t="s">
        <v>299</v>
      </c>
      <c r="J15" t="s">
        <v>294</v>
      </c>
      <c r="K15" t="s">
        <v>300</v>
      </c>
      <c r="L15" t="s">
        <v>245</v>
      </c>
      <c r="M15" t="s">
        <v>246</v>
      </c>
      <c r="N15" t="s">
        <v>247</v>
      </c>
      <c r="O15">
        <v>41328</v>
      </c>
      <c r="P15">
        <v>5.33</v>
      </c>
      <c r="Q15">
        <v>8.6</v>
      </c>
      <c r="R15">
        <f t="shared" si="1"/>
        <v>3.2699999999999996</v>
      </c>
      <c r="S15">
        <v>48</v>
      </c>
      <c r="T15">
        <f t="shared" si="2"/>
        <v>412.79999999999995</v>
      </c>
      <c r="U15">
        <v>0</v>
      </c>
      <c r="V15">
        <f t="shared" si="3"/>
        <v>0</v>
      </c>
      <c r="W15">
        <f t="shared" si="4"/>
        <v>412.79999999999995</v>
      </c>
      <c r="X15">
        <v>6.19</v>
      </c>
      <c r="Y15">
        <f t="shared" si="5"/>
        <v>418.98999999999995</v>
      </c>
    </row>
    <row r="16" spans="1:25" x14ac:dyDescent="0.25">
      <c r="A16" t="s">
        <v>301</v>
      </c>
      <c r="B16">
        <v>41330</v>
      </c>
      <c r="C16" t="str">
        <f t="shared" si="0"/>
        <v>2013</v>
      </c>
      <c r="D16" t="s">
        <v>302</v>
      </c>
      <c r="E16" t="s">
        <v>303</v>
      </c>
      <c r="F16" t="s">
        <v>239</v>
      </c>
      <c r="G16" t="s">
        <v>240</v>
      </c>
      <c r="H16" t="s">
        <v>259</v>
      </c>
      <c r="I16" t="s">
        <v>251</v>
      </c>
      <c r="J16" t="s">
        <v>304</v>
      </c>
      <c r="K16" t="s">
        <v>305</v>
      </c>
      <c r="L16" t="s">
        <v>245</v>
      </c>
      <c r="M16" t="s">
        <v>246</v>
      </c>
      <c r="N16" t="s">
        <v>247</v>
      </c>
      <c r="O16">
        <v>41332</v>
      </c>
      <c r="P16">
        <v>4.8899999999999997</v>
      </c>
      <c r="Q16">
        <v>7.64</v>
      </c>
      <c r="R16">
        <f t="shared" si="1"/>
        <v>2.75</v>
      </c>
      <c r="S16">
        <v>18</v>
      </c>
      <c r="T16">
        <f t="shared" si="2"/>
        <v>137.51999999999998</v>
      </c>
      <c r="U16">
        <v>0.1</v>
      </c>
      <c r="V16">
        <f t="shared" si="3"/>
        <v>13.751999999999999</v>
      </c>
      <c r="W16">
        <f t="shared" si="4"/>
        <v>123.76799999999999</v>
      </c>
      <c r="X16">
        <v>1.39</v>
      </c>
      <c r="Y16">
        <f t="shared" si="5"/>
        <v>125.15799999999999</v>
      </c>
    </row>
    <row r="17" spans="1:25" x14ac:dyDescent="0.25">
      <c r="A17" t="s">
        <v>306</v>
      </c>
      <c r="B17">
        <v>41330</v>
      </c>
      <c r="C17" t="str">
        <f t="shared" si="0"/>
        <v>2013</v>
      </c>
      <c r="D17" t="s">
        <v>307</v>
      </c>
      <c r="E17" t="s">
        <v>308</v>
      </c>
      <c r="F17" t="s">
        <v>257</v>
      </c>
      <c r="G17" t="s">
        <v>258</v>
      </c>
      <c r="H17" t="s">
        <v>259</v>
      </c>
      <c r="I17" t="s">
        <v>309</v>
      </c>
      <c r="J17" t="s">
        <v>304</v>
      </c>
      <c r="K17" t="s">
        <v>295</v>
      </c>
      <c r="L17" t="s">
        <v>245</v>
      </c>
      <c r="M17" t="s">
        <v>246</v>
      </c>
      <c r="N17" t="s">
        <v>247</v>
      </c>
      <c r="O17">
        <v>41332</v>
      </c>
      <c r="P17">
        <v>54.29</v>
      </c>
      <c r="Q17">
        <v>90.48</v>
      </c>
      <c r="R17">
        <f t="shared" si="1"/>
        <v>36.190000000000005</v>
      </c>
      <c r="S17">
        <v>3</v>
      </c>
      <c r="T17">
        <f t="shared" si="2"/>
        <v>271.44</v>
      </c>
      <c r="U17">
        <v>0.03</v>
      </c>
      <c r="V17">
        <f t="shared" si="3"/>
        <v>8.1432000000000002</v>
      </c>
      <c r="W17">
        <f t="shared" si="4"/>
        <v>263.29680000000002</v>
      </c>
      <c r="X17">
        <v>19.989999999999998</v>
      </c>
      <c r="Y17">
        <f t="shared" si="5"/>
        <v>283.28680000000003</v>
      </c>
    </row>
    <row r="18" spans="1:25" x14ac:dyDescent="0.25">
      <c r="A18" t="s">
        <v>310</v>
      </c>
      <c r="B18">
        <v>41331</v>
      </c>
      <c r="C18" t="str">
        <f t="shared" si="0"/>
        <v>2013</v>
      </c>
      <c r="D18" t="s">
        <v>311</v>
      </c>
      <c r="E18" t="s">
        <v>312</v>
      </c>
      <c r="F18" t="s">
        <v>257</v>
      </c>
      <c r="G18" t="s">
        <v>258</v>
      </c>
      <c r="H18" t="s">
        <v>259</v>
      </c>
      <c r="I18" t="s">
        <v>284</v>
      </c>
      <c r="J18" t="s">
        <v>243</v>
      </c>
      <c r="K18" t="s">
        <v>313</v>
      </c>
      <c r="L18" t="s">
        <v>245</v>
      </c>
      <c r="M18" t="s">
        <v>246</v>
      </c>
      <c r="N18" t="s">
        <v>247</v>
      </c>
      <c r="O18">
        <v>41331</v>
      </c>
      <c r="P18">
        <v>36.020000000000003</v>
      </c>
      <c r="Q18">
        <v>58.1</v>
      </c>
      <c r="R18">
        <f t="shared" si="1"/>
        <v>22.08</v>
      </c>
      <c r="S18">
        <v>50</v>
      </c>
      <c r="T18">
        <f t="shared" si="2"/>
        <v>2905</v>
      </c>
      <c r="U18">
        <v>0.05</v>
      </c>
      <c r="V18">
        <f t="shared" si="3"/>
        <v>145.25</v>
      </c>
      <c r="W18">
        <f t="shared" si="4"/>
        <v>2759.75</v>
      </c>
      <c r="X18">
        <v>1.49</v>
      </c>
      <c r="Y18">
        <f t="shared" si="5"/>
        <v>2761.24</v>
      </c>
    </row>
    <row r="19" spans="1:25" x14ac:dyDescent="0.25">
      <c r="A19" t="s">
        <v>314</v>
      </c>
      <c r="B19">
        <v>41340</v>
      </c>
      <c r="C19" t="str">
        <f t="shared" si="0"/>
        <v>2013</v>
      </c>
      <c r="D19" t="s">
        <v>315</v>
      </c>
      <c r="E19" t="s">
        <v>316</v>
      </c>
      <c r="F19" t="s">
        <v>239</v>
      </c>
      <c r="G19" t="s">
        <v>240</v>
      </c>
      <c r="H19" t="s">
        <v>259</v>
      </c>
      <c r="I19" t="s">
        <v>242</v>
      </c>
      <c r="J19" t="s">
        <v>261</v>
      </c>
      <c r="K19" t="s">
        <v>317</v>
      </c>
      <c r="L19" t="s">
        <v>245</v>
      </c>
      <c r="M19" t="s">
        <v>253</v>
      </c>
      <c r="N19" t="s">
        <v>247</v>
      </c>
      <c r="O19">
        <v>41343</v>
      </c>
      <c r="P19">
        <v>0.71</v>
      </c>
      <c r="Q19">
        <v>1.1399999999999999</v>
      </c>
      <c r="R19">
        <f t="shared" si="1"/>
        <v>0.42999999999999994</v>
      </c>
      <c r="S19">
        <v>50</v>
      </c>
      <c r="T19">
        <f t="shared" si="2"/>
        <v>56.999999999999993</v>
      </c>
      <c r="U19">
        <v>0.06</v>
      </c>
      <c r="V19">
        <f t="shared" si="3"/>
        <v>3.4199999999999995</v>
      </c>
      <c r="W19">
        <f t="shared" si="4"/>
        <v>53.579999999999991</v>
      </c>
      <c r="X19">
        <v>0.7</v>
      </c>
      <c r="Y19">
        <f t="shared" si="5"/>
        <v>54.279999999999994</v>
      </c>
    </row>
    <row r="20" spans="1:25" x14ac:dyDescent="0.25">
      <c r="A20" t="s">
        <v>318</v>
      </c>
      <c r="B20">
        <v>41344</v>
      </c>
      <c r="C20" t="str">
        <f t="shared" si="0"/>
        <v>2013</v>
      </c>
      <c r="D20" t="s">
        <v>319</v>
      </c>
      <c r="E20" t="s">
        <v>320</v>
      </c>
      <c r="F20" t="s">
        <v>257</v>
      </c>
      <c r="G20" t="s">
        <v>258</v>
      </c>
      <c r="H20" t="s">
        <v>241</v>
      </c>
      <c r="I20" t="s">
        <v>321</v>
      </c>
      <c r="J20" t="s">
        <v>261</v>
      </c>
      <c r="K20" t="s">
        <v>322</v>
      </c>
      <c r="L20" t="s">
        <v>245</v>
      </c>
      <c r="M20" t="s">
        <v>323</v>
      </c>
      <c r="N20" t="s">
        <v>247</v>
      </c>
      <c r="O20">
        <v>41346</v>
      </c>
      <c r="P20">
        <v>3.42</v>
      </c>
      <c r="Q20">
        <v>8.34</v>
      </c>
      <c r="R20">
        <f t="shared" si="1"/>
        <v>4.92</v>
      </c>
      <c r="S20">
        <v>16</v>
      </c>
      <c r="T20">
        <f t="shared" si="2"/>
        <v>133.44</v>
      </c>
      <c r="U20">
        <v>0.03</v>
      </c>
      <c r="V20">
        <f t="shared" si="3"/>
        <v>4.0031999999999996</v>
      </c>
      <c r="W20">
        <f t="shared" si="4"/>
        <v>129.43680000000001</v>
      </c>
      <c r="X20">
        <v>2.64</v>
      </c>
      <c r="Y20">
        <f t="shared" si="5"/>
        <v>132.07679999999999</v>
      </c>
    </row>
    <row r="21" spans="1:25" x14ac:dyDescent="0.25">
      <c r="A21" t="s">
        <v>324</v>
      </c>
      <c r="B21">
        <v>41346</v>
      </c>
      <c r="C21" t="str">
        <f t="shared" si="0"/>
        <v>2013</v>
      </c>
      <c r="D21" t="s">
        <v>325</v>
      </c>
      <c r="E21" t="s">
        <v>303</v>
      </c>
      <c r="F21" t="s">
        <v>239</v>
      </c>
      <c r="G21" t="s">
        <v>240</v>
      </c>
      <c r="H21" t="s">
        <v>259</v>
      </c>
      <c r="I21" t="s">
        <v>251</v>
      </c>
      <c r="J21" t="s">
        <v>279</v>
      </c>
      <c r="K21" t="s">
        <v>317</v>
      </c>
      <c r="L21" t="s">
        <v>245</v>
      </c>
      <c r="M21" t="s">
        <v>253</v>
      </c>
      <c r="N21" t="s">
        <v>247</v>
      </c>
      <c r="O21">
        <v>41346</v>
      </c>
      <c r="P21">
        <v>0.71</v>
      </c>
      <c r="Q21">
        <v>1.1399999999999999</v>
      </c>
      <c r="R21">
        <f t="shared" si="1"/>
        <v>0.42999999999999994</v>
      </c>
      <c r="S21">
        <v>38</v>
      </c>
      <c r="T21">
        <f t="shared" si="2"/>
        <v>43.319999999999993</v>
      </c>
      <c r="U21">
        <v>0.02</v>
      </c>
      <c r="V21">
        <f t="shared" si="3"/>
        <v>0.86639999999999984</v>
      </c>
      <c r="W21">
        <f t="shared" si="4"/>
        <v>42.453599999999994</v>
      </c>
      <c r="X21">
        <v>0.7</v>
      </c>
      <c r="Y21">
        <f t="shared" si="5"/>
        <v>43.153599999999997</v>
      </c>
    </row>
    <row r="22" spans="1:25" x14ac:dyDescent="0.25">
      <c r="A22" t="s">
        <v>326</v>
      </c>
      <c r="B22">
        <v>41348</v>
      </c>
      <c r="C22" t="str">
        <f t="shared" si="0"/>
        <v>2013</v>
      </c>
      <c r="D22" t="s">
        <v>327</v>
      </c>
      <c r="E22" t="s">
        <v>328</v>
      </c>
      <c r="F22" t="s">
        <v>257</v>
      </c>
      <c r="G22" t="s">
        <v>258</v>
      </c>
      <c r="H22" t="s">
        <v>259</v>
      </c>
      <c r="I22" t="s">
        <v>299</v>
      </c>
      <c r="J22" t="s">
        <v>304</v>
      </c>
      <c r="K22" t="s">
        <v>329</v>
      </c>
      <c r="L22" t="s">
        <v>245</v>
      </c>
      <c r="M22" t="s">
        <v>246</v>
      </c>
      <c r="N22" t="s">
        <v>247</v>
      </c>
      <c r="O22">
        <v>41349</v>
      </c>
      <c r="P22">
        <v>4.59</v>
      </c>
      <c r="Q22">
        <v>7.28</v>
      </c>
      <c r="R22">
        <f t="shared" si="1"/>
        <v>2.6900000000000004</v>
      </c>
      <c r="S22">
        <v>22</v>
      </c>
      <c r="T22">
        <f t="shared" si="2"/>
        <v>160.16</v>
      </c>
      <c r="U22">
        <v>0.01</v>
      </c>
      <c r="V22">
        <f t="shared" si="3"/>
        <v>1.6015999999999999</v>
      </c>
      <c r="W22">
        <f t="shared" si="4"/>
        <v>158.55840000000001</v>
      </c>
      <c r="X22">
        <v>11.15</v>
      </c>
      <c r="Y22">
        <f t="shared" si="5"/>
        <v>169.70840000000001</v>
      </c>
    </row>
    <row r="23" spans="1:25" x14ac:dyDescent="0.25">
      <c r="A23" t="s">
        <v>330</v>
      </c>
      <c r="B23">
        <v>41349</v>
      </c>
      <c r="C23" t="str">
        <f t="shared" si="0"/>
        <v>2013</v>
      </c>
      <c r="D23" t="s">
        <v>331</v>
      </c>
      <c r="E23" t="s">
        <v>332</v>
      </c>
      <c r="F23" t="s">
        <v>257</v>
      </c>
      <c r="G23" t="s">
        <v>258</v>
      </c>
      <c r="H23" t="s">
        <v>293</v>
      </c>
      <c r="I23" t="s">
        <v>333</v>
      </c>
      <c r="J23" t="s">
        <v>279</v>
      </c>
      <c r="K23" t="s">
        <v>334</v>
      </c>
      <c r="L23" t="s">
        <v>245</v>
      </c>
      <c r="M23" t="s">
        <v>253</v>
      </c>
      <c r="N23" t="s">
        <v>247</v>
      </c>
      <c r="O23">
        <v>41353</v>
      </c>
      <c r="P23">
        <v>1.3</v>
      </c>
      <c r="Q23">
        <v>2.88</v>
      </c>
      <c r="R23">
        <f t="shared" si="1"/>
        <v>1.5799999999999998</v>
      </c>
      <c r="S23">
        <v>48</v>
      </c>
      <c r="T23">
        <f t="shared" si="2"/>
        <v>138.24</v>
      </c>
      <c r="U23">
        <v>7.0000000000000007E-2</v>
      </c>
      <c r="V23">
        <f t="shared" si="3"/>
        <v>9.6768000000000018</v>
      </c>
      <c r="W23">
        <f t="shared" si="4"/>
        <v>128.56319999999999</v>
      </c>
      <c r="X23">
        <v>1.01</v>
      </c>
      <c r="Y23">
        <f t="shared" si="5"/>
        <v>129.57319999999999</v>
      </c>
    </row>
    <row r="24" spans="1:25" x14ac:dyDescent="0.25">
      <c r="A24" t="s">
        <v>335</v>
      </c>
      <c r="B24">
        <v>41356</v>
      </c>
      <c r="C24" t="str">
        <f t="shared" si="0"/>
        <v>2013</v>
      </c>
      <c r="D24" t="s">
        <v>336</v>
      </c>
      <c r="E24" t="s">
        <v>337</v>
      </c>
      <c r="F24" t="s">
        <v>257</v>
      </c>
      <c r="G24" t="s">
        <v>258</v>
      </c>
      <c r="H24" t="s">
        <v>293</v>
      </c>
      <c r="I24" t="s">
        <v>275</v>
      </c>
      <c r="J24" t="s">
        <v>243</v>
      </c>
      <c r="K24" t="s">
        <v>338</v>
      </c>
      <c r="L24" t="s">
        <v>245</v>
      </c>
      <c r="M24" t="s">
        <v>253</v>
      </c>
      <c r="N24" t="s">
        <v>247</v>
      </c>
      <c r="O24">
        <v>41359</v>
      </c>
      <c r="P24">
        <v>1.82</v>
      </c>
      <c r="Q24">
        <v>2.98</v>
      </c>
      <c r="R24">
        <f t="shared" si="1"/>
        <v>1.1599999999999999</v>
      </c>
      <c r="S24">
        <v>22</v>
      </c>
      <c r="T24">
        <f t="shared" si="2"/>
        <v>65.56</v>
      </c>
      <c r="U24">
        <v>0.04</v>
      </c>
      <c r="V24">
        <f t="shared" si="3"/>
        <v>2.6224000000000003</v>
      </c>
      <c r="W24">
        <f t="shared" si="4"/>
        <v>62.937600000000003</v>
      </c>
      <c r="X24">
        <v>1.58</v>
      </c>
      <c r="Y24">
        <f t="shared" si="5"/>
        <v>64.517600000000002</v>
      </c>
    </row>
    <row r="25" spans="1:25" x14ac:dyDescent="0.25">
      <c r="A25" t="s">
        <v>339</v>
      </c>
      <c r="B25">
        <v>41359</v>
      </c>
      <c r="C25" t="str">
        <f t="shared" si="0"/>
        <v>2013</v>
      </c>
      <c r="D25" t="s">
        <v>340</v>
      </c>
      <c r="E25" t="s">
        <v>341</v>
      </c>
      <c r="F25" t="s">
        <v>257</v>
      </c>
      <c r="G25" t="s">
        <v>258</v>
      </c>
      <c r="H25" t="s">
        <v>274</v>
      </c>
      <c r="I25" t="s">
        <v>342</v>
      </c>
      <c r="J25" t="s">
        <v>294</v>
      </c>
      <c r="K25" t="s">
        <v>343</v>
      </c>
      <c r="L25" t="s">
        <v>268</v>
      </c>
      <c r="M25" t="s">
        <v>246</v>
      </c>
      <c r="N25" t="s">
        <v>247</v>
      </c>
      <c r="O25">
        <v>41361</v>
      </c>
      <c r="P25">
        <v>81.59</v>
      </c>
      <c r="Q25">
        <v>159.99</v>
      </c>
      <c r="R25">
        <f t="shared" si="1"/>
        <v>78.400000000000006</v>
      </c>
      <c r="S25">
        <v>30</v>
      </c>
      <c r="T25">
        <f t="shared" si="2"/>
        <v>4799.7000000000007</v>
      </c>
      <c r="U25">
        <v>0.01</v>
      </c>
      <c r="V25">
        <f t="shared" si="3"/>
        <v>47.997000000000007</v>
      </c>
      <c r="W25">
        <f t="shared" si="4"/>
        <v>4751.7030000000004</v>
      </c>
      <c r="X25">
        <v>5.5</v>
      </c>
      <c r="Y25">
        <f t="shared" si="5"/>
        <v>4757.2030000000004</v>
      </c>
    </row>
    <row r="26" spans="1:25" x14ac:dyDescent="0.25">
      <c r="A26" t="s">
        <v>344</v>
      </c>
      <c r="B26">
        <v>41360</v>
      </c>
      <c r="C26" t="str">
        <f t="shared" si="0"/>
        <v>2013</v>
      </c>
      <c r="D26" t="s">
        <v>345</v>
      </c>
      <c r="E26" t="s">
        <v>346</v>
      </c>
      <c r="F26" t="s">
        <v>257</v>
      </c>
      <c r="G26" t="s">
        <v>258</v>
      </c>
      <c r="H26" t="s">
        <v>241</v>
      </c>
      <c r="I26" t="s">
        <v>309</v>
      </c>
      <c r="J26" t="s">
        <v>279</v>
      </c>
      <c r="K26" t="s">
        <v>300</v>
      </c>
      <c r="L26" t="s">
        <v>245</v>
      </c>
      <c r="M26" t="s">
        <v>246</v>
      </c>
      <c r="N26" t="s">
        <v>247</v>
      </c>
      <c r="O26">
        <v>41367</v>
      </c>
      <c r="P26">
        <v>5.33</v>
      </c>
      <c r="Q26">
        <v>8.6</v>
      </c>
      <c r="R26">
        <f t="shared" si="1"/>
        <v>3.2699999999999996</v>
      </c>
      <c r="S26">
        <v>37</v>
      </c>
      <c r="T26">
        <f t="shared" si="2"/>
        <v>318.2</v>
      </c>
      <c r="U26">
        <v>0.04</v>
      </c>
      <c r="V26">
        <f t="shared" si="3"/>
        <v>12.728</v>
      </c>
      <c r="W26">
        <f t="shared" si="4"/>
        <v>305.47199999999998</v>
      </c>
      <c r="X26">
        <v>6.19</v>
      </c>
      <c r="Y26">
        <f t="shared" si="5"/>
        <v>311.66199999999998</v>
      </c>
    </row>
    <row r="27" spans="1:25" x14ac:dyDescent="0.25">
      <c r="A27" t="s">
        <v>347</v>
      </c>
      <c r="B27">
        <v>41360</v>
      </c>
      <c r="C27" t="str">
        <f t="shared" si="0"/>
        <v>2013</v>
      </c>
      <c r="D27" t="s">
        <v>348</v>
      </c>
      <c r="E27" t="s">
        <v>332</v>
      </c>
      <c r="F27" t="s">
        <v>257</v>
      </c>
      <c r="G27" t="s">
        <v>258</v>
      </c>
      <c r="H27" t="s">
        <v>293</v>
      </c>
      <c r="I27" t="s">
        <v>333</v>
      </c>
      <c r="J27" t="s">
        <v>304</v>
      </c>
      <c r="K27" t="s">
        <v>349</v>
      </c>
      <c r="L27" t="s">
        <v>245</v>
      </c>
      <c r="M27" t="s">
        <v>246</v>
      </c>
      <c r="N27" t="s">
        <v>247</v>
      </c>
      <c r="O27">
        <v>41360</v>
      </c>
      <c r="P27">
        <v>3.52</v>
      </c>
      <c r="Q27">
        <v>5.68</v>
      </c>
      <c r="R27">
        <f t="shared" si="1"/>
        <v>2.1599999999999997</v>
      </c>
      <c r="S27">
        <v>24</v>
      </c>
      <c r="T27">
        <f t="shared" si="2"/>
        <v>136.32</v>
      </c>
      <c r="U27">
        <v>0.06</v>
      </c>
      <c r="V27">
        <f t="shared" si="3"/>
        <v>8.1791999999999998</v>
      </c>
      <c r="W27">
        <f t="shared" si="4"/>
        <v>128.14079999999998</v>
      </c>
      <c r="X27">
        <v>1.39</v>
      </c>
      <c r="Y27">
        <f t="shared" si="5"/>
        <v>129.53079999999997</v>
      </c>
    </row>
    <row r="28" spans="1:25" x14ac:dyDescent="0.25">
      <c r="A28" t="s">
        <v>350</v>
      </c>
      <c r="B28">
        <v>41363</v>
      </c>
      <c r="C28" t="str">
        <f t="shared" si="0"/>
        <v>2013</v>
      </c>
      <c r="D28" t="s">
        <v>351</v>
      </c>
      <c r="E28" t="s">
        <v>352</v>
      </c>
      <c r="F28" t="s">
        <v>257</v>
      </c>
      <c r="G28" t="s">
        <v>258</v>
      </c>
      <c r="H28" t="s">
        <v>259</v>
      </c>
      <c r="I28" t="s">
        <v>275</v>
      </c>
      <c r="J28" t="s">
        <v>294</v>
      </c>
      <c r="K28" t="s">
        <v>353</v>
      </c>
      <c r="L28" t="s">
        <v>245</v>
      </c>
      <c r="M28" t="s">
        <v>323</v>
      </c>
      <c r="N28" t="s">
        <v>247</v>
      </c>
      <c r="O28">
        <v>41364</v>
      </c>
      <c r="P28">
        <v>0.94</v>
      </c>
      <c r="Q28">
        <v>2.08</v>
      </c>
      <c r="R28">
        <f t="shared" si="1"/>
        <v>1.1400000000000001</v>
      </c>
      <c r="S28">
        <v>4</v>
      </c>
      <c r="T28">
        <f t="shared" si="2"/>
        <v>8.32</v>
      </c>
      <c r="U28">
        <v>0.02</v>
      </c>
      <c r="V28">
        <f t="shared" si="3"/>
        <v>0.16640000000000002</v>
      </c>
      <c r="W28">
        <f t="shared" si="4"/>
        <v>8.1536000000000008</v>
      </c>
      <c r="X28">
        <v>2.56</v>
      </c>
      <c r="Y28">
        <f t="shared" si="5"/>
        <v>10.713600000000001</v>
      </c>
    </row>
    <row r="29" spans="1:25" x14ac:dyDescent="0.25">
      <c r="A29" t="s">
        <v>354</v>
      </c>
      <c r="B29">
        <v>41383</v>
      </c>
      <c r="C29" t="str">
        <f t="shared" si="0"/>
        <v>2013</v>
      </c>
      <c r="D29" t="s">
        <v>355</v>
      </c>
      <c r="E29" t="s">
        <v>356</v>
      </c>
      <c r="F29" t="s">
        <v>239</v>
      </c>
      <c r="G29" t="s">
        <v>240</v>
      </c>
      <c r="H29" t="s">
        <v>259</v>
      </c>
      <c r="I29" t="s">
        <v>251</v>
      </c>
      <c r="J29" t="s">
        <v>294</v>
      </c>
      <c r="K29" t="s">
        <v>300</v>
      </c>
      <c r="L29" t="s">
        <v>245</v>
      </c>
      <c r="M29" t="s">
        <v>246</v>
      </c>
      <c r="N29" t="s">
        <v>247</v>
      </c>
      <c r="O29">
        <v>41384</v>
      </c>
      <c r="P29">
        <v>5.33</v>
      </c>
      <c r="Q29">
        <v>8.6</v>
      </c>
      <c r="R29">
        <f t="shared" si="1"/>
        <v>3.2699999999999996</v>
      </c>
      <c r="S29">
        <v>36</v>
      </c>
      <c r="T29">
        <f t="shared" si="2"/>
        <v>309.59999999999997</v>
      </c>
      <c r="U29">
        <v>0.06</v>
      </c>
      <c r="V29">
        <f t="shared" si="3"/>
        <v>18.575999999999997</v>
      </c>
      <c r="W29">
        <f t="shared" si="4"/>
        <v>291.02399999999994</v>
      </c>
      <c r="X29">
        <v>6.19</v>
      </c>
      <c r="Y29">
        <f t="shared" si="5"/>
        <v>297.21399999999994</v>
      </c>
    </row>
    <row r="30" spans="1:25" x14ac:dyDescent="0.25">
      <c r="A30" t="s">
        <v>357</v>
      </c>
      <c r="B30">
        <v>41384</v>
      </c>
      <c r="C30" t="str">
        <f t="shared" si="0"/>
        <v>2013</v>
      </c>
      <c r="D30" t="s">
        <v>358</v>
      </c>
      <c r="E30" t="s">
        <v>359</v>
      </c>
      <c r="F30" t="s">
        <v>239</v>
      </c>
      <c r="G30" t="s">
        <v>240</v>
      </c>
      <c r="H30" t="s">
        <v>293</v>
      </c>
      <c r="I30" t="s">
        <v>251</v>
      </c>
      <c r="J30" t="s">
        <v>294</v>
      </c>
      <c r="K30" t="s">
        <v>360</v>
      </c>
      <c r="L30" t="s">
        <v>245</v>
      </c>
      <c r="M30" t="s">
        <v>253</v>
      </c>
      <c r="N30" t="s">
        <v>247</v>
      </c>
      <c r="O30">
        <v>41386</v>
      </c>
      <c r="P30">
        <v>2.52</v>
      </c>
      <c r="Q30">
        <v>4</v>
      </c>
      <c r="R30">
        <f t="shared" si="1"/>
        <v>1.48</v>
      </c>
      <c r="S30">
        <v>31</v>
      </c>
      <c r="T30">
        <f t="shared" si="2"/>
        <v>124</v>
      </c>
      <c r="U30">
        <v>0.01</v>
      </c>
      <c r="V30">
        <f t="shared" si="3"/>
        <v>1.24</v>
      </c>
      <c r="W30">
        <f t="shared" si="4"/>
        <v>122.76</v>
      </c>
      <c r="X30">
        <v>1.3</v>
      </c>
      <c r="Y30">
        <f t="shared" si="5"/>
        <v>124.06</v>
      </c>
    </row>
    <row r="31" spans="1:25" x14ac:dyDescent="0.25">
      <c r="A31" t="s">
        <v>361</v>
      </c>
      <c r="B31">
        <v>41391</v>
      </c>
      <c r="C31" t="str">
        <f t="shared" si="0"/>
        <v>2013</v>
      </c>
      <c r="D31" t="s">
        <v>362</v>
      </c>
      <c r="E31" t="s">
        <v>363</v>
      </c>
      <c r="F31" t="s">
        <v>257</v>
      </c>
      <c r="G31" t="s">
        <v>258</v>
      </c>
      <c r="H31" t="s">
        <v>241</v>
      </c>
      <c r="I31" t="s">
        <v>284</v>
      </c>
      <c r="J31" t="s">
        <v>243</v>
      </c>
      <c r="K31" t="s">
        <v>364</v>
      </c>
      <c r="L31" t="s">
        <v>245</v>
      </c>
      <c r="M31" t="s">
        <v>246</v>
      </c>
      <c r="N31" t="s">
        <v>263</v>
      </c>
      <c r="O31">
        <v>41392</v>
      </c>
      <c r="P31">
        <v>7.61</v>
      </c>
      <c r="Q31">
        <v>12.28</v>
      </c>
      <c r="R31">
        <f t="shared" si="1"/>
        <v>4.669999999999999</v>
      </c>
      <c r="S31">
        <v>29</v>
      </c>
      <c r="T31">
        <f t="shared" si="2"/>
        <v>356.12</v>
      </c>
      <c r="U31">
        <v>0</v>
      </c>
      <c r="V31">
        <f t="shared" si="3"/>
        <v>0</v>
      </c>
      <c r="W31">
        <f t="shared" si="4"/>
        <v>356.12</v>
      </c>
      <c r="X31">
        <v>6.35</v>
      </c>
      <c r="Y31">
        <f t="shared" si="5"/>
        <v>362.47</v>
      </c>
    </row>
    <row r="32" spans="1:25" x14ac:dyDescent="0.25">
      <c r="A32" t="s">
        <v>365</v>
      </c>
      <c r="B32">
        <v>41392</v>
      </c>
      <c r="C32" t="str">
        <f t="shared" si="0"/>
        <v>2013</v>
      </c>
      <c r="D32" t="s">
        <v>366</v>
      </c>
      <c r="E32" t="s">
        <v>367</v>
      </c>
      <c r="F32" t="s">
        <v>239</v>
      </c>
      <c r="G32" t="s">
        <v>240</v>
      </c>
      <c r="H32" t="s">
        <v>259</v>
      </c>
      <c r="I32" t="s">
        <v>251</v>
      </c>
      <c r="J32" t="s">
        <v>304</v>
      </c>
      <c r="K32" t="s">
        <v>368</v>
      </c>
      <c r="L32" t="s">
        <v>245</v>
      </c>
      <c r="M32" t="s">
        <v>246</v>
      </c>
      <c r="N32" t="s">
        <v>247</v>
      </c>
      <c r="O32">
        <v>41394</v>
      </c>
      <c r="P32">
        <v>1.59</v>
      </c>
      <c r="Q32">
        <v>2.61</v>
      </c>
      <c r="R32">
        <f t="shared" si="1"/>
        <v>1.0199999999999998</v>
      </c>
      <c r="S32">
        <v>9</v>
      </c>
      <c r="T32">
        <f t="shared" si="2"/>
        <v>23.49</v>
      </c>
      <c r="U32">
        <v>0.06</v>
      </c>
      <c r="V32">
        <f t="shared" si="3"/>
        <v>1.4093999999999998</v>
      </c>
      <c r="W32">
        <f t="shared" si="4"/>
        <v>22.080599999999997</v>
      </c>
      <c r="X32">
        <v>0.5</v>
      </c>
      <c r="Y32">
        <f t="shared" si="5"/>
        <v>22.580599999999997</v>
      </c>
    </row>
    <row r="33" spans="1:25" x14ac:dyDescent="0.25">
      <c r="A33" t="s">
        <v>369</v>
      </c>
      <c r="B33">
        <v>41392</v>
      </c>
      <c r="C33" t="str">
        <f t="shared" si="0"/>
        <v>2013</v>
      </c>
      <c r="D33" t="s">
        <v>370</v>
      </c>
      <c r="E33" t="s">
        <v>371</v>
      </c>
      <c r="F33" t="s">
        <v>257</v>
      </c>
      <c r="G33" t="s">
        <v>258</v>
      </c>
      <c r="H33" t="s">
        <v>259</v>
      </c>
      <c r="I33" t="s">
        <v>372</v>
      </c>
      <c r="J33" t="s">
        <v>304</v>
      </c>
      <c r="K33" t="s">
        <v>373</v>
      </c>
      <c r="L33" t="s">
        <v>268</v>
      </c>
      <c r="M33" t="s">
        <v>246</v>
      </c>
      <c r="N33" t="s">
        <v>247</v>
      </c>
      <c r="O33">
        <v>41392</v>
      </c>
      <c r="P33">
        <v>6.39</v>
      </c>
      <c r="Q33">
        <v>19.98</v>
      </c>
      <c r="R33">
        <f t="shared" si="1"/>
        <v>13.59</v>
      </c>
      <c r="S33">
        <v>7</v>
      </c>
      <c r="T33">
        <f t="shared" si="2"/>
        <v>139.86000000000001</v>
      </c>
      <c r="U33">
        <v>0.01</v>
      </c>
      <c r="V33">
        <f t="shared" si="3"/>
        <v>1.3986000000000001</v>
      </c>
      <c r="W33">
        <f t="shared" si="4"/>
        <v>138.46140000000003</v>
      </c>
      <c r="X33">
        <v>4</v>
      </c>
      <c r="Y33">
        <f t="shared" si="5"/>
        <v>142.46140000000003</v>
      </c>
    </row>
    <row r="34" spans="1:25" x14ac:dyDescent="0.25">
      <c r="A34" t="s">
        <v>374</v>
      </c>
      <c r="B34">
        <v>41394</v>
      </c>
      <c r="C34" t="str">
        <f t="shared" si="0"/>
        <v>2013</v>
      </c>
      <c r="D34" t="s">
        <v>375</v>
      </c>
      <c r="E34" t="s">
        <v>376</v>
      </c>
      <c r="F34" t="s">
        <v>239</v>
      </c>
      <c r="G34" t="s">
        <v>240</v>
      </c>
      <c r="H34" t="s">
        <v>259</v>
      </c>
      <c r="I34" t="s">
        <v>242</v>
      </c>
      <c r="J34" t="s">
        <v>304</v>
      </c>
      <c r="K34" t="s">
        <v>377</v>
      </c>
      <c r="L34" t="s">
        <v>268</v>
      </c>
      <c r="M34" t="s">
        <v>246</v>
      </c>
      <c r="N34" t="s">
        <v>263</v>
      </c>
      <c r="O34">
        <v>41395</v>
      </c>
      <c r="P34">
        <v>32.020000000000003</v>
      </c>
      <c r="Q34">
        <v>152.47999999999999</v>
      </c>
      <c r="R34">
        <f t="shared" si="1"/>
        <v>120.45999999999998</v>
      </c>
      <c r="S34">
        <v>16</v>
      </c>
      <c r="T34">
        <f t="shared" si="2"/>
        <v>2439.6799999999998</v>
      </c>
      <c r="U34">
        <v>0.1</v>
      </c>
      <c r="V34">
        <f t="shared" si="3"/>
        <v>243.96799999999999</v>
      </c>
      <c r="W34">
        <f t="shared" si="4"/>
        <v>2195.712</v>
      </c>
      <c r="X34">
        <v>4</v>
      </c>
      <c r="Y34">
        <f t="shared" si="5"/>
        <v>2199.712</v>
      </c>
    </row>
    <row r="35" spans="1:25" x14ac:dyDescent="0.25">
      <c r="A35" t="s">
        <v>378</v>
      </c>
      <c r="B35">
        <v>41394</v>
      </c>
      <c r="C35" t="str">
        <f t="shared" si="0"/>
        <v>2013</v>
      </c>
      <c r="D35" t="s">
        <v>379</v>
      </c>
      <c r="E35" t="s">
        <v>380</v>
      </c>
      <c r="F35" t="s">
        <v>257</v>
      </c>
      <c r="G35" t="s">
        <v>258</v>
      </c>
      <c r="H35" t="s">
        <v>293</v>
      </c>
      <c r="I35" t="s">
        <v>381</v>
      </c>
      <c r="J35" t="s">
        <v>294</v>
      </c>
      <c r="K35" t="s">
        <v>364</v>
      </c>
      <c r="L35" t="s">
        <v>245</v>
      </c>
      <c r="M35" t="s">
        <v>246</v>
      </c>
      <c r="N35" t="s">
        <v>247</v>
      </c>
      <c r="O35">
        <v>41396</v>
      </c>
      <c r="P35">
        <v>7.61</v>
      </c>
      <c r="Q35">
        <v>12.28</v>
      </c>
      <c r="R35">
        <f t="shared" si="1"/>
        <v>4.669999999999999</v>
      </c>
      <c r="S35">
        <v>27</v>
      </c>
      <c r="T35">
        <f t="shared" si="2"/>
        <v>331.56</v>
      </c>
      <c r="U35">
        <v>0.03</v>
      </c>
      <c r="V35">
        <f t="shared" si="3"/>
        <v>9.9467999999999996</v>
      </c>
      <c r="W35">
        <f t="shared" si="4"/>
        <v>321.61320000000001</v>
      </c>
      <c r="X35">
        <v>6.35</v>
      </c>
      <c r="Y35">
        <f t="shared" si="5"/>
        <v>327.96320000000003</v>
      </c>
    </row>
    <row r="36" spans="1:25" x14ac:dyDescent="0.25">
      <c r="A36" t="s">
        <v>382</v>
      </c>
      <c r="B36">
        <v>41394</v>
      </c>
      <c r="C36" t="str">
        <f t="shared" si="0"/>
        <v>2013</v>
      </c>
      <c r="D36" t="s">
        <v>383</v>
      </c>
      <c r="E36" t="s">
        <v>292</v>
      </c>
      <c r="F36" t="s">
        <v>257</v>
      </c>
      <c r="G36" t="s">
        <v>258</v>
      </c>
      <c r="H36" t="s">
        <v>274</v>
      </c>
      <c r="I36" t="s">
        <v>260</v>
      </c>
      <c r="J36" t="s">
        <v>294</v>
      </c>
      <c r="K36" t="s">
        <v>384</v>
      </c>
      <c r="L36" t="s">
        <v>268</v>
      </c>
      <c r="M36" t="s">
        <v>246</v>
      </c>
      <c r="N36" t="s">
        <v>247</v>
      </c>
      <c r="O36">
        <v>41396</v>
      </c>
      <c r="P36">
        <v>10.07</v>
      </c>
      <c r="Q36">
        <v>15.98</v>
      </c>
      <c r="R36">
        <f t="shared" si="1"/>
        <v>5.91</v>
      </c>
      <c r="S36">
        <v>39</v>
      </c>
      <c r="T36">
        <f t="shared" si="2"/>
        <v>623.22</v>
      </c>
      <c r="U36">
        <v>0.09</v>
      </c>
      <c r="V36">
        <f t="shared" si="3"/>
        <v>56.089800000000004</v>
      </c>
      <c r="W36">
        <f t="shared" si="4"/>
        <v>567.13020000000006</v>
      </c>
      <c r="X36">
        <v>4</v>
      </c>
      <c r="Y36">
        <f t="shared" si="5"/>
        <v>571.13020000000006</v>
      </c>
    </row>
    <row r="37" spans="1:25" x14ac:dyDescent="0.25">
      <c r="A37" t="s">
        <v>385</v>
      </c>
      <c r="B37">
        <v>41395</v>
      </c>
      <c r="C37" t="str">
        <f t="shared" si="0"/>
        <v>2013</v>
      </c>
      <c r="D37" t="s">
        <v>386</v>
      </c>
      <c r="E37" t="s">
        <v>266</v>
      </c>
      <c r="F37" t="s">
        <v>239</v>
      </c>
      <c r="G37" t="s">
        <v>240</v>
      </c>
      <c r="H37" t="s">
        <v>259</v>
      </c>
      <c r="I37" t="s">
        <v>242</v>
      </c>
      <c r="J37" t="s">
        <v>294</v>
      </c>
      <c r="K37" t="s">
        <v>387</v>
      </c>
      <c r="L37" t="s">
        <v>245</v>
      </c>
      <c r="M37" t="s">
        <v>323</v>
      </c>
      <c r="N37" t="s">
        <v>247</v>
      </c>
      <c r="O37">
        <v>41397</v>
      </c>
      <c r="P37">
        <v>4.79</v>
      </c>
      <c r="Q37">
        <v>11.97</v>
      </c>
      <c r="R37">
        <f t="shared" si="1"/>
        <v>7.1800000000000006</v>
      </c>
      <c r="S37">
        <v>7</v>
      </c>
      <c r="T37">
        <f t="shared" si="2"/>
        <v>83.79</v>
      </c>
      <c r="U37">
        <v>0.05</v>
      </c>
      <c r="V37">
        <f t="shared" si="3"/>
        <v>4.1895000000000007</v>
      </c>
      <c r="W37">
        <f t="shared" si="4"/>
        <v>79.600500000000011</v>
      </c>
      <c r="X37">
        <v>5.81</v>
      </c>
      <c r="Y37">
        <f t="shared" si="5"/>
        <v>85.410500000000013</v>
      </c>
    </row>
    <row r="38" spans="1:25" x14ac:dyDescent="0.25">
      <c r="A38" t="s">
        <v>388</v>
      </c>
      <c r="B38">
        <v>41396</v>
      </c>
      <c r="C38" t="str">
        <f t="shared" si="0"/>
        <v>2013</v>
      </c>
      <c r="D38" t="s">
        <v>389</v>
      </c>
      <c r="E38" t="s">
        <v>376</v>
      </c>
      <c r="F38" t="s">
        <v>239</v>
      </c>
      <c r="G38" t="s">
        <v>240</v>
      </c>
      <c r="H38" t="s">
        <v>241</v>
      </c>
      <c r="I38" t="s">
        <v>242</v>
      </c>
      <c r="J38" t="s">
        <v>294</v>
      </c>
      <c r="K38" t="s">
        <v>390</v>
      </c>
      <c r="L38" t="s">
        <v>245</v>
      </c>
      <c r="M38" t="s">
        <v>246</v>
      </c>
      <c r="N38" t="s">
        <v>247</v>
      </c>
      <c r="O38">
        <v>41397</v>
      </c>
      <c r="P38">
        <v>8.7100000000000009</v>
      </c>
      <c r="Q38">
        <v>14.28</v>
      </c>
      <c r="R38">
        <f t="shared" si="1"/>
        <v>5.5699999999999985</v>
      </c>
      <c r="S38">
        <v>42</v>
      </c>
      <c r="T38">
        <f t="shared" si="2"/>
        <v>599.76</v>
      </c>
      <c r="U38">
        <v>0.1</v>
      </c>
      <c r="V38">
        <f t="shared" si="3"/>
        <v>59.975999999999999</v>
      </c>
      <c r="W38">
        <f t="shared" si="4"/>
        <v>539.78399999999999</v>
      </c>
      <c r="X38">
        <v>2.99</v>
      </c>
      <c r="Y38">
        <f t="shared" si="5"/>
        <v>542.774</v>
      </c>
    </row>
    <row r="39" spans="1:25" x14ac:dyDescent="0.25">
      <c r="A39" t="s">
        <v>391</v>
      </c>
      <c r="B39">
        <v>41396</v>
      </c>
      <c r="C39" t="str">
        <f t="shared" si="0"/>
        <v>2013</v>
      </c>
      <c r="D39" t="s">
        <v>392</v>
      </c>
      <c r="E39" t="s">
        <v>393</v>
      </c>
      <c r="F39" t="s">
        <v>257</v>
      </c>
      <c r="G39" t="s">
        <v>258</v>
      </c>
      <c r="H39" t="s">
        <v>293</v>
      </c>
      <c r="I39" t="s">
        <v>342</v>
      </c>
      <c r="J39" t="s">
        <v>261</v>
      </c>
      <c r="K39" t="s">
        <v>295</v>
      </c>
      <c r="L39" t="s">
        <v>245</v>
      </c>
      <c r="M39" t="s">
        <v>246</v>
      </c>
      <c r="N39" t="s">
        <v>247</v>
      </c>
      <c r="O39">
        <v>41397</v>
      </c>
      <c r="P39">
        <v>54.29</v>
      </c>
      <c r="Q39">
        <v>90.48</v>
      </c>
      <c r="R39">
        <f t="shared" si="1"/>
        <v>36.190000000000005</v>
      </c>
      <c r="S39">
        <v>15</v>
      </c>
      <c r="T39">
        <f t="shared" si="2"/>
        <v>1357.2</v>
      </c>
      <c r="U39">
        <v>0.05</v>
      </c>
      <c r="V39">
        <f t="shared" si="3"/>
        <v>67.86</v>
      </c>
      <c r="W39">
        <f t="shared" si="4"/>
        <v>1289.3400000000001</v>
      </c>
      <c r="X39">
        <v>19.989999999999998</v>
      </c>
      <c r="Y39">
        <f t="shared" si="5"/>
        <v>1309.3300000000002</v>
      </c>
    </row>
    <row r="40" spans="1:25" x14ac:dyDescent="0.25">
      <c r="A40" t="s">
        <v>394</v>
      </c>
      <c r="B40">
        <v>41397</v>
      </c>
      <c r="C40" t="str">
        <f t="shared" si="0"/>
        <v>2013</v>
      </c>
      <c r="D40" t="s">
        <v>395</v>
      </c>
      <c r="E40" t="s">
        <v>396</v>
      </c>
      <c r="F40" t="s">
        <v>257</v>
      </c>
      <c r="G40" t="s">
        <v>258</v>
      </c>
      <c r="H40" t="s">
        <v>293</v>
      </c>
      <c r="I40" t="s">
        <v>372</v>
      </c>
      <c r="J40" t="s">
        <v>261</v>
      </c>
      <c r="K40" t="s">
        <v>349</v>
      </c>
      <c r="L40" t="s">
        <v>245</v>
      </c>
      <c r="M40" t="s">
        <v>246</v>
      </c>
      <c r="N40" t="s">
        <v>247</v>
      </c>
      <c r="O40">
        <v>41399</v>
      </c>
      <c r="P40">
        <v>3.52</v>
      </c>
      <c r="Q40">
        <v>5.68</v>
      </c>
      <c r="R40">
        <f t="shared" si="1"/>
        <v>2.1599999999999997</v>
      </c>
      <c r="S40">
        <v>20</v>
      </c>
      <c r="T40">
        <f t="shared" si="2"/>
        <v>113.6</v>
      </c>
      <c r="U40">
        <v>7.0000000000000007E-2</v>
      </c>
      <c r="V40">
        <f t="shared" si="3"/>
        <v>7.952</v>
      </c>
      <c r="W40">
        <f t="shared" si="4"/>
        <v>105.648</v>
      </c>
      <c r="X40">
        <v>1.39</v>
      </c>
      <c r="Y40">
        <f t="shared" si="5"/>
        <v>107.038</v>
      </c>
    </row>
    <row r="41" spans="1:25" x14ac:dyDescent="0.25">
      <c r="A41" t="s">
        <v>397</v>
      </c>
      <c r="B41">
        <v>41398</v>
      </c>
      <c r="C41" t="str">
        <f t="shared" si="0"/>
        <v>2013</v>
      </c>
      <c r="D41" t="s">
        <v>398</v>
      </c>
      <c r="E41" t="s">
        <v>308</v>
      </c>
      <c r="F41" t="s">
        <v>257</v>
      </c>
      <c r="G41" t="s">
        <v>258</v>
      </c>
      <c r="H41" t="s">
        <v>259</v>
      </c>
      <c r="I41" t="s">
        <v>309</v>
      </c>
      <c r="J41" t="s">
        <v>261</v>
      </c>
      <c r="K41" t="s">
        <v>399</v>
      </c>
      <c r="L41" t="s">
        <v>245</v>
      </c>
      <c r="M41" t="s">
        <v>253</v>
      </c>
      <c r="N41" t="s">
        <v>247</v>
      </c>
      <c r="O41">
        <v>41400</v>
      </c>
      <c r="P41">
        <v>3.47</v>
      </c>
      <c r="Q41">
        <v>6.68</v>
      </c>
      <c r="R41">
        <f t="shared" si="1"/>
        <v>3.2099999999999995</v>
      </c>
      <c r="S41">
        <v>41</v>
      </c>
      <c r="T41">
        <f t="shared" si="2"/>
        <v>273.88</v>
      </c>
      <c r="U41">
        <v>0.08</v>
      </c>
      <c r="V41">
        <f t="shared" si="3"/>
        <v>21.910399999999999</v>
      </c>
      <c r="W41">
        <f t="shared" si="4"/>
        <v>251.96959999999999</v>
      </c>
      <c r="X41">
        <v>1.5</v>
      </c>
      <c r="Y41">
        <f t="shared" si="5"/>
        <v>253.46959999999999</v>
      </c>
    </row>
    <row r="42" spans="1:25" x14ac:dyDescent="0.25">
      <c r="A42" t="s">
        <v>400</v>
      </c>
      <c r="B42">
        <v>41399</v>
      </c>
      <c r="C42" t="str">
        <f t="shared" si="0"/>
        <v>2013</v>
      </c>
      <c r="D42" t="s">
        <v>401</v>
      </c>
      <c r="E42" t="s">
        <v>402</v>
      </c>
      <c r="F42" t="s">
        <v>257</v>
      </c>
      <c r="G42" t="s">
        <v>258</v>
      </c>
      <c r="H42" t="s">
        <v>259</v>
      </c>
      <c r="I42" t="s">
        <v>333</v>
      </c>
      <c r="J42" t="s">
        <v>304</v>
      </c>
      <c r="K42" t="s">
        <v>403</v>
      </c>
      <c r="L42" t="s">
        <v>268</v>
      </c>
      <c r="M42" t="s">
        <v>323</v>
      </c>
      <c r="N42" t="s">
        <v>247</v>
      </c>
      <c r="O42">
        <v>41400</v>
      </c>
      <c r="P42">
        <v>1.87</v>
      </c>
      <c r="Q42">
        <v>2.2253000000000003</v>
      </c>
      <c r="R42">
        <f t="shared" si="1"/>
        <v>0.35530000000000017</v>
      </c>
      <c r="S42">
        <v>41</v>
      </c>
      <c r="T42">
        <f t="shared" si="2"/>
        <v>91.237300000000005</v>
      </c>
      <c r="U42">
        <v>0.06</v>
      </c>
      <c r="V42">
        <f t="shared" si="3"/>
        <v>5.4742379999999997</v>
      </c>
      <c r="W42">
        <f t="shared" si="4"/>
        <v>85.763062000000005</v>
      </c>
      <c r="X42">
        <v>2.83</v>
      </c>
      <c r="Y42">
        <f t="shared" si="5"/>
        <v>88.593062000000003</v>
      </c>
    </row>
    <row r="43" spans="1:25" x14ac:dyDescent="0.25">
      <c r="A43" t="s">
        <v>404</v>
      </c>
      <c r="B43">
        <v>41399</v>
      </c>
      <c r="C43" t="str">
        <f t="shared" si="0"/>
        <v>2013</v>
      </c>
      <c r="D43" t="s">
        <v>401</v>
      </c>
      <c r="E43" t="s">
        <v>402</v>
      </c>
      <c r="F43" t="s">
        <v>257</v>
      </c>
      <c r="G43" t="s">
        <v>258</v>
      </c>
      <c r="H43" t="s">
        <v>259</v>
      </c>
      <c r="I43" t="s">
        <v>333</v>
      </c>
      <c r="J43" t="s">
        <v>304</v>
      </c>
      <c r="K43" t="s">
        <v>399</v>
      </c>
      <c r="L43" t="s">
        <v>245</v>
      </c>
      <c r="M43" t="s">
        <v>253</v>
      </c>
      <c r="N43" t="s">
        <v>247</v>
      </c>
      <c r="O43">
        <v>41400</v>
      </c>
      <c r="P43">
        <v>3.47</v>
      </c>
      <c r="Q43">
        <v>6.68</v>
      </c>
      <c r="R43">
        <f t="shared" si="1"/>
        <v>3.2099999999999995</v>
      </c>
      <c r="S43">
        <v>2</v>
      </c>
      <c r="T43">
        <f t="shared" si="2"/>
        <v>13.36</v>
      </c>
      <c r="U43">
        <v>0.01</v>
      </c>
      <c r="V43">
        <f t="shared" si="3"/>
        <v>0.1336</v>
      </c>
      <c r="W43">
        <f t="shared" si="4"/>
        <v>13.2264</v>
      </c>
      <c r="X43">
        <v>1.5</v>
      </c>
      <c r="Y43">
        <f t="shared" si="5"/>
        <v>14.7264</v>
      </c>
    </row>
    <row r="44" spans="1:25" x14ac:dyDescent="0.25">
      <c r="A44" t="s">
        <v>405</v>
      </c>
      <c r="B44">
        <v>41399</v>
      </c>
      <c r="C44" t="str">
        <f t="shared" si="0"/>
        <v>2013</v>
      </c>
      <c r="D44" t="s">
        <v>406</v>
      </c>
      <c r="E44" t="s">
        <v>238</v>
      </c>
      <c r="F44" t="s">
        <v>239</v>
      </c>
      <c r="G44" t="s">
        <v>240</v>
      </c>
      <c r="H44" t="s">
        <v>259</v>
      </c>
      <c r="I44" t="s">
        <v>242</v>
      </c>
      <c r="J44" t="s">
        <v>279</v>
      </c>
      <c r="K44" t="s">
        <v>384</v>
      </c>
      <c r="L44" t="s">
        <v>268</v>
      </c>
      <c r="M44" t="s">
        <v>246</v>
      </c>
      <c r="N44" t="s">
        <v>247</v>
      </c>
      <c r="O44">
        <v>41404</v>
      </c>
      <c r="P44">
        <v>10.07</v>
      </c>
      <c r="Q44">
        <v>15.98</v>
      </c>
      <c r="R44">
        <f t="shared" si="1"/>
        <v>5.91</v>
      </c>
      <c r="S44">
        <v>34</v>
      </c>
      <c r="T44">
        <f t="shared" si="2"/>
        <v>543.32000000000005</v>
      </c>
      <c r="U44">
        <v>0.1</v>
      </c>
      <c r="V44">
        <f t="shared" si="3"/>
        <v>54.332000000000008</v>
      </c>
      <c r="W44">
        <f t="shared" si="4"/>
        <v>488.98800000000006</v>
      </c>
      <c r="X44">
        <v>4</v>
      </c>
      <c r="Y44">
        <f t="shared" si="5"/>
        <v>492.98800000000006</v>
      </c>
    </row>
    <row r="45" spans="1:25" x14ac:dyDescent="0.25">
      <c r="A45" t="s">
        <v>407</v>
      </c>
      <c r="B45">
        <v>41401</v>
      </c>
      <c r="C45" t="str">
        <f t="shared" si="0"/>
        <v>2013</v>
      </c>
      <c r="D45" t="s">
        <v>408</v>
      </c>
      <c r="E45" t="s">
        <v>409</v>
      </c>
      <c r="F45" t="s">
        <v>257</v>
      </c>
      <c r="G45" t="s">
        <v>258</v>
      </c>
      <c r="H45" t="s">
        <v>293</v>
      </c>
      <c r="I45" t="s">
        <v>342</v>
      </c>
      <c r="J45" t="s">
        <v>294</v>
      </c>
      <c r="K45" t="s">
        <v>387</v>
      </c>
      <c r="L45" t="s">
        <v>245</v>
      </c>
      <c r="M45" t="s">
        <v>323</v>
      </c>
      <c r="N45" t="s">
        <v>247</v>
      </c>
      <c r="O45">
        <v>41403</v>
      </c>
      <c r="P45">
        <v>4.79</v>
      </c>
      <c r="Q45">
        <v>11.97</v>
      </c>
      <c r="R45">
        <f t="shared" si="1"/>
        <v>7.1800000000000006</v>
      </c>
      <c r="S45">
        <v>18</v>
      </c>
      <c r="T45">
        <f t="shared" si="2"/>
        <v>215.46</v>
      </c>
      <c r="U45">
        <v>0.08</v>
      </c>
      <c r="V45">
        <f t="shared" si="3"/>
        <v>17.236800000000002</v>
      </c>
      <c r="W45">
        <f t="shared" si="4"/>
        <v>198.22320000000002</v>
      </c>
      <c r="X45">
        <v>5.81</v>
      </c>
      <c r="Y45">
        <f t="shared" si="5"/>
        <v>204.03320000000002</v>
      </c>
    </row>
    <row r="46" spans="1:25" x14ac:dyDescent="0.25">
      <c r="A46" t="s">
        <v>410</v>
      </c>
      <c r="B46">
        <v>41403</v>
      </c>
      <c r="C46" t="str">
        <f t="shared" si="0"/>
        <v>2013</v>
      </c>
      <c r="D46" t="s">
        <v>411</v>
      </c>
      <c r="E46" t="s">
        <v>412</v>
      </c>
      <c r="F46" t="s">
        <v>257</v>
      </c>
      <c r="G46" t="s">
        <v>258</v>
      </c>
      <c r="H46" t="s">
        <v>241</v>
      </c>
      <c r="I46" t="s">
        <v>342</v>
      </c>
      <c r="J46" t="s">
        <v>261</v>
      </c>
      <c r="K46" t="s">
        <v>413</v>
      </c>
      <c r="L46" t="s">
        <v>268</v>
      </c>
      <c r="M46" t="s">
        <v>414</v>
      </c>
      <c r="N46" t="s">
        <v>263</v>
      </c>
      <c r="O46">
        <v>41404</v>
      </c>
      <c r="P46">
        <v>8.82</v>
      </c>
      <c r="Q46">
        <v>20.99</v>
      </c>
      <c r="R46">
        <f t="shared" si="1"/>
        <v>12.169999999999998</v>
      </c>
      <c r="S46">
        <v>8</v>
      </c>
      <c r="T46">
        <f t="shared" si="2"/>
        <v>167.92</v>
      </c>
      <c r="U46">
        <v>0.09</v>
      </c>
      <c r="V46">
        <f t="shared" si="3"/>
        <v>15.112799999999998</v>
      </c>
      <c r="W46">
        <f t="shared" si="4"/>
        <v>152.80719999999999</v>
      </c>
      <c r="X46">
        <v>4.8099999999999996</v>
      </c>
      <c r="Y46">
        <f t="shared" si="5"/>
        <v>157.6172</v>
      </c>
    </row>
    <row r="47" spans="1:25" x14ac:dyDescent="0.25">
      <c r="A47" t="s">
        <v>415</v>
      </c>
      <c r="B47">
        <v>41403</v>
      </c>
      <c r="C47" t="str">
        <f t="shared" si="0"/>
        <v>2013</v>
      </c>
      <c r="D47" t="s">
        <v>416</v>
      </c>
      <c r="E47" t="s">
        <v>359</v>
      </c>
      <c r="F47" t="s">
        <v>239</v>
      </c>
      <c r="G47" t="s">
        <v>240</v>
      </c>
      <c r="H47" t="s">
        <v>274</v>
      </c>
      <c r="I47" t="s">
        <v>251</v>
      </c>
      <c r="J47" t="s">
        <v>261</v>
      </c>
      <c r="K47" t="s">
        <v>289</v>
      </c>
      <c r="L47" t="s">
        <v>245</v>
      </c>
      <c r="M47" t="s">
        <v>253</v>
      </c>
      <c r="N47" t="s">
        <v>247</v>
      </c>
      <c r="O47">
        <v>41405</v>
      </c>
      <c r="P47">
        <v>1.0900000000000001</v>
      </c>
      <c r="Q47">
        <v>1.68</v>
      </c>
      <c r="R47">
        <f t="shared" si="1"/>
        <v>0.58999999999999986</v>
      </c>
      <c r="S47">
        <v>18</v>
      </c>
      <c r="T47">
        <f t="shared" si="2"/>
        <v>30.24</v>
      </c>
      <c r="U47">
        <v>0.06</v>
      </c>
      <c r="V47">
        <f t="shared" si="3"/>
        <v>1.8143999999999998</v>
      </c>
      <c r="W47">
        <f t="shared" si="4"/>
        <v>28.425599999999999</v>
      </c>
      <c r="X47">
        <v>1</v>
      </c>
      <c r="Y47">
        <f t="shared" si="5"/>
        <v>29.425599999999999</v>
      </c>
    </row>
    <row r="48" spans="1:25" x14ac:dyDescent="0.25">
      <c r="A48" t="s">
        <v>417</v>
      </c>
      <c r="B48">
        <v>41407</v>
      </c>
      <c r="C48" t="str">
        <f t="shared" si="0"/>
        <v>2013</v>
      </c>
      <c r="D48" t="s">
        <v>249</v>
      </c>
      <c r="E48" t="s">
        <v>250</v>
      </c>
      <c r="F48" t="s">
        <v>239</v>
      </c>
      <c r="G48" t="s">
        <v>240</v>
      </c>
      <c r="H48" t="s">
        <v>241</v>
      </c>
      <c r="I48" t="s">
        <v>251</v>
      </c>
      <c r="J48" t="s">
        <v>304</v>
      </c>
      <c r="K48" t="s">
        <v>360</v>
      </c>
      <c r="L48" t="s">
        <v>245</v>
      </c>
      <c r="M48" t="s">
        <v>253</v>
      </c>
      <c r="N48" t="s">
        <v>263</v>
      </c>
      <c r="O48">
        <v>41409</v>
      </c>
      <c r="P48">
        <v>2.52</v>
      </c>
      <c r="Q48">
        <v>4</v>
      </c>
      <c r="R48">
        <f t="shared" si="1"/>
        <v>1.48</v>
      </c>
      <c r="S48">
        <v>19</v>
      </c>
      <c r="T48">
        <f t="shared" si="2"/>
        <v>76</v>
      </c>
      <c r="U48">
        <v>0.09</v>
      </c>
      <c r="V48">
        <f t="shared" si="3"/>
        <v>6.84</v>
      </c>
      <c r="W48">
        <f t="shared" si="4"/>
        <v>69.16</v>
      </c>
      <c r="X48">
        <v>1.3</v>
      </c>
      <c r="Y48">
        <f t="shared" si="5"/>
        <v>70.459999999999994</v>
      </c>
    </row>
    <row r="49" spans="1:25" x14ac:dyDescent="0.25">
      <c r="A49" t="s">
        <v>418</v>
      </c>
      <c r="B49">
        <v>41408</v>
      </c>
      <c r="C49" t="str">
        <f t="shared" si="0"/>
        <v>2013</v>
      </c>
      <c r="D49" t="s">
        <v>419</v>
      </c>
      <c r="E49" t="s">
        <v>420</v>
      </c>
      <c r="F49" t="s">
        <v>239</v>
      </c>
      <c r="G49" t="s">
        <v>240</v>
      </c>
      <c r="H49" t="s">
        <v>241</v>
      </c>
      <c r="I49" t="s">
        <v>251</v>
      </c>
      <c r="J49" t="s">
        <v>243</v>
      </c>
      <c r="K49" t="s">
        <v>421</v>
      </c>
      <c r="L49" t="s">
        <v>245</v>
      </c>
      <c r="M49" t="s">
        <v>246</v>
      </c>
      <c r="N49" t="s">
        <v>247</v>
      </c>
      <c r="O49">
        <v>41409</v>
      </c>
      <c r="P49">
        <v>13.88</v>
      </c>
      <c r="Q49">
        <v>22.38</v>
      </c>
      <c r="R49">
        <f t="shared" si="1"/>
        <v>8.4999999999999982</v>
      </c>
      <c r="S49">
        <v>26</v>
      </c>
      <c r="T49">
        <f t="shared" si="2"/>
        <v>581.88</v>
      </c>
      <c r="U49">
        <v>0.1</v>
      </c>
      <c r="V49">
        <f t="shared" si="3"/>
        <v>58.188000000000002</v>
      </c>
      <c r="W49">
        <f t="shared" si="4"/>
        <v>523.69200000000001</v>
      </c>
      <c r="X49">
        <v>15.1</v>
      </c>
      <c r="Y49">
        <f t="shared" si="5"/>
        <v>538.79200000000003</v>
      </c>
    </row>
    <row r="50" spans="1:25" x14ac:dyDescent="0.25">
      <c r="A50" t="s">
        <v>422</v>
      </c>
      <c r="B50">
        <v>41408</v>
      </c>
      <c r="C50" t="str">
        <f t="shared" si="0"/>
        <v>2013</v>
      </c>
      <c r="D50" t="s">
        <v>423</v>
      </c>
      <c r="E50" t="s">
        <v>424</v>
      </c>
      <c r="F50" t="s">
        <v>257</v>
      </c>
      <c r="G50" t="s">
        <v>258</v>
      </c>
      <c r="H50" t="s">
        <v>259</v>
      </c>
      <c r="I50" t="s">
        <v>299</v>
      </c>
      <c r="J50" t="s">
        <v>294</v>
      </c>
      <c r="K50" t="s">
        <v>425</v>
      </c>
      <c r="L50" t="s">
        <v>245</v>
      </c>
      <c r="M50" t="s">
        <v>253</v>
      </c>
      <c r="N50" t="s">
        <v>247</v>
      </c>
      <c r="O50">
        <v>41410</v>
      </c>
      <c r="P50">
        <v>21.56</v>
      </c>
      <c r="Q50">
        <v>36.549999999999997</v>
      </c>
      <c r="R50">
        <f t="shared" si="1"/>
        <v>14.989999999999998</v>
      </c>
      <c r="S50">
        <v>45</v>
      </c>
      <c r="T50">
        <f t="shared" si="2"/>
        <v>1644.7499999999998</v>
      </c>
      <c r="U50">
        <v>0.1</v>
      </c>
      <c r="V50">
        <f t="shared" si="3"/>
        <v>164.47499999999999</v>
      </c>
      <c r="W50">
        <f t="shared" si="4"/>
        <v>1480.2749999999999</v>
      </c>
      <c r="X50">
        <v>13.89</v>
      </c>
      <c r="Y50">
        <f t="shared" si="5"/>
        <v>1494.165</v>
      </c>
    </row>
    <row r="51" spans="1:25" x14ac:dyDescent="0.25">
      <c r="A51" t="s">
        <v>426</v>
      </c>
      <c r="B51">
        <v>41409</v>
      </c>
      <c r="C51" t="str">
        <f t="shared" si="0"/>
        <v>2013</v>
      </c>
      <c r="D51" t="s">
        <v>427</v>
      </c>
      <c r="E51" t="s">
        <v>428</v>
      </c>
      <c r="F51" t="s">
        <v>257</v>
      </c>
      <c r="G51" t="s">
        <v>258</v>
      </c>
      <c r="H51" t="s">
        <v>274</v>
      </c>
      <c r="I51" t="s">
        <v>333</v>
      </c>
      <c r="J51" t="s">
        <v>243</v>
      </c>
      <c r="K51" t="s">
        <v>429</v>
      </c>
      <c r="L51" t="s">
        <v>268</v>
      </c>
      <c r="M51" t="s">
        <v>246</v>
      </c>
      <c r="N51" t="s">
        <v>263</v>
      </c>
      <c r="O51">
        <v>41410</v>
      </c>
      <c r="P51">
        <v>19.78</v>
      </c>
      <c r="Q51">
        <v>45.99</v>
      </c>
      <c r="R51">
        <f t="shared" si="1"/>
        <v>26.21</v>
      </c>
      <c r="S51">
        <v>14</v>
      </c>
      <c r="T51">
        <f t="shared" si="2"/>
        <v>643.86</v>
      </c>
      <c r="U51">
        <v>0.02</v>
      </c>
      <c r="V51">
        <f t="shared" si="3"/>
        <v>12.8772</v>
      </c>
      <c r="W51">
        <f t="shared" si="4"/>
        <v>630.9828</v>
      </c>
      <c r="X51">
        <v>4.99</v>
      </c>
      <c r="Y51">
        <f t="shared" si="5"/>
        <v>635.97280000000001</v>
      </c>
    </row>
    <row r="52" spans="1:25" x14ac:dyDescent="0.25">
      <c r="A52" t="s">
        <v>430</v>
      </c>
      <c r="B52">
        <v>41413</v>
      </c>
      <c r="C52" t="str">
        <f t="shared" si="0"/>
        <v>2013</v>
      </c>
      <c r="D52" t="s">
        <v>431</v>
      </c>
      <c r="E52" t="s">
        <v>432</v>
      </c>
      <c r="F52" t="s">
        <v>257</v>
      </c>
      <c r="G52" t="s">
        <v>258</v>
      </c>
      <c r="H52" t="s">
        <v>241</v>
      </c>
      <c r="I52" t="s">
        <v>333</v>
      </c>
      <c r="J52" t="s">
        <v>243</v>
      </c>
      <c r="K52" t="s">
        <v>433</v>
      </c>
      <c r="L52" t="s">
        <v>268</v>
      </c>
      <c r="M52" t="s">
        <v>414</v>
      </c>
      <c r="N52" t="s">
        <v>247</v>
      </c>
      <c r="O52">
        <v>41414</v>
      </c>
      <c r="P52">
        <v>9.91</v>
      </c>
      <c r="Q52">
        <v>15.99</v>
      </c>
      <c r="R52">
        <f t="shared" si="1"/>
        <v>6.08</v>
      </c>
      <c r="S52">
        <v>7</v>
      </c>
      <c r="T52">
        <f t="shared" si="2"/>
        <v>111.93</v>
      </c>
      <c r="U52">
        <v>0.03</v>
      </c>
      <c r="V52">
        <f t="shared" si="3"/>
        <v>3.3578999999999999</v>
      </c>
      <c r="W52">
        <f t="shared" si="4"/>
        <v>108.57210000000001</v>
      </c>
      <c r="X52">
        <v>11.28</v>
      </c>
      <c r="Y52">
        <f t="shared" si="5"/>
        <v>119.85210000000001</v>
      </c>
    </row>
    <row r="53" spans="1:25" x14ac:dyDescent="0.25">
      <c r="A53" t="s">
        <v>434</v>
      </c>
      <c r="B53">
        <v>41413</v>
      </c>
      <c r="C53" t="str">
        <f t="shared" si="0"/>
        <v>2013</v>
      </c>
      <c r="D53" t="s">
        <v>389</v>
      </c>
      <c r="E53" t="s">
        <v>376</v>
      </c>
      <c r="F53" t="s">
        <v>239</v>
      </c>
      <c r="G53" t="s">
        <v>240</v>
      </c>
      <c r="H53" t="s">
        <v>241</v>
      </c>
      <c r="I53" t="s">
        <v>242</v>
      </c>
      <c r="J53" t="s">
        <v>294</v>
      </c>
      <c r="K53" t="s">
        <v>435</v>
      </c>
      <c r="L53" t="s">
        <v>245</v>
      </c>
      <c r="M53" t="s">
        <v>253</v>
      </c>
      <c r="N53" t="s">
        <v>247</v>
      </c>
      <c r="O53">
        <v>41414</v>
      </c>
      <c r="P53">
        <v>3.75</v>
      </c>
      <c r="Q53">
        <v>7.08</v>
      </c>
      <c r="R53">
        <f t="shared" si="1"/>
        <v>3.33</v>
      </c>
      <c r="S53">
        <v>29</v>
      </c>
      <c r="T53">
        <f t="shared" si="2"/>
        <v>205.32</v>
      </c>
      <c r="U53">
        <v>0.04</v>
      </c>
      <c r="V53">
        <f t="shared" si="3"/>
        <v>8.2127999999999997</v>
      </c>
      <c r="W53">
        <f t="shared" si="4"/>
        <v>197.10720000000001</v>
      </c>
      <c r="X53">
        <v>2.35</v>
      </c>
      <c r="Y53">
        <f t="shared" si="5"/>
        <v>199.4572</v>
      </c>
    </row>
    <row r="54" spans="1:25" x14ac:dyDescent="0.25">
      <c r="A54" t="s">
        <v>436</v>
      </c>
      <c r="B54">
        <v>41414</v>
      </c>
      <c r="C54" t="str">
        <f t="shared" si="0"/>
        <v>2013</v>
      </c>
      <c r="D54" t="s">
        <v>437</v>
      </c>
      <c r="E54" t="s">
        <v>438</v>
      </c>
      <c r="F54" t="s">
        <v>257</v>
      </c>
      <c r="G54" t="s">
        <v>258</v>
      </c>
      <c r="H54" t="s">
        <v>259</v>
      </c>
      <c r="I54" t="s">
        <v>309</v>
      </c>
      <c r="J54" t="s">
        <v>243</v>
      </c>
      <c r="K54" t="s">
        <v>439</v>
      </c>
      <c r="L54" t="s">
        <v>440</v>
      </c>
      <c r="M54" t="s">
        <v>323</v>
      </c>
      <c r="N54" t="s">
        <v>247</v>
      </c>
      <c r="O54">
        <v>41415</v>
      </c>
      <c r="P54">
        <v>5.5</v>
      </c>
      <c r="Q54">
        <v>12.22</v>
      </c>
      <c r="R54">
        <f t="shared" si="1"/>
        <v>6.7200000000000006</v>
      </c>
      <c r="S54">
        <v>35</v>
      </c>
      <c r="T54">
        <f t="shared" si="2"/>
        <v>427.70000000000005</v>
      </c>
      <c r="U54">
        <v>0</v>
      </c>
      <c r="V54">
        <f t="shared" si="3"/>
        <v>0</v>
      </c>
      <c r="W54">
        <f t="shared" si="4"/>
        <v>427.70000000000005</v>
      </c>
      <c r="X54">
        <v>2.85</v>
      </c>
      <c r="Y54">
        <f t="shared" si="5"/>
        <v>430.55000000000007</v>
      </c>
    </row>
    <row r="55" spans="1:25" x14ac:dyDescent="0.25">
      <c r="A55" t="s">
        <v>441</v>
      </c>
      <c r="B55">
        <v>41414</v>
      </c>
      <c r="C55" t="str">
        <f t="shared" si="0"/>
        <v>2013</v>
      </c>
      <c r="D55" t="s">
        <v>442</v>
      </c>
      <c r="E55" t="s">
        <v>337</v>
      </c>
      <c r="F55" t="s">
        <v>257</v>
      </c>
      <c r="G55" t="s">
        <v>258</v>
      </c>
      <c r="H55" t="s">
        <v>293</v>
      </c>
      <c r="I55" t="s">
        <v>275</v>
      </c>
      <c r="J55" t="s">
        <v>294</v>
      </c>
      <c r="K55" t="s">
        <v>443</v>
      </c>
      <c r="L55" t="s">
        <v>245</v>
      </c>
      <c r="M55" t="s">
        <v>246</v>
      </c>
      <c r="N55" t="s">
        <v>247</v>
      </c>
      <c r="O55">
        <v>41416</v>
      </c>
      <c r="P55">
        <v>13.64</v>
      </c>
      <c r="Q55">
        <v>20.98</v>
      </c>
      <c r="R55">
        <f t="shared" si="1"/>
        <v>7.34</v>
      </c>
      <c r="S55">
        <v>47</v>
      </c>
      <c r="T55">
        <f t="shared" si="2"/>
        <v>986.06000000000006</v>
      </c>
      <c r="U55">
        <v>0.1</v>
      </c>
      <c r="V55">
        <f t="shared" si="3"/>
        <v>98.606000000000009</v>
      </c>
      <c r="W55">
        <f t="shared" si="4"/>
        <v>887.45400000000006</v>
      </c>
      <c r="X55">
        <v>1.49</v>
      </c>
      <c r="Y55">
        <f t="shared" si="5"/>
        <v>888.94400000000007</v>
      </c>
    </row>
    <row r="56" spans="1:25" x14ac:dyDescent="0.25">
      <c r="A56" t="s">
        <v>444</v>
      </c>
      <c r="B56">
        <v>41415</v>
      </c>
      <c r="C56" t="str">
        <f t="shared" si="0"/>
        <v>2013</v>
      </c>
      <c r="D56" t="s">
        <v>406</v>
      </c>
      <c r="E56" t="s">
        <v>238</v>
      </c>
      <c r="F56" t="s">
        <v>239</v>
      </c>
      <c r="G56" t="s">
        <v>240</v>
      </c>
      <c r="H56" t="s">
        <v>274</v>
      </c>
      <c r="I56" t="s">
        <v>242</v>
      </c>
      <c r="J56" t="s">
        <v>243</v>
      </c>
      <c r="K56" t="s">
        <v>322</v>
      </c>
      <c r="L56" t="s">
        <v>245</v>
      </c>
      <c r="M56" t="s">
        <v>323</v>
      </c>
      <c r="N56" t="s">
        <v>247</v>
      </c>
      <c r="O56">
        <v>41415</v>
      </c>
      <c r="P56">
        <v>3.42</v>
      </c>
      <c r="Q56">
        <v>8.34</v>
      </c>
      <c r="R56">
        <f t="shared" si="1"/>
        <v>4.92</v>
      </c>
      <c r="S56">
        <v>24</v>
      </c>
      <c r="T56">
        <f t="shared" si="2"/>
        <v>200.16</v>
      </c>
      <c r="U56">
        <v>0.1</v>
      </c>
      <c r="V56">
        <f t="shared" si="3"/>
        <v>20.016000000000002</v>
      </c>
      <c r="W56">
        <f t="shared" si="4"/>
        <v>180.14400000000001</v>
      </c>
      <c r="X56">
        <v>2.64</v>
      </c>
      <c r="Y56">
        <f t="shared" si="5"/>
        <v>182.78399999999999</v>
      </c>
    </row>
    <row r="57" spans="1:25" x14ac:dyDescent="0.25">
      <c r="A57" t="s">
        <v>445</v>
      </c>
      <c r="B57">
        <v>41416</v>
      </c>
      <c r="C57" t="str">
        <f t="shared" si="0"/>
        <v>2013</v>
      </c>
      <c r="D57" t="s">
        <v>446</v>
      </c>
      <c r="E57" t="s">
        <v>447</v>
      </c>
      <c r="F57" t="s">
        <v>448</v>
      </c>
      <c r="G57" t="s">
        <v>449</v>
      </c>
      <c r="H57" t="s">
        <v>293</v>
      </c>
      <c r="I57" t="s">
        <v>333</v>
      </c>
      <c r="J57" t="s">
        <v>261</v>
      </c>
      <c r="K57" t="s">
        <v>329</v>
      </c>
      <c r="L57" t="s">
        <v>245</v>
      </c>
      <c r="M57" t="s">
        <v>246</v>
      </c>
      <c r="N57" t="s">
        <v>263</v>
      </c>
      <c r="O57">
        <v>41417</v>
      </c>
      <c r="P57">
        <v>4.59</v>
      </c>
      <c r="Q57">
        <v>7.28</v>
      </c>
      <c r="R57">
        <f t="shared" si="1"/>
        <v>2.6900000000000004</v>
      </c>
      <c r="S57">
        <v>2</v>
      </c>
      <c r="T57">
        <f t="shared" si="2"/>
        <v>14.56</v>
      </c>
      <c r="U57">
        <v>0.08</v>
      </c>
      <c r="V57">
        <f t="shared" si="3"/>
        <v>1.1648000000000001</v>
      </c>
      <c r="W57">
        <f t="shared" si="4"/>
        <v>13.395200000000001</v>
      </c>
      <c r="X57">
        <v>11.15</v>
      </c>
      <c r="Y57">
        <f t="shared" si="5"/>
        <v>24.545200000000001</v>
      </c>
    </row>
    <row r="58" spans="1:25" x14ac:dyDescent="0.25">
      <c r="A58" t="s">
        <v>450</v>
      </c>
      <c r="B58">
        <v>41416</v>
      </c>
      <c r="C58" t="str">
        <f t="shared" si="0"/>
        <v>2013</v>
      </c>
      <c r="D58" t="s">
        <v>451</v>
      </c>
      <c r="E58" t="s">
        <v>452</v>
      </c>
      <c r="F58" t="s">
        <v>239</v>
      </c>
      <c r="G58" t="s">
        <v>240</v>
      </c>
      <c r="H58" t="s">
        <v>259</v>
      </c>
      <c r="I58" t="s">
        <v>242</v>
      </c>
      <c r="J58" t="s">
        <v>261</v>
      </c>
      <c r="K58" t="s">
        <v>453</v>
      </c>
      <c r="L58" t="s">
        <v>245</v>
      </c>
      <c r="M58" t="s">
        <v>246</v>
      </c>
      <c r="N58" t="s">
        <v>247</v>
      </c>
      <c r="O58">
        <v>41418</v>
      </c>
      <c r="P58">
        <v>1.18</v>
      </c>
      <c r="Q58">
        <v>1.88</v>
      </c>
      <c r="R58">
        <f t="shared" si="1"/>
        <v>0.7</v>
      </c>
      <c r="S58">
        <v>1</v>
      </c>
      <c r="T58">
        <f t="shared" si="2"/>
        <v>1.88</v>
      </c>
      <c r="U58">
        <v>0.05</v>
      </c>
      <c r="V58">
        <f t="shared" si="3"/>
        <v>9.4E-2</v>
      </c>
      <c r="W58">
        <f t="shared" si="4"/>
        <v>1.7859999999999998</v>
      </c>
      <c r="X58">
        <v>1.49</v>
      </c>
      <c r="Y58">
        <f t="shared" si="5"/>
        <v>3.2759999999999998</v>
      </c>
    </row>
    <row r="59" spans="1:25" x14ac:dyDescent="0.25">
      <c r="A59" t="s">
        <v>454</v>
      </c>
      <c r="B59">
        <v>41417</v>
      </c>
      <c r="C59" t="str">
        <f t="shared" si="0"/>
        <v>2013</v>
      </c>
      <c r="D59" t="s">
        <v>455</v>
      </c>
      <c r="E59" t="s">
        <v>456</v>
      </c>
      <c r="F59" t="s">
        <v>257</v>
      </c>
      <c r="G59" t="s">
        <v>258</v>
      </c>
      <c r="H59" t="s">
        <v>241</v>
      </c>
      <c r="I59" t="s">
        <v>333</v>
      </c>
      <c r="J59" t="s">
        <v>304</v>
      </c>
      <c r="K59" t="s">
        <v>457</v>
      </c>
      <c r="L59" t="s">
        <v>268</v>
      </c>
      <c r="M59" t="s">
        <v>246</v>
      </c>
      <c r="N59" t="s">
        <v>263</v>
      </c>
      <c r="O59">
        <v>41419</v>
      </c>
      <c r="P59">
        <v>6.4</v>
      </c>
      <c r="Q59">
        <v>29.1</v>
      </c>
      <c r="R59">
        <f t="shared" si="1"/>
        <v>22.700000000000003</v>
      </c>
      <c r="S59">
        <v>33</v>
      </c>
      <c r="T59">
        <f t="shared" si="2"/>
        <v>960.30000000000007</v>
      </c>
      <c r="U59">
        <v>0.01</v>
      </c>
      <c r="V59">
        <f t="shared" si="3"/>
        <v>9.6030000000000015</v>
      </c>
      <c r="W59">
        <f t="shared" si="4"/>
        <v>950.69700000000012</v>
      </c>
      <c r="X59">
        <v>4</v>
      </c>
      <c r="Y59">
        <f t="shared" si="5"/>
        <v>954.69700000000012</v>
      </c>
    </row>
    <row r="60" spans="1:25" x14ac:dyDescent="0.25">
      <c r="A60" t="s">
        <v>458</v>
      </c>
      <c r="B60">
        <v>41420</v>
      </c>
      <c r="C60" t="str">
        <f t="shared" si="0"/>
        <v>2013</v>
      </c>
      <c r="D60" t="s">
        <v>459</v>
      </c>
      <c r="E60" t="s">
        <v>341</v>
      </c>
      <c r="F60" t="s">
        <v>257</v>
      </c>
      <c r="G60" t="s">
        <v>258</v>
      </c>
      <c r="H60" t="s">
        <v>293</v>
      </c>
      <c r="I60" t="s">
        <v>342</v>
      </c>
      <c r="J60" t="s">
        <v>261</v>
      </c>
      <c r="K60" t="s">
        <v>460</v>
      </c>
      <c r="L60" t="s">
        <v>245</v>
      </c>
      <c r="M60" t="s">
        <v>246</v>
      </c>
      <c r="N60" t="s">
        <v>247</v>
      </c>
      <c r="O60">
        <v>41420</v>
      </c>
      <c r="P60">
        <v>3.84</v>
      </c>
      <c r="Q60">
        <v>6.3</v>
      </c>
      <c r="R60">
        <f t="shared" si="1"/>
        <v>2.46</v>
      </c>
      <c r="S60">
        <v>42</v>
      </c>
      <c r="T60">
        <f t="shared" si="2"/>
        <v>264.59999999999997</v>
      </c>
      <c r="U60">
        <v>7.0000000000000007E-2</v>
      </c>
      <c r="V60">
        <f t="shared" si="3"/>
        <v>18.521999999999998</v>
      </c>
      <c r="W60">
        <f t="shared" si="4"/>
        <v>246.07799999999997</v>
      </c>
      <c r="X60">
        <v>0.5</v>
      </c>
      <c r="Y60">
        <f t="shared" si="5"/>
        <v>246.57799999999997</v>
      </c>
    </row>
    <row r="61" spans="1:25" x14ac:dyDescent="0.25">
      <c r="A61" t="s">
        <v>461</v>
      </c>
      <c r="B61">
        <v>41421</v>
      </c>
      <c r="C61" t="str">
        <f t="shared" si="0"/>
        <v>2013</v>
      </c>
      <c r="D61" t="s">
        <v>462</v>
      </c>
      <c r="E61" t="s">
        <v>463</v>
      </c>
      <c r="F61" t="s">
        <v>257</v>
      </c>
      <c r="G61" t="s">
        <v>258</v>
      </c>
      <c r="H61" t="s">
        <v>241</v>
      </c>
      <c r="I61" t="s">
        <v>333</v>
      </c>
      <c r="J61" t="s">
        <v>304</v>
      </c>
      <c r="K61" t="s">
        <v>464</v>
      </c>
      <c r="L61" t="s">
        <v>268</v>
      </c>
      <c r="M61" t="s">
        <v>246</v>
      </c>
      <c r="N61" t="s">
        <v>247</v>
      </c>
      <c r="O61">
        <v>41422</v>
      </c>
      <c r="P61">
        <v>156.5</v>
      </c>
      <c r="Q61">
        <v>300.97000000000003</v>
      </c>
      <c r="R61">
        <f t="shared" si="1"/>
        <v>144.47000000000003</v>
      </c>
      <c r="S61">
        <v>14</v>
      </c>
      <c r="T61">
        <f t="shared" si="2"/>
        <v>4213.58</v>
      </c>
      <c r="U61">
        <v>0.1</v>
      </c>
      <c r="V61">
        <f t="shared" si="3"/>
        <v>421.358</v>
      </c>
      <c r="W61">
        <f t="shared" si="4"/>
        <v>3792.2219999999998</v>
      </c>
      <c r="X61">
        <v>7.18</v>
      </c>
      <c r="Y61">
        <f t="shared" si="5"/>
        <v>3799.4019999999996</v>
      </c>
    </row>
    <row r="62" spans="1:25" x14ac:dyDescent="0.25">
      <c r="A62" t="s">
        <v>465</v>
      </c>
      <c r="B62">
        <v>41422</v>
      </c>
      <c r="C62" t="str">
        <f t="shared" si="0"/>
        <v>2013</v>
      </c>
      <c r="D62" t="s">
        <v>466</v>
      </c>
      <c r="E62" t="s">
        <v>467</v>
      </c>
      <c r="F62" t="s">
        <v>257</v>
      </c>
      <c r="G62" t="s">
        <v>258</v>
      </c>
      <c r="H62" t="s">
        <v>259</v>
      </c>
      <c r="I62" t="s">
        <v>342</v>
      </c>
      <c r="J62" t="s">
        <v>279</v>
      </c>
      <c r="K62" t="s">
        <v>468</v>
      </c>
      <c r="L62" t="s">
        <v>245</v>
      </c>
      <c r="M62" t="s">
        <v>253</v>
      </c>
      <c r="N62" t="s">
        <v>247</v>
      </c>
      <c r="O62">
        <v>41426</v>
      </c>
      <c r="P62">
        <v>2.29</v>
      </c>
      <c r="Q62">
        <v>3.58</v>
      </c>
      <c r="R62">
        <f t="shared" si="1"/>
        <v>1.29</v>
      </c>
      <c r="S62">
        <v>38</v>
      </c>
      <c r="T62">
        <f t="shared" si="2"/>
        <v>136.04</v>
      </c>
      <c r="U62">
        <v>0.06</v>
      </c>
      <c r="V62">
        <f t="shared" si="3"/>
        <v>8.1623999999999999</v>
      </c>
      <c r="W62">
        <f t="shared" si="4"/>
        <v>127.87759999999999</v>
      </c>
      <c r="X62">
        <v>1.63</v>
      </c>
      <c r="Y62">
        <f t="shared" si="5"/>
        <v>129.5076</v>
      </c>
    </row>
    <row r="63" spans="1:25" x14ac:dyDescent="0.25">
      <c r="A63" t="s">
        <v>469</v>
      </c>
      <c r="B63">
        <v>41423</v>
      </c>
      <c r="C63" t="str">
        <f t="shared" si="0"/>
        <v>2013</v>
      </c>
      <c r="D63" t="s">
        <v>470</v>
      </c>
      <c r="E63" t="s">
        <v>471</v>
      </c>
      <c r="F63" t="s">
        <v>448</v>
      </c>
      <c r="G63" t="s">
        <v>449</v>
      </c>
      <c r="H63" t="s">
        <v>241</v>
      </c>
      <c r="I63" t="s">
        <v>381</v>
      </c>
      <c r="J63" t="s">
        <v>243</v>
      </c>
      <c r="K63" t="s">
        <v>472</v>
      </c>
      <c r="L63" t="s">
        <v>245</v>
      </c>
      <c r="M63" t="s">
        <v>246</v>
      </c>
      <c r="N63" t="s">
        <v>263</v>
      </c>
      <c r="O63">
        <v>41423</v>
      </c>
      <c r="P63">
        <v>2.25</v>
      </c>
      <c r="Q63">
        <v>3.69</v>
      </c>
      <c r="R63">
        <f t="shared" si="1"/>
        <v>1.44</v>
      </c>
      <c r="S63">
        <v>35</v>
      </c>
      <c r="T63">
        <f t="shared" si="2"/>
        <v>129.15</v>
      </c>
      <c r="U63">
        <v>0.03</v>
      </c>
      <c r="V63">
        <f t="shared" si="3"/>
        <v>3.8744999999999998</v>
      </c>
      <c r="W63">
        <f t="shared" si="4"/>
        <v>125.27550000000001</v>
      </c>
      <c r="X63">
        <v>2.5</v>
      </c>
      <c r="Y63">
        <f t="shared" si="5"/>
        <v>127.77550000000001</v>
      </c>
    </row>
    <row r="64" spans="1:25" x14ac:dyDescent="0.25">
      <c r="A64" t="s">
        <v>473</v>
      </c>
      <c r="B64">
        <v>41423</v>
      </c>
      <c r="C64" t="str">
        <f t="shared" si="0"/>
        <v>2013</v>
      </c>
      <c r="D64" t="s">
        <v>474</v>
      </c>
      <c r="E64" t="s">
        <v>320</v>
      </c>
      <c r="F64" t="s">
        <v>448</v>
      </c>
      <c r="G64" t="s">
        <v>449</v>
      </c>
      <c r="H64" t="s">
        <v>293</v>
      </c>
      <c r="I64" t="s">
        <v>381</v>
      </c>
      <c r="J64" t="s">
        <v>304</v>
      </c>
      <c r="K64" t="s">
        <v>475</v>
      </c>
      <c r="L64" t="s">
        <v>245</v>
      </c>
      <c r="M64" t="s">
        <v>246</v>
      </c>
      <c r="N64" t="s">
        <v>263</v>
      </c>
      <c r="O64">
        <v>41423</v>
      </c>
      <c r="P64">
        <v>12.39</v>
      </c>
      <c r="Q64">
        <v>19.98</v>
      </c>
      <c r="R64">
        <f t="shared" si="1"/>
        <v>7.59</v>
      </c>
      <c r="S64">
        <v>13</v>
      </c>
      <c r="T64">
        <f t="shared" si="2"/>
        <v>259.74</v>
      </c>
      <c r="U64">
        <v>0.1</v>
      </c>
      <c r="V64">
        <f t="shared" si="3"/>
        <v>25.974000000000004</v>
      </c>
      <c r="W64">
        <f t="shared" si="4"/>
        <v>233.76600000000002</v>
      </c>
      <c r="X64">
        <v>5.77</v>
      </c>
      <c r="Y64">
        <f t="shared" si="5"/>
        <v>239.53600000000003</v>
      </c>
    </row>
    <row r="65" spans="1:25" x14ac:dyDescent="0.25">
      <c r="A65" t="s">
        <v>476</v>
      </c>
      <c r="B65">
        <v>41425</v>
      </c>
      <c r="C65" t="str">
        <f t="shared" si="0"/>
        <v>2013</v>
      </c>
      <c r="D65" t="s">
        <v>477</v>
      </c>
      <c r="E65" t="s">
        <v>478</v>
      </c>
      <c r="F65" t="s">
        <v>257</v>
      </c>
      <c r="G65" t="s">
        <v>258</v>
      </c>
      <c r="H65" t="s">
        <v>259</v>
      </c>
      <c r="I65" t="s">
        <v>275</v>
      </c>
      <c r="J65" t="s">
        <v>304</v>
      </c>
      <c r="K65" t="s">
        <v>479</v>
      </c>
      <c r="L65" t="s">
        <v>245</v>
      </c>
      <c r="M65" t="s">
        <v>246</v>
      </c>
      <c r="N65" t="s">
        <v>247</v>
      </c>
      <c r="O65">
        <v>41425</v>
      </c>
      <c r="P65">
        <v>8.92</v>
      </c>
      <c r="Q65">
        <v>29.74</v>
      </c>
      <c r="R65">
        <f t="shared" si="1"/>
        <v>20.82</v>
      </c>
      <c r="S65">
        <v>14</v>
      </c>
      <c r="T65">
        <f t="shared" si="2"/>
        <v>416.35999999999996</v>
      </c>
      <c r="U65">
        <v>0.02</v>
      </c>
      <c r="V65">
        <f t="shared" si="3"/>
        <v>8.3271999999999995</v>
      </c>
      <c r="W65">
        <f t="shared" si="4"/>
        <v>408.03279999999995</v>
      </c>
      <c r="X65">
        <v>6.64</v>
      </c>
      <c r="Y65">
        <f t="shared" si="5"/>
        <v>414.67279999999994</v>
      </c>
    </row>
    <row r="66" spans="1:25" x14ac:dyDescent="0.25">
      <c r="A66" t="s">
        <v>480</v>
      </c>
      <c r="B66">
        <v>41425</v>
      </c>
      <c r="C66" t="str">
        <f t="shared" si="0"/>
        <v>2013</v>
      </c>
      <c r="D66" t="s">
        <v>481</v>
      </c>
      <c r="E66" t="s">
        <v>332</v>
      </c>
      <c r="F66" t="s">
        <v>257</v>
      </c>
      <c r="G66" t="s">
        <v>258</v>
      </c>
      <c r="H66" t="s">
        <v>293</v>
      </c>
      <c r="I66" t="s">
        <v>333</v>
      </c>
      <c r="J66" t="s">
        <v>294</v>
      </c>
      <c r="K66" t="s">
        <v>482</v>
      </c>
      <c r="L66" t="s">
        <v>268</v>
      </c>
      <c r="M66" t="s">
        <v>246</v>
      </c>
      <c r="N66" t="s">
        <v>247</v>
      </c>
      <c r="O66">
        <v>41427</v>
      </c>
      <c r="P66">
        <v>60.59</v>
      </c>
      <c r="Q66">
        <v>100.98</v>
      </c>
      <c r="R66">
        <f t="shared" si="1"/>
        <v>40.39</v>
      </c>
      <c r="S66">
        <v>33</v>
      </c>
      <c r="T66">
        <f t="shared" si="2"/>
        <v>3332.34</v>
      </c>
      <c r="U66">
        <v>0.05</v>
      </c>
      <c r="V66">
        <f t="shared" si="3"/>
        <v>166.61700000000002</v>
      </c>
      <c r="W66">
        <f t="shared" si="4"/>
        <v>3165.723</v>
      </c>
      <c r="X66">
        <v>7.18</v>
      </c>
      <c r="Y66">
        <f t="shared" si="5"/>
        <v>3172.9029999999998</v>
      </c>
    </row>
    <row r="67" spans="1:25" x14ac:dyDescent="0.25">
      <c r="A67" t="s">
        <v>483</v>
      </c>
      <c r="B67">
        <v>41425</v>
      </c>
      <c r="C67" t="str">
        <f t="shared" si="0"/>
        <v>2013</v>
      </c>
      <c r="D67" t="s">
        <v>484</v>
      </c>
      <c r="E67" t="s">
        <v>238</v>
      </c>
      <c r="F67" t="s">
        <v>239</v>
      </c>
      <c r="G67" t="s">
        <v>240</v>
      </c>
      <c r="H67" t="s">
        <v>274</v>
      </c>
      <c r="I67" t="s">
        <v>242</v>
      </c>
      <c r="J67" t="s">
        <v>279</v>
      </c>
      <c r="K67" t="s">
        <v>485</v>
      </c>
      <c r="L67" t="s">
        <v>245</v>
      </c>
      <c r="M67" t="s">
        <v>253</v>
      </c>
      <c r="N67" t="s">
        <v>247</v>
      </c>
      <c r="O67">
        <v>41429</v>
      </c>
      <c r="P67">
        <v>3.48</v>
      </c>
      <c r="Q67">
        <v>5.43</v>
      </c>
      <c r="R67">
        <f t="shared" si="1"/>
        <v>1.9499999999999997</v>
      </c>
      <c r="S67">
        <v>29</v>
      </c>
      <c r="T67">
        <f t="shared" si="2"/>
        <v>157.47</v>
      </c>
      <c r="U67">
        <v>7.0000000000000007E-2</v>
      </c>
      <c r="V67">
        <f t="shared" si="3"/>
        <v>11.022900000000002</v>
      </c>
      <c r="W67">
        <f t="shared" si="4"/>
        <v>146.44710000000001</v>
      </c>
      <c r="X67">
        <v>0.95</v>
      </c>
      <c r="Y67">
        <f t="shared" si="5"/>
        <v>147.39709999999999</v>
      </c>
    </row>
    <row r="68" spans="1:25" x14ac:dyDescent="0.25">
      <c r="A68" t="s">
        <v>486</v>
      </c>
      <c r="B68">
        <v>41427</v>
      </c>
      <c r="C68" t="str">
        <f t="shared" si="0"/>
        <v>2013</v>
      </c>
      <c r="D68" t="s">
        <v>487</v>
      </c>
      <c r="E68" t="s">
        <v>352</v>
      </c>
      <c r="F68" t="s">
        <v>257</v>
      </c>
      <c r="G68" t="s">
        <v>258</v>
      </c>
      <c r="H68" t="s">
        <v>293</v>
      </c>
      <c r="I68" t="s">
        <v>275</v>
      </c>
      <c r="J68" t="s">
        <v>279</v>
      </c>
      <c r="K68" t="s">
        <v>488</v>
      </c>
      <c r="L68" t="s">
        <v>268</v>
      </c>
      <c r="M68" t="s">
        <v>323</v>
      </c>
      <c r="N68" t="s">
        <v>247</v>
      </c>
      <c r="O68">
        <v>41429</v>
      </c>
      <c r="P68">
        <v>20.18</v>
      </c>
      <c r="Q68">
        <v>35.409999999999997</v>
      </c>
      <c r="R68">
        <f t="shared" si="1"/>
        <v>15.229999999999997</v>
      </c>
      <c r="S68">
        <v>38</v>
      </c>
      <c r="T68">
        <f t="shared" si="2"/>
        <v>1345.58</v>
      </c>
      <c r="U68">
        <v>0.03</v>
      </c>
      <c r="V68">
        <f t="shared" si="3"/>
        <v>40.367399999999996</v>
      </c>
      <c r="W68">
        <f t="shared" si="4"/>
        <v>1305.2125999999998</v>
      </c>
      <c r="X68">
        <v>1.99</v>
      </c>
      <c r="Y68">
        <f t="shared" si="5"/>
        <v>1307.2025999999998</v>
      </c>
    </row>
    <row r="69" spans="1:25" x14ac:dyDescent="0.25">
      <c r="A69" t="s">
        <v>489</v>
      </c>
      <c r="B69">
        <v>41429</v>
      </c>
      <c r="C69" t="str">
        <f t="shared" si="0"/>
        <v>2013</v>
      </c>
      <c r="D69" t="s">
        <v>490</v>
      </c>
      <c r="E69" t="s">
        <v>491</v>
      </c>
      <c r="F69" t="s">
        <v>257</v>
      </c>
      <c r="G69" t="s">
        <v>258</v>
      </c>
      <c r="H69" t="s">
        <v>293</v>
      </c>
      <c r="I69" t="s">
        <v>492</v>
      </c>
      <c r="J69" t="s">
        <v>294</v>
      </c>
      <c r="K69" t="s">
        <v>493</v>
      </c>
      <c r="L69" t="s">
        <v>245</v>
      </c>
      <c r="M69" t="s">
        <v>253</v>
      </c>
      <c r="N69" t="s">
        <v>247</v>
      </c>
      <c r="O69">
        <v>41431</v>
      </c>
      <c r="P69">
        <v>1.76</v>
      </c>
      <c r="Q69">
        <v>3.38</v>
      </c>
      <c r="R69">
        <f t="shared" si="1"/>
        <v>1.6199999999999999</v>
      </c>
      <c r="S69">
        <v>34</v>
      </c>
      <c r="T69">
        <f t="shared" si="2"/>
        <v>114.92</v>
      </c>
      <c r="U69">
        <v>7.0000000000000007E-2</v>
      </c>
      <c r="V69">
        <f t="shared" si="3"/>
        <v>8.0444000000000013</v>
      </c>
      <c r="W69">
        <f t="shared" si="4"/>
        <v>106.87560000000001</v>
      </c>
      <c r="X69">
        <v>0.85</v>
      </c>
      <c r="Y69">
        <f t="shared" si="5"/>
        <v>107.7256</v>
      </c>
    </row>
    <row r="70" spans="1:25" x14ac:dyDescent="0.25">
      <c r="A70" t="s">
        <v>494</v>
      </c>
      <c r="B70">
        <v>41430</v>
      </c>
      <c r="C70" t="str">
        <f t="shared" ref="C70:C133" si="6">TEXT(B70,"yyyy")</f>
        <v>2013</v>
      </c>
      <c r="D70" t="s">
        <v>495</v>
      </c>
      <c r="E70" t="s">
        <v>402</v>
      </c>
      <c r="F70" t="s">
        <v>257</v>
      </c>
      <c r="G70" t="s">
        <v>258</v>
      </c>
      <c r="H70" t="s">
        <v>241</v>
      </c>
      <c r="I70" t="s">
        <v>333</v>
      </c>
      <c r="J70" t="s">
        <v>261</v>
      </c>
      <c r="K70" t="s">
        <v>313</v>
      </c>
      <c r="L70" t="s">
        <v>245</v>
      </c>
      <c r="M70" t="s">
        <v>246</v>
      </c>
      <c r="N70" t="s">
        <v>263</v>
      </c>
      <c r="O70">
        <v>41432</v>
      </c>
      <c r="P70">
        <v>36.020000000000003</v>
      </c>
      <c r="Q70">
        <v>58.1</v>
      </c>
      <c r="R70">
        <f t="shared" ref="R70:R133" si="7">Q70-P70</f>
        <v>22.08</v>
      </c>
      <c r="S70">
        <v>10</v>
      </c>
      <c r="T70">
        <f t="shared" ref="T70:T133" si="8">Q70*S70</f>
        <v>581</v>
      </c>
      <c r="U70">
        <v>0.09</v>
      </c>
      <c r="V70">
        <f t="shared" ref="V70:V133" si="9">T70*U70</f>
        <v>52.29</v>
      </c>
      <c r="W70">
        <f t="shared" ref="W70:W133" si="10">T70-V70</f>
        <v>528.71</v>
      </c>
      <c r="X70">
        <v>1.49</v>
      </c>
      <c r="Y70">
        <f t="shared" ref="Y70:Y133" si="11">W70+X70</f>
        <v>530.20000000000005</v>
      </c>
    </row>
    <row r="71" spans="1:25" x14ac:dyDescent="0.25">
      <c r="A71" t="s">
        <v>496</v>
      </c>
      <c r="B71">
        <v>41430</v>
      </c>
      <c r="C71" t="str">
        <f t="shared" si="6"/>
        <v>2013</v>
      </c>
      <c r="D71" t="s">
        <v>497</v>
      </c>
      <c r="E71" t="s">
        <v>346</v>
      </c>
      <c r="F71" t="s">
        <v>257</v>
      </c>
      <c r="G71" t="s">
        <v>258</v>
      </c>
      <c r="H71" t="s">
        <v>259</v>
      </c>
      <c r="I71" t="s">
        <v>309</v>
      </c>
      <c r="J71" t="s">
        <v>279</v>
      </c>
      <c r="K71" t="s">
        <v>464</v>
      </c>
      <c r="L71" t="s">
        <v>268</v>
      </c>
      <c r="M71" t="s">
        <v>246</v>
      </c>
      <c r="N71" t="s">
        <v>247</v>
      </c>
      <c r="O71">
        <v>41430</v>
      </c>
      <c r="P71">
        <v>156.5</v>
      </c>
      <c r="Q71">
        <v>300.97000000000003</v>
      </c>
      <c r="R71">
        <f t="shared" si="7"/>
        <v>144.47000000000003</v>
      </c>
      <c r="S71">
        <v>38</v>
      </c>
      <c r="T71">
        <f t="shared" si="8"/>
        <v>11436.86</v>
      </c>
      <c r="U71">
        <v>0.09</v>
      </c>
      <c r="V71">
        <f t="shared" si="9"/>
        <v>1029.3173999999999</v>
      </c>
      <c r="W71">
        <f t="shared" si="10"/>
        <v>10407.542600000001</v>
      </c>
      <c r="X71">
        <v>7.18</v>
      </c>
      <c r="Y71">
        <f t="shared" si="11"/>
        <v>10414.722600000001</v>
      </c>
    </row>
    <row r="72" spans="1:25" x14ac:dyDescent="0.25">
      <c r="A72" t="s">
        <v>498</v>
      </c>
      <c r="B72">
        <v>41431</v>
      </c>
      <c r="C72" t="str">
        <f t="shared" si="6"/>
        <v>2013</v>
      </c>
      <c r="D72" t="s">
        <v>499</v>
      </c>
      <c r="E72" t="s">
        <v>500</v>
      </c>
      <c r="F72" t="s">
        <v>257</v>
      </c>
      <c r="G72" t="s">
        <v>258</v>
      </c>
      <c r="H72" t="s">
        <v>293</v>
      </c>
      <c r="I72" t="s">
        <v>275</v>
      </c>
      <c r="J72" t="s">
        <v>304</v>
      </c>
      <c r="K72" t="s">
        <v>322</v>
      </c>
      <c r="L72" t="s">
        <v>245</v>
      </c>
      <c r="M72" t="s">
        <v>323</v>
      </c>
      <c r="N72" t="s">
        <v>247</v>
      </c>
      <c r="O72">
        <v>41433</v>
      </c>
      <c r="P72">
        <v>3.42</v>
      </c>
      <c r="Q72">
        <v>8.34</v>
      </c>
      <c r="R72">
        <f t="shared" si="7"/>
        <v>4.92</v>
      </c>
      <c r="S72">
        <v>30</v>
      </c>
      <c r="T72">
        <f t="shared" si="8"/>
        <v>250.2</v>
      </c>
      <c r="U72">
        <v>0.02</v>
      </c>
      <c r="V72">
        <f t="shared" si="9"/>
        <v>5.0039999999999996</v>
      </c>
      <c r="W72">
        <f t="shared" si="10"/>
        <v>245.196</v>
      </c>
      <c r="X72">
        <v>2.64</v>
      </c>
      <c r="Y72">
        <f t="shared" si="11"/>
        <v>247.83599999999998</v>
      </c>
    </row>
    <row r="73" spans="1:25" x14ac:dyDescent="0.25">
      <c r="A73" t="s">
        <v>501</v>
      </c>
      <c r="B73">
        <v>41432</v>
      </c>
      <c r="C73" t="str">
        <f t="shared" si="6"/>
        <v>2013</v>
      </c>
      <c r="D73" t="s">
        <v>502</v>
      </c>
      <c r="E73" t="s">
        <v>503</v>
      </c>
      <c r="F73" t="s">
        <v>257</v>
      </c>
      <c r="G73" t="s">
        <v>258</v>
      </c>
      <c r="H73" t="s">
        <v>259</v>
      </c>
      <c r="I73" t="s">
        <v>504</v>
      </c>
      <c r="J73" t="s">
        <v>294</v>
      </c>
      <c r="K73" t="s">
        <v>482</v>
      </c>
      <c r="L73" t="s">
        <v>268</v>
      </c>
      <c r="M73" t="s">
        <v>246</v>
      </c>
      <c r="N73" t="s">
        <v>247</v>
      </c>
      <c r="O73">
        <v>41433</v>
      </c>
      <c r="P73">
        <v>60.59</v>
      </c>
      <c r="Q73">
        <v>100.98</v>
      </c>
      <c r="R73">
        <f t="shared" si="7"/>
        <v>40.39</v>
      </c>
      <c r="S73">
        <v>29</v>
      </c>
      <c r="T73">
        <f t="shared" si="8"/>
        <v>2928.42</v>
      </c>
      <c r="U73">
        <v>0.03</v>
      </c>
      <c r="V73">
        <f t="shared" si="9"/>
        <v>87.852599999999995</v>
      </c>
      <c r="W73">
        <f t="shared" si="10"/>
        <v>2840.5673999999999</v>
      </c>
      <c r="X73">
        <v>7.18</v>
      </c>
      <c r="Y73">
        <f t="shared" si="11"/>
        <v>2847.7473999999997</v>
      </c>
    </row>
    <row r="74" spans="1:25" x14ac:dyDescent="0.25">
      <c r="A74" t="s">
        <v>505</v>
      </c>
      <c r="B74">
        <v>41434</v>
      </c>
      <c r="C74" t="str">
        <f t="shared" si="6"/>
        <v>2013</v>
      </c>
      <c r="D74" t="s">
        <v>506</v>
      </c>
      <c r="E74" t="s">
        <v>507</v>
      </c>
      <c r="F74" t="s">
        <v>257</v>
      </c>
      <c r="G74" t="s">
        <v>258</v>
      </c>
      <c r="H74" t="s">
        <v>259</v>
      </c>
      <c r="I74" t="s">
        <v>381</v>
      </c>
      <c r="J74" t="s">
        <v>294</v>
      </c>
      <c r="K74" t="s">
        <v>508</v>
      </c>
      <c r="L74" t="s">
        <v>245</v>
      </c>
      <c r="M74" t="s">
        <v>246</v>
      </c>
      <c r="N74" t="s">
        <v>247</v>
      </c>
      <c r="O74">
        <v>41434</v>
      </c>
      <c r="P74">
        <v>178.83</v>
      </c>
      <c r="Q74">
        <v>415.88</v>
      </c>
      <c r="R74">
        <f t="shared" si="7"/>
        <v>237.04999999999998</v>
      </c>
      <c r="S74">
        <v>2</v>
      </c>
      <c r="T74">
        <f t="shared" si="8"/>
        <v>831.76</v>
      </c>
      <c r="U74">
        <v>7.0000000000000007E-2</v>
      </c>
      <c r="V74">
        <f t="shared" si="9"/>
        <v>58.223200000000006</v>
      </c>
      <c r="W74">
        <f t="shared" si="10"/>
        <v>773.53679999999997</v>
      </c>
      <c r="X74">
        <v>11.37</v>
      </c>
      <c r="Y74">
        <f t="shared" si="11"/>
        <v>784.90679999999998</v>
      </c>
    </row>
    <row r="75" spans="1:25" x14ac:dyDescent="0.25">
      <c r="A75" t="s">
        <v>509</v>
      </c>
      <c r="B75">
        <v>41435</v>
      </c>
      <c r="C75" t="str">
        <f t="shared" si="6"/>
        <v>2013</v>
      </c>
      <c r="D75" t="s">
        <v>510</v>
      </c>
      <c r="E75" t="s">
        <v>511</v>
      </c>
      <c r="F75" t="s">
        <v>257</v>
      </c>
      <c r="G75" t="s">
        <v>258</v>
      </c>
      <c r="H75" t="s">
        <v>293</v>
      </c>
      <c r="I75" t="s">
        <v>381</v>
      </c>
      <c r="J75" t="s">
        <v>304</v>
      </c>
      <c r="K75" t="s">
        <v>360</v>
      </c>
      <c r="L75" t="s">
        <v>245</v>
      </c>
      <c r="M75" t="s">
        <v>253</v>
      </c>
      <c r="N75" t="s">
        <v>247</v>
      </c>
      <c r="O75">
        <v>41437</v>
      </c>
      <c r="P75">
        <v>2.52</v>
      </c>
      <c r="Q75">
        <v>4</v>
      </c>
      <c r="R75">
        <f t="shared" si="7"/>
        <v>1.48</v>
      </c>
      <c r="S75">
        <v>39</v>
      </c>
      <c r="T75">
        <f t="shared" si="8"/>
        <v>156</v>
      </c>
      <c r="U75">
        <v>0.08</v>
      </c>
      <c r="V75">
        <f t="shared" si="9"/>
        <v>12.48</v>
      </c>
      <c r="W75">
        <f t="shared" si="10"/>
        <v>143.52000000000001</v>
      </c>
      <c r="X75">
        <v>1.3</v>
      </c>
      <c r="Y75">
        <f t="shared" si="11"/>
        <v>144.82000000000002</v>
      </c>
    </row>
    <row r="76" spans="1:25" x14ac:dyDescent="0.25">
      <c r="A76" t="s">
        <v>512</v>
      </c>
      <c r="B76">
        <v>41436</v>
      </c>
      <c r="C76" t="str">
        <f t="shared" si="6"/>
        <v>2013</v>
      </c>
      <c r="D76" t="s">
        <v>513</v>
      </c>
      <c r="E76" t="s">
        <v>511</v>
      </c>
      <c r="F76" t="s">
        <v>257</v>
      </c>
      <c r="G76" t="s">
        <v>258</v>
      </c>
      <c r="H76" t="s">
        <v>274</v>
      </c>
      <c r="I76" t="s">
        <v>381</v>
      </c>
      <c r="J76" t="s">
        <v>279</v>
      </c>
      <c r="K76" t="s">
        <v>514</v>
      </c>
      <c r="L76" t="s">
        <v>245</v>
      </c>
      <c r="M76" t="s">
        <v>246</v>
      </c>
      <c r="N76" t="s">
        <v>247</v>
      </c>
      <c r="O76">
        <v>41438</v>
      </c>
      <c r="P76">
        <v>19.829999999999998</v>
      </c>
      <c r="Q76">
        <v>30.98</v>
      </c>
      <c r="R76">
        <f t="shared" si="7"/>
        <v>11.150000000000002</v>
      </c>
      <c r="S76">
        <v>49</v>
      </c>
      <c r="T76">
        <f t="shared" si="8"/>
        <v>1518.02</v>
      </c>
      <c r="U76">
        <v>0.09</v>
      </c>
      <c r="V76">
        <f t="shared" si="9"/>
        <v>136.62180000000001</v>
      </c>
      <c r="W76">
        <f t="shared" si="10"/>
        <v>1381.3982000000001</v>
      </c>
      <c r="X76">
        <v>19.510000000000002</v>
      </c>
      <c r="Y76">
        <f t="shared" si="11"/>
        <v>1400.9082000000001</v>
      </c>
    </row>
    <row r="77" spans="1:25" x14ac:dyDescent="0.25">
      <c r="A77" t="s">
        <v>515</v>
      </c>
      <c r="B77">
        <v>41440</v>
      </c>
      <c r="C77" t="str">
        <f t="shared" si="6"/>
        <v>2013</v>
      </c>
      <c r="D77" t="s">
        <v>516</v>
      </c>
      <c r="E77" t="s">
        <v>256</v>
      </c>
      <c r="F77" t="s">
        <v>257</v>
      </c>
      <c r="G77" t="s">
        <v>258</v>
      </c>
      <c r="H77" t="s">
        <v>293</v>
      </c>
      <c r="I77" t="s">
        <v>260</v>
      </c>
      <c r="J77" t="s">
        <v>304</v>
      </c>
      <c r="K77" t="s">
        <v>464</v>
      </c>
      <c r="L77" t="s">
        <v>268</v>
      </c>
      <c r="M77" t="s">
        <v>246</v>
      </c>
      <c r="N77" t="s">
        <v>247</v>
      </c>
      <c r="O77">
        <v>41442</v>
      </c>
      <c r="P77">
        <v>156.5</v>
      </c>
      <c r="Q77">
        <v>300.97000000000003</v>
      </c>
      <c r="R77">
        <f t="shared" si="7"/>
        <v>144.47000000000003</v>
      </c>
      <c r="S77">
        <v>5</v>
      </c>
      <c r="T77">
        <f t="shared" si="8"/>
        <v>1504.8500000000001</v>
      </c>
      <c r="U77">
        <v>7.0000000000000007E-2</v>
      </c>
      <c r="V77">
        <f t="shared" si="9"/>
        <v>105.33950000000002</v>
      </c>
      <c r="W77">
        <f t="shared" si="10"/>
        <v>1399.5105000000001</v>
      </c>
      <c r="X77">
        <v>7.18</v>
      </c>
      <c r="Y77">
        <f t="shared" si="11"/>
        <v>1406.6905000000002</v>
      </c>
    </row>
    <row r="78" spans="1:25" x14ac:dyDescent="0.25">
      <c r="A78" t="s">
        <v>517</v>
      </c>
      <c r="B78">
        <v>41440</v>
      </c>
      <c r="C78" t="str">
        <f t="shared" si="6"/>
        <v>2013</v>
      </c>
      <c r="D78" t="s">
        <v>518</v>
      </c>
      <c r="E78" t="s">
        <v>359</v>
      </c>
      <c r="F78" t="s">
        <v>239</v>
      </c>
      <c r="G78" t="s">
        <v>240</v>
      </c>
      <c r="H78" t="s">
        <v>274</v>
      </c>
      <c r="I78" t="s">
        <v>251</v>
      </c>
      <c r="J78" t="s">
        <v>243</v>
      </c>
      <c r="K78" t="s">
        <v>519</v>
      </c>
      <c r="L78" t="s">
        <v>245</v>
      </c>
      <c r="M78" t="s">
        <v>253</v>
      </c>
      <c r="N78" t="s">
        <v>263</v>
      </c>
      <c r="O78">
        <v>41442</v>
      </c>
      <c r="P78">
        <v>2.9</v>
      </c>
      <c r="Q78">
        <v>4.76</v>
      </c>
      <c r="R78">
        <f t="shared" si="7"/>
        <v>1.8599999999999999</v>
      </c>
      <c r="S78">
        <v>27</v>
      </c>
      <c r="T78">
        <f t="shared" si="8"/>
        <v>128.51999999999998</v>
      </c>
      <c r="U78">
        <v>7.0000000000000007E-2</v>
      </c>
      <c r="V78">
        <f t="shared" si="9"/>
        <v>8.9963999999999995</v>
      </c>
      <c r="W78">
        <f t="shared" si="10"/>
        <v>119.52359999999999</v>
      </c>
      <c r="X78">
        <v>0.88</v>
      </c>
      <c r="Y78">
        <f t="shared" si="11"/>
        <v>120.40359999999998</v>
      </c>
    </row>
    <row r="79" spans="1:25" x14ac:dyDescent="0.25">
      <c r="A79" t="s">
        <v>520</v>
      </c>
      <c r="B79">
        <v>41441</v>
      </c>
      <c r="C79" t="str">
        <f t="shared" si="6"/>
        <v>2013</v>
      </c>
      <c r="D79" t="s">
        <v>521</v>
      </c>
      <c r="E79" t="s">
        <v>522</v>
      </c>
      <c r="F79" t="s">
        <v>239</v>
      </c>
      <c r="G79" t="s">
        <v>240</v>
      </c>
      <c r="H79" t="s">
        <v>259</v>
      </c>
      <c r="I79" t="s">
        <v>251</v>
      </c>
      <c r="J79" t="s">
        <v>279</v>
      </c>
      <c r="K79" t="s">
        <v>464</v>
      </c>
      <c r="L79" t="s">
        <v>268</v>
      </c>
      <c r="M79" t="s">
        <v>246</v>
      </c>
      <c r="N79" t="s">
        <v>247</v>
      </c>
      <c r="O79">
        <v>41441</v>
      </c>
      <c r="P79">
        <v>156.5</v>
      </c>
      <c r="Q79">
        <v>300.97000000000003</v>
      </c>
      <c r="R79">
        <f t="shared" si="7"/>
        <v>144.47000000000003</v>
      </c>
      <c r="S79">
        <v>1</v>
      </c>
      <c r="T79">
        <f t="shared" si="8"/>
        <v>300.97000000000003</v>
      </c>
      <c r="U79">
        <v>0.06</v>
      </c>
      <c r="V79">
        <f t="shared" si="9"/>
        <v>18.058199999999999</v>
      </c>
      <c r="W79">
        <f t="shared" si="10"/>
        <v>282.91180000000003</v>
      </c>
      <c r="X79">
        <v>7.18</v>
      </c>
      <c r="Y79">
        <f t="shared" si="11"/>
        <v>290.09180000000003</v>
      </c>
    </row>
    <row r="80" spans="1:25" x14ac:dyDescent="0.25">
      <c r="A80" t="s">
        <v>523</v>
      </c>
      <c r="B80">
        <v>41445</v>
      </c>
      <c r="C80" t="str">
        <f t="shared" si="6"/>
        <v>2013</v>
      </c>
      <c r="D80" t="s">
        <v>336</v>
      </c>
      <c r="E80" t="s">
        <v>337</v>
      </c>
      <c r="F80" t="s">
        <v>257</v>
      </c>
      <c r="G80" t="s">
        <v>258</v>
      </c>
      <c r="H80" t="s">
        <v>293</v>
      </c>
      <c r="I80" t="s">
        <v>275</v>
      </c>
      <c r="J80" t="s">
        <v>304</v>
      </c>
      <c r="K80" t="s">
        <v>468</v>
      </c>
      <c r="L80" t="s">
        <v>245</v>
      </c>
      <c r="M80" t="s">
        <v>253</v>
      </c>
      <c r="N80" t="s">
        <v>247</v>
      </c>
      <c r="O80">
        <v>41446</v>
      </c>
      <c r="P80">
        <v>2.29</v>
      </c>
      <c r="Q80">
        <v>3.58</v>
      </c>
      <c r="R80">
        <f t="shared" si="7"/>
        <v>1.29</v>
      </c>
      <c r="S80">
        <v>10</v>
      </c>
      <c r="T80">
        <f t="shared" si="8"/>
        <v>35.799999999999997</v>
      </c>
      <c r="U80">
        <v>0.05</v>
      </c>
      <c r="V80">
        <f t="shared" si="9"/>
        <v>1.79</v>
      </c>
      <c r="W80">
        <f t="shared" si="10"/>
        <v>34.01</v>
      </c>
      <c r="X80">
        <v>1.63</v>
      </c>
      <c r="Y80">
        <f t="shared" si="11"/>
        <v>35.64</v>
      </c>
    </row>
    <row r="81" spans="1:25" x14ac:dyDescent="0.25">
      <c r="A81" t="s">
        <v>524</v>
      </c>
      <c r="B81">
        <v>41446</v>
      </c>
      <c r="C81" t="str">
        <f t="shared" si="6"/>
        <v>2013</v>
      </c>
      <c r="D81" t="s">
        <v>525</v>
      </c>
      <c r="E81" t="s">
        <v>432</v>
      </c>
      <c r="F81" t="s">
        <v>257</v>
      </c>
      <c r="G81" t="s">
        <v>258</v>
      </c>
      <c r="H81" t="s">
        <v>259</v>
      </c>
      <c r="I81" t="s">
        <v>333</v>
      </c>
      <c r="J81" t="s">
        <v>304</v>
      </c>
      <c r="K81" t="s">
        <v>285</v>
      </c>
      <c r="L81" t="s">
        <v>245</v>
      </c>
      <c r="M81" t="s">
        <v>246</v>
      </c>
      <c r="N81" t="s">
        <v>247</v>
      </c>
      <c r="O81">
        <v>41447</v>
      </c>
      <c r="P81">
        <v>99.39</v>
      </c>
      <c r="Q81">
        <v>162.93</v>
      </c>
      <c r="R81">
        <f t="shared" si="7"/>
        <v>63.540000000000006</v>
      </c>
      <c r="S81">
        <v>7</v>
      </c>
      <c r="T81">
        <f t="shared" si="8"/>
        <v>1140.51</v>
      </c>
      <c r="U81">
        <v>0.03</v>
      </c>
      <c r="V81">
        <f t="shared" si="9"/>
        <v>34.215299999999999</v>
      </c>
      <c r="W81">
        <f t="shared" si="10"/>
        <v>1106.2946999999999</v>
      </c>
      <c r="X81">
        <v>19.989999999999998</v>
      </c>
      <c r="Y81">
        <f t="shared" si="11"/>
        <v>1126.2846999999999</v>
      </c>
    </row>
    <row r="82" spans="1:25" x14ac:dyDescent="0.25">
      <c r="A82" t="s">
        <v>526</v>
      </c>
      <c r="B82">
        <v>41446</v>
      </c>
      <c r="C82" t="str">
        <f t="shared" si="6"/>
        <v>2013</v>
      </c>
      <c r="D82" t="s">
        <v>527</v>
      </c>
      <c r="E82" t="s">
        <v>528</v>
      </c>
      <c r="F82" t="s">
        <v>239</v>
      </c>
      <c r="G82" t="s">
        <v>240</v>
      </c>
      <c r="H82" t="s">
        <v>293</v>
      </c>
      <c r="I82" t="s">
        <v>251</v>
      </c>
      <c r="J82" t="s">
        <v>243</v>
      </c>
      <c r="K82" t="s">
        <v>529</v>
      </c>
      <c r="L82" t="s">
        <v>245</v>
      </c>
      <c r="M82" t="s">
        <v>253</v>
      </c>
      <c r="N82" t="s">
        <v>263</v>
      </c>
      <c r="O82">
        <v>41448</v>
      </c>
      <c r="P82">
        <v>1.6</v>
      </c>
      <c r="Q82">
        <v>2.62</v>
      </c>
      <c r="R82">
        <f t="shared" si="7"/>
        <v>1.02</v>
      </c>
      <c r="S82">
        <v>34</v>
      </c>
      <c r="T82">
        <f t="shared" si="8"/>
        <v>89.08</v>
      </c>
      <c r="U82">
        <v>0.08</v>
      </c>
      <c r="V82">
        <f t="shared" si="9"/>
        <v>7.1264000000000003</v>
      </c>
      <c r="W82">
        <f t="shared" si="10"/>
        <v>81.953599999999994</v>
      </c>
      <c r="X82">
        <v>0.8</v>
      </c>
      <c r="Y82">
        <f t="shared" si="11"/>
        <v>82.753599999999992</v>
      </c>
    </row>
    <row r="83" spans="1:25" x14ac:dyDescent="0.25">
      <c r="A83" t="s">
        <v>530</v>
      </c>
      <c r="B83">
        <v>41449</v>
      </c>
      <c r="C83" t="str">
        <f t="shared" si="6"/>
        <v>2013</v>
      </c>
      <c r="D83" t="s">
        <v>531</v>
      </c>
      <c r="E83" t="s">
        <v>532</v>
      </c>
      <c r="F83" t="s">
        <v>257</v>
      </c>
      <c r="G83" t="s">
        <v>258</v>
      </c>
      <c r="H83" t="s">
        <v>259</v>
      </c>
      <c r="I83" t="s">
        <v>260</v>
      </c>
      <c r="J83" t="s">
        <v>243</v>
      </c>
      <c r="K83" t="s">
        <v>533</v>
      </c>
      <c r="L83" t="s">
        <v>245</v>
      </c>
      <c r="M83" t="s">
        <v>246</v>
      </c>
      <c r="N83" t="s">
        <v>247</v>
      </c>
      <c r="O83">
        <v>41450</v>
      </c>
      <c r="P83">
        <v>3.4</v>
      </c>
      <c r="Q83">
        <v>5.4</v>
      </c>
      <c r="R83">
        <f t="shared" si="7"/>
        <v>2.0000000000000004</v>
      </c>
      <c r="S83">
        <v>25</v>
      </c>
      <c r="T83">
        <f t="shared" si="8"/>
        <v>135</v>
      </c>
      <c r="U83">
        <v>0.09</v>
      </c>
      <c r="V83">
        <f t="shared" si="9"/>
        <v>12.15</v>
      </c>
      <c r="W83">
        <f t="shared" si="10"/>
        <v>122.85</v>
      </c>
      <c r="X83">
        <v>7.78</v>
      </c>
      <c r="Y83">
        <f t="shared" si="11"/>
        <v>130.63</v>
      </c>
    </row>
    <row r="84" spans="1:25" x14ac:dyDescent="0.25">
      <c r="A84" t="s">
        <v>534</v>
      </c>
      <c r="B84">
        <v>41450</v>
      </c>
      <c r="C84" t="str">
        <f t="shared" si="6"/>
        <v>2013</v>
      </c>
      <c r="D84" t="s">
        <v>535</v>
      </c>
      <c r="E84" t="s">
        <v>536</v>
      </c>
      <c r="F84" t="s">
        <v>448</v>
      </c>
      <c r="G84" t="s">
        <v>449</v>
      </c>
      <c r="H84" t="s">
        <v>241</v>
      </c>
      <c r="I84" t="s">
        <v>333</v>
      </c>
      <c r="J84" t="s">
        <v>243</v>
      </c>
      <c r="K84" t="s">
        <v>537</v>
      </c>
      <c r="L84" t="s">
        <v>245</v>
      </c>
      <c r="M84" t="s">
        <v>253</v>
      </c>
      <c r="N84" t="s">
        <v>247</v>
      </c>
      <c r="O84">
        <v>41451</v>
      </c>
      <c r="P84">
        <v>11.11</v>
      </c>
      <c r="Q84">
        <v>19.84</v>
      </c>
      <c r="R84">
        <f t="shared" si="7"/>
        <v>8.73</v>
      </c>
      <c r="S84">
        <v>26</v>
      </c>
      <c r="T84">
        <f t="shared" si="8"/>
        <v>515.84</v>
      </c>
      <c r="U84">
        <v>7.0000000000000007E-2</v>
      </c>
      <c r="V84">
        <f t="shared" si="9"/>
        <v>36.108800000000002</v>
      </c>
      <c r="W84">
        <f t="shared" si="10"/>
        <v>479.73120000000006</v>
      </c>
      <c r="X84">
        <v>4.0999999999999996</v>
      </c>
      <c r="Y84">
        <f t="shared" si="11"/>
        <v>483.83120000000008</v>
      </c>
    </row>
    <row r="85" spans="1:25" x14ac:dyDescent="0.25">
      <c r="A85" t="s">
        <v>538</v>
      </c>
      <c r="B85">
        <v>41451</v>
      </c>
      <c r="C85" t="str">
        <f t="shared" si="6"/>
        <v>2013</v>
      </c>
      <c r="D85" t="s">
        <v>539</v>
      </c>
      <c r="E85" t="s">
        <v>540</v>
      </c>
      <c r="F85" t="s">
        <v>448</v>
      </c>
      <c r="G85" t="s">
        <v>449</v>
      </c>
      <c r="H85" t="s">
        <v>259</v>
      </c>
      <c r="I85" t="s">
        <v>299</v>
      </c>
      <c r="J85" t="s">
        <v>261</v>
      </c>
      <c r="K85" t="s">
        <v>338</v>
      </c>
      <c r="L85" t="s">
        <v>245</v>
      </c>
      <c r="M85" t="s">
        <v>253</v>
      </c>
      <c r="N85" t="s">
        <v>247</v>
      </c>
      <c r="O85">
        <v>41452</v>
      </c>
      <c r="P85">
        <v>1.82</v>
      </c>
      <c r="Q85">
        <v>2.98</v>
      </c>
      <c r="R85">
        <f t="shared" si="7"/>
        <v>1.1599999999999999</v>
      </c>
      <c r="S85">
        <v>3</v>
      </c>
      <c r="T85">
        <f t="shared" si="8"/>
        <v>8.94</v>
      </c>
      <c r="U85">
        <v>0.09</v>
      </c>
      <c r="V85">
        <f t="shared" si="9"/>
        <v>0.80459999999999987</v>
      </c>
      <c r="W85">
        <f t="shared" si="10"/>
        <v>8.1353999999999989</v>
      </c>
      <c r="X85">
        <v>1.58</v>
      </c>
      <c r="Y85">
        <f t="shared" si="11"/>
        <v>9.7153999999999989</v>
      </c>
    </row>
    <row r="86" spans="1:25" x14ac:dyDescent="0.25">
      <c r="A86" t="s">
        <v>541</v>
      </c>
      <c r="B86">
        <v>41454</v>
      </c>
      <c r="C86" t="str">
        <f t="shared" si="6"/>
        <v>2013</v>
      </c>
      <c r="D86" t="s">
        <v>542</v>
      </c>
      <c r="E86" t="s">
        <v>303</v>
      </c>
      <c r="F86" t="s">
        <v>239</v>
      </c>
      <c r="G86" t="s">
        <v>240</v>
      </c>
      <c r="H86" t="s">
        <v>241</v>
      </c>
      <c r="I86" t="s">
        <v>242</v>
      </c>
      <c r="J86" t="s">
        <v>304</v>
      </c>
      <c r="K86" t="s">
        <v>543</v>
      </c>
      <c r="L86" t="s">
        <v>245</v>
      </c>
      <c r="M86" t="s">
        <v>246</v>
      </c>
      <c r="N86" t="s">
        <v>247</v>
      </c>
      <c r="O86">
        <v>41456</v>
      </c>
      <c r="P86">
        <v>1.33</v>
      </c>
      <c r="Q86">
        <v>2.08</v>
      </c>
      <c r="R86">
        <f t="shared" si="7"/>
        <v>0.75</v>
      </c>
      <c r="S86">
        <v>44</v>
      </c>
      <c r="T86">
        <f t="shared" si="8"/>
        <v>91.52000000000001</v>
      </c>
      <c r="U86">
        <v>0.04</v>
      </c>
      <c r="V86">
        <f t="shared" si="9"/>
        <v>3.6608000000000005</v>
      </c>
      <c r="W86">
        <f t="shared" si="10"/>
        <v>87.859200000000016</v>
      </c>
      <c r="X86">
        <v>1.49</v>
      </c>
      <c r="Y86">
        <f t="shared" si="11"/>
        <v>89.34920000000001</v>
      </c>
    </row>
    <row r="87" spans="1:25" x14ac:dyDescent="0.25">
      <c r="A87" t="s">
        <v>544</v>
      </c>
      <c r="B87">
        <v>41454</v>
      </c>
      <c r="C87" t="str">
        <f t="shared" si="6"/>
        <v>2013</v>
      </c>
      <c r="D87" t="s">
        <v>545</v>
      </c>
      <c r="E87" t="s">
        <v>546</v>
      </c>
      <c r="F87" t="s">
        <v>257</v>
      </c>
      <c r="G87" t="s">
        <v>258</v>
      </c>
      <c r="H87" t="s">
        <v>293</v>
      </c>
      <c r="I87" t="s">
        <v>260</v>
      </c>
      <c r="J87" t="s">
        <v>294</v>
      </c>
      <c r="K87" t="s">
        <v>547</v>
      </c>
      <c r="L87" t="s">
        <v>268</v>
      </c>
      <c r="M87" t="s">
        <v>414</v>
      </c>
      <c r="N87" t="s">
        <v>247</v>
      </c>
      <c r="O87">
        <v>41456</v>
      </c>
      <c r="P87">
        <v>7.92</v>
      </c>
      <c r="Q87">
        <v>12.99</v>
      </c>
      <c r="R87">
        <f t="shared" si="7"/>
        <v>5.07</v>
      </c>
      <c r="S87">
        <v>49</v>
      </c>
      <c r="T87">
        <f t="shared" si="8"/>
        <v>636.51</v>
      </c>
      <c r="U87">
        <v>7.0000000000000007E-2</v>
      </c>
      <c r="V87">
        <f t="shared" si="9"/>
        <v>44.555700000000002</v>
      </c>
      <c r="W87">
        <f t="shared" si="10"/>
        <v>591.95429999999999</v>
      </c>
      <c r="X87">
        <v>9.44</v>
      </c>
      <c r="Y87">
        <f t="shared" si="11"/>
        <v>601.39430000000004</v>
      </c>
    </row>
    <row r="88" spans="1:25" x14ac:dyDescent="0.25">
      <c r="A88" t="s">
        <v>548</v>
      </c>
      <c r="B88">
        <v>41455</v>
      </c>
      <c r="C88" t="str">
        <f t="shared" si="6"/>
        <v>2013</v>
      </c>
      <c r="D88" t="s">
        <v>549</v>
      </c>
      <c r="E88" t="s">
        <v>380</v>
      </c>
      <c r="F88" t="s">
        <v>257</v>
      </c>
      <c r="G88" t="s">
        <v>258</v>
      </c>
      <c r="H88" t="s">
        <v>293</v>
      </c>
      <c r="I88" t="s">
        <v>381</v>
      </c>
      <c r="J88" t="s">
        <v>279</v>
      </c>
      <c r="K88" t="s">
        <v>373</v>
      </c>
      <c r="L88" t="s">
        <v>268</v>
      </c>
      <c r="M88" t="s">
        <v>246</v>
      </c>
      <c r="N88" t="s">
        <v>247</v>
      </c>
      <c r="O88">
        <v>41459</v>
      </c>
      <c r="P88">
        <v>6.39</v>
      </c>
      <c r="Q88">
        <v>19.98</v>
      </c>
      <c r="R88">
        <f t="shared" si="7"/>
        <v>13.59</v>
      </c>
      <c r="S88">
        <v>19</v>
      </c>
      <c r="T88">
        <f t="shared" si="8"/>
        <v>379.62</v>
      </c>
      <c r="U88">
        <v>0.08</v>
      </c>
      <c r="V88">
        <f t="shared" si="9"/>
        <v>30.369600000000002</v>
      </c>
      <c r="W88">
        <f t="shared" si="10"/>
        <v>349.25040000000001</v>
      </c>
      <c r="X88">
        <v>4</v>
      </c>
      <c r="Y88">
        <f t="shared" si="11"/>
        <v>353.25040000000001</v>
      </c>
    </row>
    <row r="89" spans="1:25" x14ac:dyDescent="0.25">
      <c r="A89" t="s">
        <v>550</v>
      </c>
      <c r="B89">
        <v>41457</v>
      </c>
      <c r="C89" t="str">
        <f t="shared" si="6"/>
        <v>2013</v>
      </c>
      <c r="D89" t="s">
        <v>551</v>
      </c>
      <c r="E89" t="s">
        <v>552</v>
      </c>
      <c r="F89" t="s">
        <v>257</v>
      </c>
      <c r="G89" t="s">
        <v>258</v>
      </c>
      <c r="H89" t="s">
        <v>274</v>
      </c>
      <c r="I89" t="s">
        <v>284</v>
      </c>
      <c r="J89" t="s">
        <v>243</v>
      </c>
      <c r="K89" t="s">
        <v>403</v>
      </c>
      <c r="L89" t="s">
        <v>268</v>
      </c>
      <c r="M89" t="s">
        <v>323</v>
      </c>
      <c r="N89" t="s">
        <v>263</v>
      </c>
      <c r="O89">
        <v>41458</v>
      </c>
      <c r="P89">
        <v>1.87</v>
      </c>
      <c r="Q89">
        <v>8.1199999999999992</v>
      </c>
      <c r="R89">
        <f t="shared" si="7"/>
        <v>6.2499999999999991</v>
      </c>
      <c r="S89">
        <v>32</v>
      </c>
      <c r="T89">
        <f t="shared" si="8"/>
        <v>259.83999999999997</v>
      </c>
      <c r="U89">
        <v>0.08</v>
      </c>
      <c r="V89">
        <f t="shared" si="9"/>
        <v>20.787199999999999</v>
      </c>
      <c r="W89">
        <f t="shared" si="10"/>
        <v>239.05279999999999</v>
      </c>
      <c r="X89">
        <v>2.83</v>
      </c>
      <c r="Y89">
        <f t="shared" si="11"/>
        <v>241.8828</v>
      </c>
    </row>
    <row r="90" spans="1:25" x14ac:dyDescent="0.25">
      <c r="A90" t="s">
        <v>553</v>
      </c>
      <c r="B90">
        <v>41458</v>
      </c>
      <c r="C90" t="str">
        <f t="shared" si="6"/>
        <v>2013</v>
      </c>
      <c r="D90" t="s">
        <v>554</v>
      </c>
      <c r="E90" t="s">
        <v>367</v>
      </c>
      <c r="F90" t="s">
        <v>239</v>
      </c>
      <c r="G90" t="s">
        <v>240</v>
      </c>
      <c r="H90" t="s">
        <v>241</v>
      </c>
      <c r="I90" t="s">
        <v>251</v>
      </c>
      <c r="J90" t="s">
        <v>243</v>
      </c>
      <c r="K90" t="s">
        <v>555</v>
      </c>
      <c r="L90" t="s">
        <v>245</v>
      </c>
      <c r="M90" t="s">
        <v>246</v>
      </c>
      <c r="N90" t="s">
        <v>247</v>
      </c>
      <c r="O90">
        <v>41460</v>
      </c>
      <c r="P90">
        <v>1.98</v>
      </c>
      <c r="Q90">
        <v>3.15</v>
      </c>
      <c r="R90">
        <f t="shared" si="7"/>
        <v>1.17</v>
      </c>
      <c r="S90">
        <v>23</v>
      </c>
      <c r="T90">
        <f t="shared" si="8"/>
        <v>72.45</v>
      </c>
      <c r="U90">
        <v>0.01</v>
      </c>
      <c r="V90">
        <f t="shared" si="9"/>
        <v>0.72450000000000003</v>
      </c>
      <c r="W90">
        <f t="shared" si="10"/>
        <v>71.725499999999997</v>
      </c>
      <c r="X90">
        <v>0.49</v>
      </c>
      <c r="Y90">
        <f t="shared" si="11"/>
        <v>72.215499999999992</v>
      </c>
    </row>
    <row r="91" spans="1:25" x14ac:dyDescent="0.25">
      <c r="A91" t="s">
        <v>556</v>
      </c>
      <c r="B91">
        <v>41458</v>
      </c>
      <c r="C91" t="str">
        <f t="shared" si="6"/>
        <v>2013</v>
      </c>
      <c r="D91" t="s">
        <v>557</v>
      </c>
      <c r="E91" t="s">
        <v>558</v>
      </c>
      <c r="F91" t="s">
        <v>257</v>
      </c>
      <c r="G91" t="s">
        <v>258</v>
      </c>
      <c r="H91" t="s">
        <v>259</v>
      </c>
      <c r="I91" t="s">
        <v>333</v>
      </c>
      <c r="J91" t="s">
        <v>294</v>
      </c>
      <c r="K91" t="s">
        <v>559</v>
      </c>
      <c r="L91" t="s">
        <v>245</v>
      </c>
      <c r="M91" t="s">
        <v>246</v>
      </c>
      <c r="N91" t="s">
        <v>247</v>
      </c>
      <c r="O91">
        <v>41460</v>
      </c>
      <c r="P91">
        <v>16.850000000000001</v>
      </c>
      <c r="Q91">
        <v>27.18</v>
      </c>
      <c r="R91">
        <f t="shared" si="7"/>
        <v>10.329999999999998</v>
      </c>
      <c r="S91">
        <v>34</v>
      </c>
      <c r="T91">
        <f t="shared" si="8"/>
        <v>924.12</v>
      </c>
      <c r="U91">
        <v>0.1</v>
      </c>
      <c r="V91">
        <f t="shared" si="9"/>
        <v>92.412000000000006</v>
      </c>
      <c r="W91">
        <f t="shared" si="10"/>
        <v>831.70799999999997</v>
      </c>
      <c r="X91">
        <v>8.23</v>
      </c>
      <c r="Y91">
        <f t="shared" si="11"/>
        <v>839.93799999999999</v>
      </c>
    </row>
    <row r="92" spans="1:25" x14ac:dyDescent="0.25">
      <c r="A92" t="s">
        <v>560</v>
      </c>
      <c r="B92">
        <v>41459</v>
      </c>
      <c r="C92" t="str">
        <f t="shared" si="6"/>
        <v>2013</v>
      </c>
      <c r="D92" t="s">
        <v>561</v>
      </c>
      <c r="E92" t="s">
        <v>528</v>
      </c>
      <c r="F92" t="s">
        <v>239</v>
      </c>
      <c r="G92" t="s">
        <v>240</v>
      </c>
      <c r="H92" t="s">
        <v>293</v>
      </c>
      <c r="I92" t="s">
        <v>251</v>
      </c>
      <c r="J92" t="s">
        <v>261</v>
      </c>
      <c r="K92" t="s">
        <v>529</v>
      </c>
      <c r="L92" t="s">
        <v>245</v>
      </c>
      <c r="M92" t="s">
        <v>253</v>
      </c>
      <c r="N92" t="s">
        <v>247</v>
      </c>
      <c r="O92">
        <v>41460</v>
      </c>
      <c r="P92">
        <v>1.6</v>
      </c>
      <c r="Q92">
        <v>2.62</v>
      </c>
      <c r="R92">
        <f t="shared" si="7"/>
        <v>1.02</v>
      </c>
      <c r="S92">
        <v>21</v>
      </c>
      <c r="T92">
        <f t="shared" si="8"/>
        <v>55.02</v>
      </c>
      <c r="U92">
        <v>0.05</v>
      </c>
      <c r="V92">
        <f t="shared" si="9"/>
        <v>2.7510000000000003</v>
      </c>
      <c r="W92">
        <f t="shared" si="10"/>
        <v>52.269000000000005</v>
      </c>
      <c r="X92">
        <v>0.8</v>
      </c>
      <c r="Y92">
        <f t="shared" si="11"/>
        <v>53.069000000000003</v>
      </c>
    </row>
    <row r="93" spans="1:25" x14ac:dyDescent="0.25">
      <c r="A93" t="s">
        <v>562</v>
      </c>
      <c r="B93">
        <v>41460</v>
      </c>
      <c r="C93" t="str">
        <f t="shared" si="6"/>
        <v>2013</v>
      </c>
      <c r="D93" t="s">
        <v>563</v>
      </c>
      <c r="E93" t="s">
        <v>564</v>
      </c>
      <c r="F93" t="s">
        <v>239</v>
      </c>
      <c r="G93" t="s">
        <v>240</v>
      </c>
      <c r="H93" t="s">
        <v>259</v>
      </c>
      <c r="I93" t="s">
        <v>251</v>
      </c>
      <c r="J93" t="s">
        <v>294</v>
      </c>
      <c r="K93" t="s">
        <v>413</v>
      </c>
      <c r="L93" t="s">
        <v>268</v>
      </c>
      <c r="M93" t="s">
        <v>414</v>
      </c>
      <c r="N93" t="s">
        <v>247</v>
      </c>
      <c r="O93">
        <v>41462</v>
      </c>
      <c r="P93">
        <v>8.82</v>
      </c>
      <c r="Q93">
        <v>20.99</v>
      </c>
      <c r="R93">
        <f t="shared" si="7"/>
        <v>12.169999999999998</v>
      </c>
      <c r="S93">
        <v>41</v>
      </c>
      <c r="T93">
        <f t="shared" si="8"/>
        <v>860.58999999999992</v>
      </c>
      <c r="U93">
        <v>0.02</v>
      </c>
      <c r="V93">
        <f t="shared" si="9"/>
        <v>17.2118</v>
      </c>
      <c r="W93">
        <f t="shared" si="10"/>
        <v>843.37819999999988</v>
      </c>
      <c r="X93">
        <v>4.8099999999999996</v>
      </c>
      <c r="Y93">
        <f t="shared" si="11"/>
        <v>848.18819999999982</v>
      </c>
    </row>
    <row r="94" spans="1:25" x14ac:dyDescent="0.25">
      <c r="A94" t="s">
        <v>565</v>
      </c>
      <c r="B94">
        <v>41460</v>
      </c>
      <c r="C94" t="str">
        <f t="shared" si="6"/>
        <v>2013</v>
      </c>
      <c r="D94" t="s">
        <v>563</v>
      </c>
      <c r="E94" t="s">
        <v>564</v>
      </c>
      <c r="F94" t="s">
        <v>239</v>
      </c>
      <c r="G94" t="s">
        <v>240</v>
      </c>
      <c r="H94" t="s">
        <v>259</v>
      </c>
      <c r="I94" t="s">
        <v>251</v>
      </c>
      <c r="J94" t="s">
        <v>294</v>
      </c>
      <c r="K94" t="s">
        <v>533</v>
      </c>
      <c r="L94" t="s">
        <v>245</v>
      </c>
      <c r="M94" t="s">
        <v>246</v>
      </c>
      <c r="N94" t="s">
        <v>263</v>
      </c>
      <c r="O94">
        <v>41462</v>
      </c>
      <c r="P94">
        <v>3.4</v>
      </c>
      <c r="Q94">
        <v>5.4</v>
      </c>
      <c r="R94">
        <f t="shared" si="7"/>
        <v>2.0000000000000004</v>
      </c>
      <c r="S94">
        <v>26</v>
      </c>
      <c r="T94">
        <f t="shared" si="8"/>
        <v>140.4</v>
      </c>
      <c r="U94">
        <v>0.05</v>
      </c>
      <c r="V94">
        <f t="shared" si="9"/>
        <v>7.0200000000000005</v>
      </c>
      <c r="W94">
        <f t="shared" si="10"/>
        <v>133.38</v>
      </c>
      <c r="X94">
        <v>7.78</v>
      </c>
      <c r="Y94">
        <f t="shared" si="11"/>
        <v>141.16</v>
      </c>
    </row>
    <row r="95" spans="1:25" x14ac:dyDescent="0.25">
      <c r="A95" t="s">
        <v>566</v>
      </c>
      <c r="B95">
        <v>41461</v>
      </c>
      <c r="C95" t="str">
        <f t="shared" si="6"/>
        <v>2013</v>
      </c>
      <c r="D95" t="s">
        <v>336</v>
      </c>
      <c r="E95" t="s">
        <v>337</v>
      </c>
      <c r="F95" t="s">
        <v>257</v>
      </c>
      <c r="G95" t="s">
        <v>258</v>
      </c>
      <c r="H95" t="s">
        <v>293</v>
      </c>
      <c r="I95" t="s">
        <v>275</v>
      </c>
      <c r="J95" t="s">
        <v>304</v>
      </c>
      <c r="K95" t="s">
        <v>567</v>
      </c>
      <c r="L95" t="s">
        <v>245</v>
      </c>
      <c r="M95" t="s">
        <v>246</v>
      </c>
      <c r="N95" t="s">
        <v>247</v>
      </c>
      <c r="O95">
        <v>41461</v>
      </c>
      <c r="P95">
        <v>21.56</v>
      </c>
      <c r="Q95">
        <v>35.94</v>
      </c>
      <c r="R95">
        <f t="shared" si="7"/>
        <v>14.379999999999999</v>
      </c>
      <c r="S95">
        <v>28</v>
      </c>
      <c r="T95">
        <f t="shared" si="8"/>
        <v>1006.3199999999999</v>
      </c>
      <c r="U95">
        <v>0.01</v>
      </c>
      <c r="V95">
        <f t="shared" si="9"/>
        <v>10.0632</v>
      </c>
      <c r="W95">
        <f t="shared" si="10"/>
        <v>996.25679999999988</v>
      </c>
      <c r="X95">
        <v>6.66</v>
      </c>
      <c r="Y95">
        <f t="shared" si="11"/>
        <v>1002.9167999999999</v>
      </c>
    </row>
    <row r="96" spans="1:25" x14ac:dyDescent="0.25">
      <c r="A96" t="s">
        <v>568</v>
      </c>
      <c r="B96">
        <v>41465</v>
      </c>
      <c r="C96" t="str">
        <f t="shared" si="6"/>
        <v>2013</v>
      </c>
      <c r="D96" t="s">
        <v>569</v>
      </c>
      <c r="E96" t="s">
        <v>352</v>
      </c>
      <c r="F96" t="s">
        <v>257</v>
      </c>
      <c r="G96" t="s">
        <v>258</v>
      </c>
      <c r="H96" t="s">
        <v>259</v>
      </c>
      <c r="I96" t="s">
        <v>275</v>
      </c>
      <c r="J96" t="s">
        <v>261</v>
      </c>
      <c r="K96" t="s">
        <v>570</v>
      </c>
      <c r="L96" t="s">
        <v>245</v>
      </c>
      <c r="M96" t="s">
        <v>246</v>
      </c>
      <c r="N96" t="s">
        <v>247</v>
      </c>
      <c r="O96">
        <v>41465</v>
      </c>
      <c r="P96">
        <v>2.74</v>
      </c>
      <c r="Q96">
        <v>4.49</v>
      </c>
      <c r="R96">
        <f t="shared" si="7"/>
        <v>1.75</v>
      </c>
      <c r="S96">
        <v>11</v>
      </c>
      <c r="T96">
        <f t="shared" si="8"/>
        <v>49.39</v>
      </c>
      <c r="U96">
        <v>0.08</v>
      </c>
      <c r="V96">
        <f t="shared" si="9"/>
        <v>3.9512</v>
      </c>
      <c r="W96">
        <f t="shared" si="10"/>
        <v>45.438800000000001</v>
      </c>
      <c r="X96">
        <v>1.49</v>
      </c>
      <c r="Y96">
        <f t="shared" si="11"/>
        <v>46.928800000000003</v>
      </c>
    </row>
    <row r="97" spans="1:25" x14ac:dyDescent="0.25">
      <c r="A97" t="s">
        <v>571</v>
      </c>
      <c r="B97">
        <v>41465</v>
      </c>
      <c r="C97" t="str">
        <f t="shared" si="6"/>
        <v>2013</v>
      </c>
      <c r="D97" t="s">
        <v>355</v>
      </c>
      <c r="E97" t="s">
        <v>356</v>
      </c>
      <c r="F97" t="s">
        <v>239</v>
      </c>
      <c r="G97" t="s">
        <v>240</v>
      </c>
      <c r="H97" t="s">
        <v>259</v>
      </c>
      <c r="I97" t="s">
        <v>251</v>
      </c>
      <c r="J97" t="s">
        <v>294</v>
      </c>
      <c r="K97" t="s">
        <v>572</v>
      </c>
      <c r="L97" t="s">
        <v>245</v>
      </c>
      <c r="M97" t="s">
        <v>253</v>
      </c>
      <c r="N97" t="s">
        <v>247</v>
      </c>
      <c r="O97">
        <v>41468</v>
      </c>
      <c r="P97">
        <v>4.37</v>
      </c>
      <c r="Q97">
        <v>9.11</v>
      </c>
      <c r="R97">
        <f t="shared" si="7"/>
        <v>4.7399999999999993</v>
      </c>
      <c r="S97">
        <v>6</v>
      </c>
      <c r="T97">
        <f t="shared" si="8"/>
        <v>54.66</v>
      </c>
      <c r="U97">
        <v>0.04</v>
      </c>
      <c r="V97">
        <f t="shared" si="9"/>
        <v>2.1863999999999999</v>
      </c>
      <c r="W97">
        <f t="shared" si="10"/>
        <v>52.473599999999998</v>
      </c>
      <c r="X97">
        <v>2.25</v>
      </c>
      <c r="Y97">
        <f t="shared" si="11"/>
        <v>54.723599999999998</v>
      </c>
    </row>
    <row r="98" spans="1:25" x14ac:dyDescent="0.25">
      <c r="A98" t="s">
        <v>573</v>
      </c>
      <c r="B98">
        <v>41470</v>
      </c>
      <c r="C98" t="str">
        <f t="shared" si="6"/>
        <v>2013</v>
      </c>
      <c r="D98" t="s">
        <v>574</v>
      </c>
      <c r="E98" t="s">
        <v>575</v>
      </c>
      <c r="F98" t="s">
        <v>257</v>
      </c>
      <c r="G98" t="s">
        <v>258</v>
      </c>
      <c r="H98" t="s">
        <v>274</v>
      </c>
      <c r="I98" t="s">
        <v>381</v>
      </c>
      <c r="J98" t="s">
        <v>261</v>
      </c>
      <c r="K98" t="s">
        <v>576</v>
      </c>
      <c r="L98" t="s">
        <v>245</v>
      </c>
      <c r="M98" t="s">
        <v>253</v>
      </c>
      <c r="N98" t="s">
        <v>247</v>
      </c>
      <c r="O98">
        <v>41471</v>
      </c>
      <c r="P98">
        <v>3.88</v>
      </c>
      <c r="Q98">
        <v>6.47</v>
      </c>
      <c r="R98">
        <f t="shared" si="7"/>
        <v>2.59</v>
      </c>
      <c r="S98">
        <v>20</v>
      </c>
      <c r="T98">
        <f t="shared" si="8"/>
        <v>129.4</v>
      </c>
      <c r="U98">
        <v>0.02</v>
      </c>
      <c r="V98">
        <f t="shared" si="9"/>
        <v>2.5880000000000001</v>
      </c>
      <c r="W98">
        <f t="shared" si="10"/>
        <v>126.81200000000001</v>
      </c>
      <c r="X98">
        <v>1.22</v>
      </c>
      <c r="Y98">
        <f t="shared" si="11"/>
        <v>128.03200000000001</v>
      </c>
    </row>
    <row r="99" spans="1:25" x14ac:dyDescent="0.25">
      <c r="A99" t="s">
        <v>577</v>
      </c>
      <c r="B99">
        <v>41470</v>
      </c>
      <c r="C99" t="str">
        <f t="shared" si="6"/>
        <v>2013</v>
      </c>
      <c r="D99" t="s">
        <v>574</v>
      </c>
      <c r="E99" t="s">
        <v>575</v>
      </c>
      <c r="F99" t="s">
        <v>257</v>
      </c>
      <c r="G99" t="s">
        <v>258</v>
      </c>
      <c r="H99" t="s">
        <v>274</v>
      </c>
      <c r="I99" t="s">
        <v>381</v>
      </c>
      <c r="J99" t="s">
        <v>261</v>
      </c>
      <c r="K99" t="s">
        <v>578</v>
      </c>
      <c r="L99" t="s">
        <v>245</v>
      </c>
      <c r="M99" t="s">
        <v>253</v>
      </c>
      <c r="N99" t="s">
        <v>247</v>
      </c>
      <c r="O99">
        <v>41472</v>
      </c>
      <c r="P99">
        <v>1.31</v>
      </c>
      <c r="Q99">
        <v>2.84</v>
      </c>
      <c r="R99">
        <f t="shared" si="7"/>
        <v>1.5299999999999998</v>
      </c>
      <c r="S99">
        <v>39</v>
      </c>
      <c r="T99">
        <f t="shared" si="8"/>
        <v>110.75999999999999</v>
      </c>
      <c r="U99">
        <v>7.0000000000000007E-2</v>
      </c>
      <c r="V99">
        <f t="shared" si="9"/>
        <v>7.7532000000000005</v>
      </c>
      <c r="W99">
        <f t="shared" si="10"/>
        <v>103.00679999999998</v>
      </c>
      <c r="X99">
        <v>0.93</v>
      </c>
      <c r="Y99">
        <f t="shared" si="11"/>
        <v>103.93679999999999</v>
      </c>
    </row>
    <row r="100" spans="1:25" x14ac:dyDescent="0.25">
      <c r="A100" t="s">
        <v>579</v>
      </c>
      <c r="B100">
        <v>41471</v>
      </c>
      <c r="C100" t="str">
        <f t="shared" si="6"/>
        <v>2013</v>
      </c>
      <c r="D100" t="s">
        <v>580</v>
      </c>
      <c r="E100" t="s">
        <v>581</v>
      </c>
      <c r="F100" t="s">
        <v>257</v>
      </c>
      <c r="G100" t="s">
        <v>258</v>
      </c>
      <c r="H100" t="s">
        <v>241</v>
      </c>
      <c r="I100" t="s">
        <v>309</v>
      </c>
      <c r="J100" t="s">
        <v>261</v>
      </c>
      <c r="K100" t="s">
        <v>582</v>
      </c>
      <c r="L100" t="s">
        <v>245</v>
      </c>
      <c r="M100" t="s">
        <v>253</v>
      </c>
      <c r="N100" t="s">
        <v>247</v>
      </c>
      <c r="O100">
        <v>41472</v>
      </c>
      <c r="P100">
        <v>0.24</v>
      </c>
      <c r="Q100">
        <v>1.26</v>
      </c>
      <c r="R100">
        <f t="shared" si="7"/>
        <v>1.02</v>
      </c>
      <c r="S100">
        <v>10</v>
      </c>
      <c r="T100">
        <f t="shared" si="8"/>
        <v>12.6</v>
      </c>
      <c r="U100">
        <v>0.1</v>
      </c>
      <c r="V100">
        <f t="shared" si="9"/>
        <v>1.26</v>
      </c>
      <c r="W100">
        <f t="shared" si="10"/>
        <v>11.34</v>
      </c>
      <c r="X100">
        <v>0.7</v>
      </c>
      <c r="Y100">
        <f t="shared" si="11"/>
        <v>12.04</v>
      </c>
    </row>
    <row r="101" spans="1:25" x14ac:dyDescent="0.25">
      <c r="A101" t="s">
        <v>583</v>
      </c>
      <c r="B101">
        <v>41471</v>
      </c>
      <c r="C101" t="str">
        <f t="shared" si="6"/>
        <v>2013</v>
      </c>
      <c r="D101" t="s">
        <v>366</v>
      </c>
      <c r="E101" t="s">
        <v>367</v>
      </c>
      <c r="F101" t="s">
        <v>239</v>
      </c>
      <c r="G101" t="s">
        <v>240</v>
      </c>
      <c r="H101" t="s">
        <v>259</v>
      </c>
      <c r="I101" t="s">
        <v>251</v>
      </c>
      <c r="J101" t="s">
        <v>243</v>
      </c>
      <c r="K101" t="s">
        <v>519</v>
      </c>
      <c r="L101" t="s">
        <v>245</v>
      </c>
      <c r="M101" t="s">
        <v>253</v>
      </c>
      <c r="N101" t="s">
        <v>247</v>
      </c>
      <c r="O101">
        <v>41471</v>
      </c>
      <c r="P101">
        <v>2.9</v>
      </c>
      <c r="Q101">
        <v>4.76</v>
      </c>
      <c r="R101">
        <f t="shared" si="7"/>
        <v>1.8599999999999999</v>
      </c>
      <c r="S101">
        <v>13</v>
      </c>
      <c r="T101">
        <f t="shared" si="8"/>
        <v>61.879999999999995</v>
      </c>
      <c r="U101">
        <v>7.0000000000000007E-2</v>
      </c>
      <c r="V101">
        <f t="shared" si="9"/>
        <v>4.3315999999999999</v>
      </c>
      <c r="W101">
        <f t="shared" si="10"/>
        <v>57.548399999999994</v>
      </c>
      <c r="X101">
        <v>0.88</v>
      </c>
      <c r="Y101">
        <f t="shared" si="11"/>
        <v>58.428399999999996</v>
      </c>
    </row>
    <row r="102" spans="1:25" x14ac:dyDescent="0.25">
      <c r="A102" t="s">
        <v>584</v>
      </c>
      <c r="B102">
        <v>41472</v>
      </c>
      <c r="C102" t="str">
        <f t="shared" si="6"/>
        <v>2013</v>
      </c>
      <c r="D102" t="s">
        <v>585</v>
      </c>
      <c r="E102" t="s">
        <v>376</v>
      </c>
      <c r="F102" t="s">
        <v>239</v>
      </c>
      <c r="G102" t="s">
        <v>240</v>
      </c>
      <c r="H102" t="s">
        <v>274</v>
      </c>
      <c r="I102" t="s">
        <v>242</v>
      </c>
      <c r="J102" t="s">
        <v>279</v>
      </c>
      <c r="K102" t="s">
        <v>586</v>
      </c>
      <c r="L102" t="s">
        <v>268</v>
      </c>
      <c r="M102" t="s">
        <v>246</v>
      </c>
      <c r="N102" t="s">
        <v>263</v>
      </c>
      <c r="O102">
        <v>41472</v>
      </c>
      <c r="P102">
        <v>54.52</v>
      </c>
      <c r="Q102">
        <v>100.97</v>
      </c>
      <c r="R102">
        <f t="shared" si="7"/>
        <v>46.449999999999996</v>
      </c>
      <c r="S102">
        <v>35</v>
      </c>
      <c r="T102">
        <f t="shared" si="8"/>
        <v>3533.95</v>
      </c>
      <c r="U102">
        <v>0.05</v>
      </c>
      <c r="V102">
        <f t="shared" si="9"/>
        <v>176.69749999999999</v>
      </c>
      <c r="W102">
        <f t="shared" si="10"/>
        <v>3357.2524999999996</v>
      </c>
      <c r="X102">
        <v>7.18</v>
      </c>
      <c r="Y102">
        <f t="shared" si="11"/>
        <v>3364.4324999999994</v>
      </c>
    </row>
    <row r="103" spans="1:25" x14ac:dyDescent="0.25">
      <c r="A103" t="s">
        <v>587</v>
      </c>
      <c r="B103">
        <v>41473</v>
      </c>
      <c r="C103" t="str">
        <f t="shared" si="6"/>
        <v>2013</v>
      </c>
      <c r="D103" t="s">
        <v>588</v>
      </c>
      <c r="E103" t="s">
        <v>589</v>
      </c>
      <c r="F103" t="s">
        <v>239</v>
      </c>
      <c r="G103" t="s">
        <v>240</v>
      </c>
      <c r="H103" t="s">
        <v>241</v>
      </c>
      <c r="I103" t="s">
        <v>242</v>
      </c>
      <c r="J103" t="s">
        <v>261</v>
      </c>
      <c r="K103" t="s">
        <v>322</v>
      </c>
      <c r="L103" t="s">
        <v>245</v>
      </c>
      <c r="M103" t="s">
        <v>323</v>
      </c>
      <c r="N103" t="s">
        <v>263</v>
      </c>
      <c r="O103">
        <v>41475</v>
      </c>
      <c r="P103">
        <v>3.42</v>
      </c>
      <c r="Q103">
        <v>8.34</v>
      </c>
      <c r="R103">
        <f t="shared" si="7"/>
        <v>4.92</v>
      </c>
      <c r="S103">
        <v>15</v>
      </c>
      <c r="T103">
        <f t="shared" si="8"/>
        <v>125.1</v>
      </c>
      <c r="U103">
        <v>0</v>
      </c>
      <c r="V103">
        <f t="shared" si="9"/>
        <v>0</v>
      </c>
      <c r="W103">
        <f t="shared" si="10"/>
        <v>125.1</v>
      </c>
      <c r="X103">
        <v>2.64</v>
      </c>
      <c r="Y103">
        <f t="shared" si="11"/>
        <v>127.74</v>
      </c>
    </row>
    <row r="104" spans="1:25" x14ac:dyDescent="0.25">
      <c r="A104" t="s">
        <v>590</v>
      </c>
      <c r="B104">
        <v>41475</v>
      </c>
      <c r="C104" t="str">
        <f t="shared" si="6"/>
        <v>2013</v>
      </c>
      <c r="D104" t="s">
        <v>527</v>
      </c>
      <c r="E104" t="s">
        <v>528</v>
      </c>
      <c r="F104" t="s">
        <v>239</v>
      </c>
      <c r="G104" t="s">
        <v>240</v>
      </c>
      <c r="H104" t="s">
        <v>293</v>
      </c>
      <c r="I104" t="s">
        <v>251</v>
      </c>
      <c r="J104" t="s">
        <v>261</v>
      </c>
      <c r="K104" t="s">
        <v>300</v>
      </c>
      <c r="L104" t="s">
        <v>245</v>
      </c>
      <c r="M104" t="s">
        <v>246</v>
      </c>
      <c r="N104" t="s">
        <v>263</v>
      </c>
      <c r="O104">
        <v>41477</v>
      </c>
      <c r="P104">
        <v>5.33</v>
      </c>
      <c r="Q104">
        <v>8.6</v>
      </c>
      <c r="R104">
        <f t="shared" si="7"/>
        <v>3.2699999999999996</v>
      </c>
      <c r="S104">
        <v>23</v>
      </c>
      <c r="T104">
        <f t="shared" si="8"/>
        <v>197.79999999999998</v>
      </c>
      <c r="U104">
        <v>0.02</v>
      </c>
      <c r="V104">
        <f t="shared" si="9"/>
        <v>3.956</v>
      </c>
      <c r="W104">
        <f t="shared" si="10"/>
        <v>193.84399999999999</v>
      </c>
      <c r="X104">
        <v>6.19</v>
      </c>
      <c r="Y104">
        <f t="shared" si="11"/>
        <v>200.03399999999999</v>
      </c>
    </row>
    <row r="105" spans="1:25" x14ac:dyDescent="0.25">
      <c r="A105" t="s">
        <v>591</v>
      </c>
      <c r="B105">
        <v>41476</v>
      </c>
      <c r="C105" t="str">
        <f t="shared" si="6"/>
        <v>2013</v>
      </c>
      <c r="D105" t="s">
        <v>592</v>
      </c>
      <c r="E105" t="s">
        <v>593</v>
      </c>
      <c r="F105" t="s">
        <v>257</v>
      </c>
      <c r="G105" t="s">
        <v>258</v>
      </c>
      <c r="H105" t="s">
        <v>259</v>
      </c>
      <c r="I105" t="s">
        <v>321</v>
      </c>
      <c r="J105" t="s">
        <v>243</v>
      </c>
      <c r="K105" t="s">
        <v>594</v>
      </c>
      <c r="L105" t="s">
        <v>268</v>
      </c>
      <c r="M105" t="s">
        <v>269</v>
      </c>
      <c r="N105" t="s">
        <v>270</v>
      </c>
      <c r="O105">
        <v>41478</v>
      </c>
      <c r="P105">
        <v>278.99</v>
      </c>
      <c r="Q105">
        <v>449.99</v>
      </c>
      <c r="R105">
        <f t="shared" si="7"/>
        <v>171</v>
      </c>
      <c r="S105">
        <v>12</v>
      </c>
      <c r="T105">
        <f t="shared" si="8"/>
        <v>5399.88</v>
      </c>
      <c r="U105">
        <v>0.06</v>
      </c>
      <c r="V105">
        <f t="shared" si="9"/>
        <v>323.99279999999999</v>
      </c>
      <c r="W105">
        <f t="shared" si="10"/>
        <v>5075.8872000000001</v>
      </c>
      <c r="X105">
        <v>49</v>
      </c>
      <c r="Y105">
        <f t="shared" si="11"/>
        <v>5124.8872000000001</v>
      </c>
    </row>
    <row r="106" spans="1:25" x14ac:dyDescent="0.25">
      <c r="A106" t="s">
        <v>595</v>
      </c>
      <c r="B106">
        <v>41477</v>
      </c>
      <c r="C106" t="str">
        <f t="shared" si="6"/>
        <v>2013</v>
      </c>
      <c r="D106" t="s">
        <v>596</v>
      </c>
      <c r="E106" t="s">
        <v>352</v>
      </c>
      <c r="F106" t="s">
        <v>257</v>
      </c>
      <c r="G106" t="s">
        <v>258</v>
      </c>
      <c r="H106" t="s">
        <v>259</v>
      </c>
      <c r="I106" t="s">
        <v>275</v>
      </c>
      <c r="J106" t="s">
        <v>243</v>
      </c>
      <c r="K106" t="s">
        <v>543</v>
      </c>
      <c r="L106" t="s">
        <v>245</v>
      </c>
      <c r="M106" t="s">
        <v>246</v>
      </c>
      <c r="N106" t="s">
        <v>263</v>
      </c>
      <c r="O106">
        <v>41478</v>
      </c>
      <c r="P106">
        <v>1.33</v>
      </c>
      <c r="Q106">
        <v>2.08</v>
      </c>
      <c r="R106">
        <f t="shared" si="7"/>
        <v>0.75</v>
      </c>
      <c r="S106">
        <v>11</v>
      </c>
      <c r="T106">
        <f t="shared" si="8"/>
        <v>22.880000000000003</v>
      </c>
      <c r="U106">
        <v>0.01</v>
      </c>
      <c r="V106">
        <f t="shared" si="9"/>
        <v>0.22880000000000003</v>
      </c>
      <c r="W106">
        <f t="shared" si="10"/>
        <v>22.651200000000003</v>
      </c>
      <c r="X106">
        <v>1.49</v>
      </c>
      <c r="Y106">
        <f t="shared" si="11"/>
        <v>24.141200000000001</v>
      </c>
    </row>
    <row r="107" spans="1:25" x14ac:dyDescent="0.25">
      <c r="A107" t="s">
        <v>597</v>
      </c>
      <c r="B107">
        <v>41477</v>
      </c>
      <c r="C107" t="str">
        <f t="shared" si="6"/>
        <v>2013</v>
      </c>
      <c r="D107" t="s">
        <v>345</v>
      </c>
      <c r="E107" t="s">
        <v>346</v>
      </c>
      <c r="F107" t="s">
        <v>257</v>
      </c>
      <c r="G107" t="s">
        <v>258</v>
      </c>
      <c r="H107" t="s">
        <v>259</v>
      </c>
      <c r="I107" t="s">
        <v>309</v>
      </c>
      <c r="J107" t="s">
        <v>279</v>
      </c>
      <c r="K107" t="s">
        <v>598</v>
      </c>
      <c r="L107" t="s">
        <v>268</v>
      </c>
      <c r="M107" t="s">
        <v>246</v>
      </c>
      <c r="N107" t="s">
        <v>247</v>
      </c>
      <c r="O107">
        <v>41481</v>
      </c>
      <c r="P107">
        <v>6.51</v>
      </c>
      <c r="Q107">
        <v>30.98</v>
      </c>
      <c r="R107">
        <f t="shared" si="7"/>
        <v>24.47</v>
      </c>
      <c r="S107">
        <v>29</v>
      </c>
      <c r="T107">
        <f t="shared" si="8"/>
        <v>898.42</v>
      </c>
      <c r="U107">
        <v>0.03</v>
      </c>
      <c r="V107">
        <f t="shared" si="9"/>
        <v>26.952599999999997</v>
      </c>
      <c r="W107">
        <f t="shared" si="10"/>
        <v>871.4674</v>
      </c>
      <c r="X107">
        <v>6.5</v>
      </c>
      <c r="Y107">
        <f t="shared" si="11"/>
        <v>877.9674</v>
      </c>
    </row>
    <row r="108" spans="1:25" x14ac:dyDescent="0.25">
      <c r="A108" t="s">
        <v>599</v>
      </c>
      <c r="B108">
        <v>41478</v>
      </c>
      <c r="C108" t="str">
        <f t="shared" si="6"/>
        <v>2013</v>
      </c>
      <c r="D108" t="s">
        <v>315</v>
      </c>
      <c r="E108" t="s">
        <v>316</v>
      </c>
      <c r="F108" t="s">
        <v>239</v>
      </c>
      <c r="G108" t="s">
        <v>240</v>
      </c>
      <c r="H108" t="s">
        <v>259</v>
      </c>
      <c r="I108" t="s">
        <v>242</v>
      </c>
      <c r="J108" t="s">
        <v>294</v>
      </c>
      <c r="K108" t="s">
        <v>600</v>
      </c>
      <c r="L108" t="s">
        <v>245</v>
      </c>
      <c r="M108" t="s">
        <v>253</v>
      </c>
      <c r="N108" t="s">
        <v>247</v>
      </c>
      <c r="O108">
        <v>41480</v>
      </c>
      <c r="P108">
        <v>2.98</v>
      </c>
      <c r="Q108">
        <v>5.84</v>
      </c>
      <c r="R108">
        <f t="shared" si="7"/>
        <v>2.86</v>
      </c>
      <c r="S108">
        <v>11</v>
      </c>
      <c r="T108">
        <f t="shared" si="8"/>
        <v>64.239999999999995</v>
      </c>
      <c r="U108">
        <v>0.01</v>
      </c>
      <c r="V108">
        <f t="shared" si="9"/>
        <v>0.64239999999999997</v>
      </c>
      <c r="W108">
        <f t="shared" si="10"/>
        <v>63.597599999999993</v>
      </c>
      <c r="X108">
        <v>0.83</v>
      </c>
      <c r="Y108">
        <f t="shared" si="11"/>
        <v>64.427599999999998</v>
      </c>
    </row>
    <row r="109" spans="1:25" x14ac:dyDescent="0.25">
      <c r="A109" t="s">
        <v>601</v>
      </c>
      <c r="B109">
        <v>41479</v>
      </c>
      <c r="C109" t="str">
        <f t="shared" si="6"/>
        <v>2013</v>
      </c>
      <c r="D109" t="s">
        <v>602</v>
      </c>
      <c r="E109" t="s">
        <v>428</v>
      </c>
      <c r="F109" t="s">
        <v>257</v>
      </c>
      <c r="G109" t="s">
        <v>258</v>
      </c>
      <c r="H109" t="s">
        <v>241</v>
      </c>
      <c r="I109" t="s">
        <v>333</v>
      </c>
      <c r="J109" t="s">
        <v>261</v>
      </c>
      <c r="K109" t="s">
        <v>603</v>
      </c>
      <c r="L109" t="s">
        <v>245</v>
      </c>
      <c r="M109" t="s">
        <v>246</v>
      </c>
      <c r="N109" t="s">
        <v>247</v>
      </c>
      <c r="O109">
        <v>41481</v>
      </c>
      <c r="P109">
        <v>3.65</v>
      </c>
      <c r="Q109">
        <v>5.98</v>
      </c>
      <c r="R109">
        <f t="shared" si="7"/>
        <v>2.3300000000000005</v>
      </c>
      <c r="S109">
        <v>14</v>
      </c>
      <c r="T109">
        <f t="shared" si="8"/>
        <v>83.72</v>
      </c>
      <c r="U109">
        <v>0.09</v>
      </c>
      <c r="V109">
        <f t="shared" si="9"/>
        <v>7.5347999999999997</v>
      </c>
      <c r="W109">
        <f t="shared" si="10"/>
        <v>76.185199999999995</v>
      </c>
      <c r="X109">
        <v>1.49</v>
      </c>
      <c r="Y109">
        <f t="shared" si="11"/>
        <v>77.67519999999999</v>
      </c>
    </row>
    <row r="110" spans="1:25" x14ac:dyDescent="0.25">
      <c r="A110" t="s">
        <v>604</v>
      </c>
      <c r="B110">
        <v>41481</v>
      </c>
      <c r="C110" t="str">
        <f t="shared" si="6"/>
        <v>2013</v>
      </c>
      <c r="D110" t="s">
        <v>605</v>
      </c>
      <c r="E110" t="s">
        <v>606</v>
      </c>
      <c r="F110" t="s">
        <v>448</v>
      </c>
      <c r="G110" t="s">
        <v>449</v>
      </c>
      <c r="H110" t="s">
        <v>274</v>
      </c>
      <c r="I110" t="s">
        <v>284</v>
      </c>
      <c r="J110" t="s">
        <v>279</v>
      </c>
      <c r="K110" t="s">
        <v>607</v>
      </c>
      <c r="L110" t="s">
        <v>245</v>
      </c>
      <c r="M110" t="s">
        <v>246</v>
      </c>
      <c r="N110" t="s">
        <v>247</v>
      </c>
      <c r="O110">
        <v>41486</v>
      </c>
      <c r="P110">
        <v>4.46</v>
      </c>
      <c r="Q110">
        <v>10.89</v>
      </c>
      <c r="R110">
        <f t="shared" si="7"/>
        <v>6.4300000000000006</v>
      </c>
      <c r="S110">
        <v>37</v>
      </c>
      <c r="T110">
        <f t="shared" si="8"/>
        <v>402.93</v>
      </c>
      <c r="U110">
        <v>0.06</v>
      </c>
      <c r="V110">
        <f t="shared" si="9"/>
        <v>24.175799999999999</v>
      </c>
      <c r="W110">
        <f t="shared" si="10"/>
        <v>378.75420000000003</v>
      </c>
      <c r="X110">
        <v>4.5</v>
      </c>
      <c r="Y110">
        <f t="shared" si="11"/>
        <v>383.25420000000003</v>
      </c>
    </row>
    <row r="111" spans="1:25" x14ac:dyDescent="0.25">
      <c r="A111" t="s">
        <v>608</v>
      </c>
      <c r="B111">
        <v>41481</v>
      </c>
      <c r="C111" t="str">
        <f t="shared" si="6"/>
        <v>2013</v>
      </c>
      <c r="D111" t="s">
        <v>609</v>
      </c>
      <c r="E111" t="s">
        <v>528</v>
      </c>
      <c r="F111" t="s">
        <v>239</v>
      </c>
      <c r="G111" t="s">
        <v>240</v>
      </c>
      <c r="H111" t="s">
        <v>259</v>
      </c>
      <c r="I111" t="s">
        <v>251</v>
      </c>
      <c r="J111" t="s">
        <v>279</v>
      </c>
      <c r="K111" t="s">
        <v>598</v>
      </c>
      <c r="L111" t="s">
        <v>268</v>
      </c>
      <c r="M111" t="s">
        <v>246</v>
      </c>
      <c r="N111" t="s">
        <v>247</v>
      </c>
      <c r="O111">
        <v>41483</v>
      </c>
      <c r="P111">
        <v>6.51</v>
      </c>
      <c r="Q111">
        <v>30.98</v>
      </c>
      <c r="R111">
        <f t="shared" si="7"/>
        <v>24.47</v>
      </c>
      <c r="S111">
        <v>8</v>
      </c>
      <c r="T111">
        <f t="shared" si="8"/>
        <v>247.84</v>
      </c>
      <c r="U111">
        <v>0.01</v>
      </c>
      <c r="V111">
        <f t="shared" si="9"/>
        <v>2.4784000000000002</v>
      </c>
      <c r="W111">
        <f t="shared" si="10"/>
        <v>245.36160000000001</v>
      </c>
      <c r="X111">
        <v>6.5</v>
      </c>
      <c r="Y111">
        <f t="shared" si="11"/>
        <v>251.86160000000001</v>
      </c>
    </row>
    <row r="112" spans="1:25" x14ac:dyDescent="0.25">
      <c r="A112" t="s">
        <v>610</v>
      </c>
      <c r="B112">
        <v>41482</v>
      </c>
      <c r="C112" t="str">
        <f t="shared" si="6"/>
        <v>2013</v>
      </c>
      <c r="D112" t="s">
        <v>611</v>
      </c>
      <c r="E112" t="s">
        <v>612</v>
      </c>
      <c r="F112" t="s">
        <v>239</v>
      </c>
      <c r="G112" t="s">
        <v>240</v>
      </c>
      <c r="H112" t="s">
        <v>293</v>
      </c>
      <c r="I112" t="s">
        <v>242</v>
      </c>
      <c r="J112" t="s">
        <v>279</v>
      </c>
      <c r="K112" t="s">
        <v>377</v>
      </c>
      <c r="L112" t="s">
        <v>268</v>
      </c>
      <c r="M112" t="s">
        <v>246</v>
      </c>
      <c r="N112" t="s">
        <v>247</v>
      </c>
      <c r="O112">
        <v>41484</v>
      </c>
      <c r="P112">
        <v>39.64</v>
      </c>
      <c r="Q112">
        <v>152.47999999999999</v>
      </c>
      <c r="R112">
        <f t="shared" si="7"/>
        <v>112.83999999999999</v>
      </c>
      <c r="S112">
        <v>31</v>
      </c>
      <c r="T112">
        <f t="shared" si="8"/>
        <v>4726.88</v>
      </c>
      <c r="U112">
        <v>7.0000000000000007E-2</v>
      </c>
      <c r="V112">
        <f t="shared" si="9"/>
        <v>330.88160000000005</v>
      </c>
      <c r="W112">
        <f t="shared" si="10"/>
        <v>4395.9984000000004</v>
      </c>
      <c r="X112">
        <v>6.5</v>
      </c>
      <c r="Y112">
        <f t="shared" si="11"/>
        <v>4402.4984000000004</v>
      </c>
    </row>
    <row r="113" spans="1:25" x14ac:dyDescent="0.25">
      <c r="A113" t="s">
        <v>613</v>
      </c>
      <c r="B113">
        <v>41483</v>
      </c>
      <c r="C113" t="str">
        <f t="shared" si="6"/>
        <v>2013</v>
      </c>
      <c r="D113" t="s">
        <v>446</v>
      </c>
      <c r="E113" t="s">
        <v>447</v>
      </c>
      <c r="F113" t="s">
        <v>448</v>
      </c>
      <c r="G113" t="s">
        <v>449</v>
      </c>
      <c r="H113" t="s">
        <v>259</v>
      </c>
      <c r="I113" t="s">
        <v>333</v>
      </c>
      <c r="J113" t="s">
        <v>294</v>
      </c>
      <c r="K113" t="s">
        <v>614</v>
      </c>
      <c r="L113" t="s">
        <v>245</v>
      </c>
      <c r="M113" t="s">
        <v>253</v>
      </c>
      <c r="N113" t="s">
        <v>247</v>
      </c>
      <c r="O113">
        <v>41485</v>
      </c>
      <c r="P113">
        <v>1.95</v>
      </c>
      <c r="Q113">
        <v>3.98</v>
      </c>
      <c r="R113">
        <f t="shared" si="7"/>
        <v>2.0300000000000002</v>
      </c>
      <c r="S113">
        <v>30</v>
      </c>
      <c r="T113">
        <f t="shared" si="8"/>
        <v>119.4</v>
      </c>
      <c r="U113">
        <v>0.1</v>
      </c>
      <c r="V113">
        <f t="shared" si="9"/>
        <v>11.940000000000001</v>
      </c>
      <c r="W113">
        <f t="shared" si="10"/>
        <v>107.46000000000001</v>
      </c>
      <c r="X113">
        <v>0.83</v>
      </c>
      <c r="Y113">
        <f t="shared" si="11"/>
        <v>108.29</v>
      </c>
    </row>
    <row r="114" spans="1:25" x14ac:dyDescent="0.25">
      <c r="A114" t="s">
        <v>615</v>
      </c>
      <c r="B114">
        <v>41484</v>
      </c>
      <c r="C114" t="str">
        <f t="shared" si="6"/>
        <v>2013</v>
      </c>
      <c r="D114" t="s">
        <v>616</v>
      </c>
      <c r="E114" t="s">
        <v>522</v>
      </c>
      <c r="F114" t="s">
        <v>239</v>
      </c>
      <c r="G114" t="s">
        <v>240</v>
      </c>
      <c r="H114" t="s">
        <v>293</v>
      </c>
      <c r="I114" t="s">
        <v>251</v>
      </c>
      <c r="J114" t="s">
        <v>294</v>
      </c>
      <c r="K114" t="s">
        <v>617</v>
      </c>
      <c r="L114" t="s">
        <v>245</v>
      </c>
      <c r="M114" t="s">
        <v>246</v>
      </c>
      <c r="N114" t="s">
        <v>247</v>
      </c>
      <c r="O114">
        <v>41485</v>
      </c>
      <c r="P114">
        <v>1.94</v>
      </c>
      <c r="Q114">
        <v>3.08</v>
      </c>
      <c r="R114">
        <f t="shared" si="7"/>
        <v>1.1400000000000001</v>
      </c>
      <c r="S114">
        <v>38</v>
      </c>
      <c r="T114">
        <f t="shared" si="8"/>
        <v>117.04</v>
      </c>
      <c r="U114">
        <v>0.04</v>
      </c>
      <c r="V114">
        <f t="shared" si="9"/>
        <v>4.6816000000000004</v>
      </c>
      <c r="W114">
        <f t="shared" si="10"/>
        <v>112.3584</v>
      </c>
      <c r="X114">
        <v>0.99</v>
      </c>
      <c r="Y114">
        <f t="shared" si="11"/>
        <v>113.3484</v>
      </c>
    </row>
    <row r="115" spans="1:25" x14ac:dyDescent="0.25">
      <c r="A115" t="s">
        <v>618</v>
      </c>
      <c r="B115">
        <v>41485</v>
      </c>
      <c r="C115" t="str">
        <f t="shared" si="6"/>
        <v>2013</v>
      </c>
      <c r="D115" t="s">
        <v>619</v>
      </c>
      <c r="E115" t="s">
        <v>620</v>
      </c>
      <c r="F115" t="s">
        <v>257</v>
      </c>
      <c r="G115" t="s">
        <v>258</v>
      </c>
      <c r="H115" t="s">
        <v>259</v>
      </c>
      <c r="I115" t="s">
        <v>275</v>
      </c>
      <c r="J115" t="s">
        <v>294</v>
      </c>
      <c r="K115" t="s">
        <v>621</v>
      </c>
      <c r="L115" t="s">
        <v>268</v>
      </c>
      <c r="M115" t="s">
        <v>269</v>
      </c>
      <c r="N115" t="s">
        <v>270</v>
      </c>
      <c r="O115">
        <v>41486</v>
      </c>
      <c r="P115">
        <v>76.790000000000006</v>
      </c>
      <c r="Q115">
        <v>119.99</v>
      </c>
      <c r="R115">
        <f t="shared" si="7"/>
        <v>43.199999999999989</v>
      </c>
      <c r="S115">
        <v>24</v>
      </c>
      <c r="T115">
        <f t="shared" si="8"/>
        <v>2879.7599999999998</v>
      </c>
      <c r="U115">
        <v>0.02</v>
      </c>
      <c r="V115">
        <f t="shared" si="9"/>
        <v>57.595199999999998</v>
      </c>
      <c r="W115">
        <f t="shared" si="10"/>
        <v>2822.1647999999996</v>
      </c>
      <c r="X115">
        <v>14</v>
      </c>
      <c r="Y115">
        <f t="shared" si="11"/>
        <v>2836.1647999999996</v>
      </c>
    </row>
    <row r="116" spans="1:25" x14ac:dyDescent="0.25">
      <c r="A116" t="s">
        <v>622</v>
      </c>
      <c r="B116">
        <v>41486</v>
      </c>
      <c r="C116" t="str">
        <f t="shared" si="6"/>
        <v>2013</v>
      </c>
      <c r="D116" t="s">
        <v>623</v>
      </c>
      <c r="E116" t="s">
        <v>624</v>
      </c>
      <c r="F116" t="s">
        <v>257</v>
      </c>
      <c r="G116" t="s">
        <v>258</v>
      </c>
      <c r="H116" t="s">
        <v>274</v>
      </c>
      <c r="I116" t="s">
        <v>504</v>
      </c>
      <c r="J116" t="s">
        <v>304</v>
      </c>
      <c r="K116" t="s">
        <v>625</v>
      </c>
      <c r="L116" t="s">
        <v>245</v>
      </c>
      <c r="M116" t="s">
        <v>246</v>
      </c>
      <c r="N116" t="s">
        <v>247</v>
      </c>
      <c r="O116">
        <v>41487</v>
      </c>
      <c r="P116">
        <v>1.84</v>
      </c>
      <c r="Q116">
        <v>2.88</v>
      </c>
      <c r="R116">
        <f t="shared" si="7"/>
        <v>1.0399999999999998</v>
      </c>
      <c r="S116">
        <v>11</v>
      </c>
      <c r="T116">
        <f t="shared" si="8"/>
        <v>31.68</v>
      </c>
      <c r="U116">
        <v>0.09</v>
      </c>
      <c r="V116">
        <f t="shared" si="9"/>
        <v>2.8512</v>
      </c>
      <c r="W116">
        <f t="shared" si="10"/>
        <v>28.828800000000001</v>
      </c>
      <c r="X116">
        <v>1.49</v>
      </c>
      <c r="Y116">
        <f t="shared" si="11"/>
        <v>30.3188</v>
      </c>
    </row>
    <row r="117" spans="1:25" x14ac:dyDescent="0.25">
      <c r="A117" t="s">
        <v>626</v>
      </c>
      <c r="B117">
        <v>41486</v>
      </c>
      <c r="C117" t="str">
        <f t="shared" si="6"/>
        <v>2013</v>
      </c>
      <c r="D117" t="s">
        <v>623</v>
      </c>
      <c r="E117" t="s">
        <v>627</v>
      </c>
      <c r="F117" t="s">
        <v>257</v>
      </c>
      <c r="G117" t="s">
        <v>258</v>
      </c>
      <c r="H117" t="s">
        <v>274</v>
      </c>
      <c r="I117" t="s">
        <v>504</v>
      </c>
      <c r="J117" t="s">
        <v>304</v>
      </c>
      <c r="K117" t="s">
        <v>373</v>
      </c>
      <c r="L117" t="s">
        <v>268</v>
      </c>
      <c r="M117" t="s">
        <v>246</v>
      </c>
      <c r="N117" t="s">
        <v>247</v>
      </c>
      <c r="O117">
        <v>41488</v>
      </c>
      <c r="P117">
        <v>6.39</v>
      </c>
      <c r="Q117">
        <v>19.98</v>
      </c>
      <c r="R117">
        <f t="shared" si="7"/>
        <v>13.59</v>
      </c>
      <c r="S117">
        <v>43</v>
      </c>
      <c r="T117">
        <f t="shared" si="8"/>
        <v>859.14</v>
      </c>
      <c r="U117">
        <v>0.1</v>
      </c>
      <c r="V117">
        <f t="shared" si="9"/>
        <v>85.914000000000001</v>
      </c>
      <c r="W117">
        <f t="shared" si="10"/>
        <v>773.226</v>
      </c>
      <c r="X117">
        <v>4</v>
      </c>
      <c r="Y117">
        <f t="shared" si="11"/>
        <v>777.226</v>
      </c>
    </row>
    <row r="118" spans="1:25" x14ac:dyDescent="0.25">
      <c r="A118" t="s">
        <v>628</v>
      </c>
      <c r="B118">
        <v>41488</v>
      </c>
      <c r="C118" t="str">
        <f t="shared" si="6"/>
        <v>2013</v>
      </c>
      <c r="D118" t="s">
        <v>629</v>
      </c>
      <c r="E118" t="s">
        <v>393</v>
      </c>
      <c r="F118" t="s">
        <v>257</v>
      </c>
      <c r="G118" t="s">
        <v>258</v>
      </c>
      <c r="H118" t="s">
        <v>259</v>
      </c>
      <c r="I118" t="s">
        <v>342</v>
      </c>
      <c r="J118" t="s">
        <v>294</v>
      </c>
      <c r="K118" t="s">
        <v>630</v>
      </c>
      <c r="L118" t="s">
        <v>245</v>
      </c>
      <c r="M118" t="s">
        <v>253</v>
      </c>
      <c r="N118" t="s">
        <v>263</v>
      </c>
      <c r="O118">
        <v>41490</v>
      </c>
      <c r="P118">
        <v>1.53</v>
      </c>
      <c r="Q118">
        <v>2.78</v>
      </c>
      <c r="R118">
        <f t="shared" si="7"/>
        <v>1.2499999999999998</v>
      </c>
      <c r="S118">
        <v>40</v>
      </c>
      <c r="T118">
        <f t="shared" si="8"/>
        <v>111.19999999999999</v>
      </c>
      <c r="U118">
        <v>0.03</v>
      </c>
      <c r="V118">
        <f t="shared" si="9"/>
        <v>3.3359999999999994</v>
      </c>
      <c r="W118">
        <f t="shared" si="10"/>
        <v>107.86399999999999</v>
      </c>
      <c r="X118">
        <v>1.34</v>
      </c>
      <c r="Y118">
        <f t="shared" si="11"/>
        <v>109.20399999999999</v>
      </c>
    </row>
    <row r="119" spans="1:25" x14ac:dyDescent="0.25">
      <c r="A119" t="s">
        <v>631</v>
      </c>
      <c r="B119">
        <v>41492</v>
      </c>
      <c r="C119" t="str">
        <f t="shared" si="6"/>
        <v>2013</v>
      </c>
      <c r="D119" t="s">
        <v>632</v>
      </c>
      <c r="E119" t="s">
        <v>633</v>
      </c>
      <c r="F119" t="s">
        <v>239</v>
      </c>
      <c r="G119" t="s">
        <v>240</v>
      </c>
      <c r="H119" t="s">
        <v>241</v>
      </c>
      <c r="I119" t="s">
        <v>242</v>
      </c>
      <c r="J119" t="s">
        <v>261</v>
      </c>
      <c r="K119" t="s">
        <v>634</v>
      </c>
      <c r="L119" t="s">
        <v>245</v>
      </c>
      <c r="M119" t="s">
        <v>246</v>
      </c>
      <c r="N119" t="s">
        <v>247</v>
      </c>
      <c r="O119">
        <v>41494</v>
      </c>
      <c r="P119">
        <v>2.2599999999999998</v>
      </c>
      <c r="Q119">
        <v>3.58</v>
      </c>
      <c r="R119">
        <f t="shared" si="7"/>
        <v>1.3200000000000003</v>
      </c>
      <c r="S119">
        <v>46</v>
      </c>
      <c r="T119">
        <f t="shared" si="8"/>
        <v>164.68</v>
      </c>
      <c r="U119">
        <v>0.06</v>
      </c>
      <c r="V119">
        <f t="shared" si="9"/>
        <v>9.8808000000000007</v>
      </c>
      <c r="W119">
        <f t="shared" si="10"/>
        <v>154.79920000000001</v>
      </c>
      <c r="X119">
        <v>5.47</v>
      </c>
      <c r="Y119">
        <f t="shared" si="11"/>
        <v>160.26920000000001</v>
      </c>
    </row>
    <row r="120" spans="1:25" x14ac:dyDescent="0.25">
      <c r="A120" t="s">
        <v>635</v>
      </c>
      <c r="B120">
        <v>41493</v>
      </c>
      <c r="C120" t="str">
        <f t="shared" si="6"/>
        <v>2013</v>
      </c>
      <c r="D120" t="s">
        <v>636</v>
      </c>
      <c r="E120" t="s">
        <v>637</v>
      </c>
      <c r="F120" t="s">
        <v>239</v>
      </c>
      <c r="G120" t="s">
        <v>240</v>
      </c>
      <c r="H120" t="s">
        <v>241</v>
      </c>
      <c r="I120" t="s">
        <v>242</v>
      </c>
      <c r="J120" t="s">
        <v>243</v>
      </c>
      <c r="K120" t="s">
        <v>638</v>
      </c>
      <c r="L120" t="s">
        <v>245</v>
      </c>
      <c r="M120" t="s">
        <v>323</v>
      </c>
      <c r="N120" t="s">
        <v>247</v>
      </c>
      <c r="O120">
        <v>41495</v>
      </c>
      <c r="P120">
        <v>1.46</v>
      </c>
      <c r="Q120">
        <v>3.57</v>
      </c>
      <c r="R120">
        <f t="shared" si="7"/>
        <v>2.11</v>
      </c>
      <c r="S120">
        <v>23</v>
      </c>
      <c r="T120">
        <f t="shared" si="8"/>
        <v>82.11</v>
      </c>
      <c r="U120">
        <v>0.09</v>
      </c>
      <c r="V120">
        <f t="shared" si="9"/>
        <v>7.3898999999999999</v>
      </c>
      <c r="W120">
        <f t="shared" si="10"/>
        <v>74.720100000000002</v>
      </c>
      <c r="X120">
        <v>4.17</v>
      </c>
      <c r="Y120">
        <f t="shared" si="11"/>
        <v>78.890100000000004</v>
      </c>
    </row>
    <row r="121" spans="1:25" x14ac:dyDescent="0.25">
      <c r="A121" t="s">
        <v>639</v>
      </c>
      <c r="B121">
        <v>41494</v>
      </c>
      <c r="C121" t="str">
        <f t="shared" si="6"/>
        <v>2013</v>
      </c>
      <c r="D121" t="s">
        <v>640</v>
      </c>
      <c r="E121" t="s">
        <v>402</v>
      </c>
      <c r="F121" t="s">
        <v>257</v>
      </c>
      <c r="G121" t="s">
        <v>258</v>
      </c>
      <c r="H121" t="s">
        <v>241</v>
      </c>
      <c r="I121" t="s">
        <v>333</v>
      </c>
      <c r="J121" t="s">
        <v>294</v>
      </c>
      <c r="K121" t="s">
        <v>598</v>
      </c>
      <c r="L121" t="s">
        <v>268</v>
      </c>
      <c r="M121" t="s">
        <v>246</v>
      </c>
      <c r="N121" t="s">
        <v>263</v>
      </c>
      <c r="O121">
        <v>41495</v>
      </c>
      <c r="P121">
        <v>6.51</v>
      </c>
      <c r="Q121">
        <v>30.98</v>
      </c>
      <c r="R121">
        <f t="shared" si="7"/>
        <v>24.47</v>
      </c>
      <c r="S121">
        <v>44</v>
      </c>
      <c r="T121">
        <f t="shared" si="8"/>
        <v>1363.1200000000001</v>
      </c>
      <c r="U121">
        <v>0.02</v>
      </c>
      <c r="V121">
        <f t="shared" si="9"/>
        <v>27.262400000000003</v>
      </c>
      <c r="W121">
        <f t="shared" si="10"/>
        <v>1335.8576</v>
      </c>
      <c r="X121">
        <v>6.5</v>
      </c>
      <c r="Y121">
        <f t="shared" si="11"/>
        <v>1342.3576</v>
      </c>
    </row>
    <row r="122" spans="1:25" x14ac:dyDescent="0.25">
      <c r="A122" t="s">
        <v>641</v>
      </c>
      <c r="B122">
        <v>41495</v>
      </c>
      <c r="C122" t="str">
        <f t="shared" si="6"/>
        <v>2013</v>
      </c>
      <c r="D122" t="s">
        <v>642</v>
      </c>
      <c r="E122" t="s">
        <v>643</v>
      </c>
      <c r="F122" t="s">
        <v>257</v>
      </c>
      <c r="G122" t="s">
        <v>258</v>
      </c>
      <c r="H122" t="s">
        <v>241</v>
      </c>
      <c r="I122" t="s">
        <v>342</v>
      </c>
      <c r="J122" t="s">
        <v>294</v>
      </c>
      <c r="K122" t="s">
        <v>644</v>
      </c>
      <c r="L122" t="s">
        <v>245</v>
      </c>
      <c r="M122" t="s">
        <v>246</v>
      </c>
      <c r="N122" t="s">
        <v>247</v>
      </c>
      <c r="O122">
        <v>41496</v>
      </c>
      <c r="P122">
        <v>18.38</v>
      </c>
      <c r="Q122">
        <v>29.17</v>
      </c>
      <c r="R122">
        <f t="shared" si="7"/>
        <v>10.790000000000003</v>
      </c>
      <c r="S122">
        <v>8</v>
      </c>
      <c r="T122">
        <f t="shared" si="8"/>
        <v>233.36</v>
      </c>
      <c r="U122">
        <v>0.02</v>
      </c>
      <c r="V122">
        <f t="shared" si="9"/>
        <v>4.6672000000000002</v>
      </c>
      <c r="W122">
        <f t="shared" si="10"/>
        <v>228.69280000000001</v>
      </c>
      <c r="X122">
        <v>6.27</v>
      </c>
      <c r="Y122">
        <f t="shared" si="11"/>
        <v>234.96280000000002</v>
      </c>
    </row>
    <row r="123" spans="1:25" x14ac:dyDescent="0.25">
      <c r="A123" t="s">
        <v>645</v>
      </c>
      <c r="B123">
        <v>41495</v>
      </c>
      <c r="C123" t="str">
        <f t="shared" si="6"/>
        <v>2013</v>
      </c>
      <c r="D123" t="s">
        <v>646</v>
      </c>
      <c r="E123" t="s">
        <v>376</v>
      </c>
      <c r="F123" t="s">
        <v>239</v>
      </c>
      <c r="G123" t="s">
        <v>240</v>
      </c>
      <c r="H123" t="s">
        <v>293</v>
      </c>
      <c r="I123" t="s">
        <v>242</v>
      </c>
      <c r="J123" t="s">
        <v>279</v>
      </c>
      <c r="K123" t="s">
        <v>594</v>
      </c>
      <c r="L123" t="s">
        <v>268</v>
      </c>
      <c r="M123" t="s">
        <v>647</v>
      </c>
      <c r="N123" t="s">
        <v>247</v>
      </c>
      <c r="O123">
        <v>41499</v>
      </c>
      <c r="P123">
        <v>216</v>
      </c>
      <c r="Q123">
        <v>449.99</v>
      </c>
      <c r="R123">
        <f t="shared" si="7"/>
        <v>233.99</v>
      </c>
      <c r="S123">
        <v>40</v>
      </c>
      <c r="T123">
        <f t="shared" si="8"/>
        <v>17999.599999999999</v>
      </c>
      <c r="U123">
        <v>0.04</v>
      </c>
      <c r="V123">
        <f t="shared" si="9"/>
        <v>719.98399999999992</v>
      </c>
      <c r="W123">
        <f t="shared" si="10"/>
        <v>17279.615999999998</v>
      </c>
      <c r="X123">
        <v>24.49</v>
      </c>
      <c r="Y123">
        <f t="shared" si="11"/>
        <v>17304.106</v>
      </c>
    </row>
    <row r="124" spans="1:25" x14ac:dyDescent="0.25">
      <c r="A124" t="s">
        <v>648</v>
      </c>
      <c r="B124">
        <v>41495</v>
      </c>
      <c r="C124" t="str">
        <f t="shared" si="6"/>
        <v>2013</v>
      </c>
      <c r="D124" t="s">
        <v>649</v>
      </c>
      <c r="E124" t="s">
        <v>650</v>
      </c>
      <c r="F124" t="s">
        <v>257</v>
      </c>
      <c r="G124" t="s">
        <v>258</v>
      </c>
      <c r="H124" t="s">
        <v>259</v>
      </c>
      <c r="I124" t="s">
        <v>299</v>
      </c>
      <c r="J124" t="s">
        <v>279</v>
      </c>
      <c r="K124" t="s">
        <v>267</v>
      </c>
      <c r="L124" t="s">
        <v>268</v>
      </c>
      <c r="M124" t="s">
        <v>269</v>
      </c>
      <c r="N124" t="s">
        <v>270</v>
      </c>
      <c r="O124">
        <v>41502</v>
      </c>
      <c r="P124">
        <v>75</v>
      </c>
      <c r="Q124">
        <v>120.97</v>
      </c>
      <c r="R124">
        <f t="shared" si="7"/>
        <v>45.97</v>
      </c>
      <c r="S124">
        <v>35</v>
      </c>
      <c r="T124">
        <f t="shared" si="8"/>
        <v>4233.95</v>
      </c>
      <c r="U124">
        <v>0.08</v>
      </c>
      <c r="V124">
        <f t="shared" si="9"/>
        <v>338.71600000000001</v>
      </c>
      <c r="W124">
        <f t="shared" si="10"/>
        <v>3895.2339999999999</v>
      </c>
      <c r="X124">
        <v>26.3</v>
      </c>
      <c r="Y124">
        <f t="shared" si="11"/>
        <v>3921.5340000000001</v>
      </c>
    </row>
    <row r="125" spans="1:25" x14ac:dyDescent="0.25">
      <c r="A125" t="s">
        <v>651</v>
      </c>
      <c r="B125">
        <v>41496</v>
      </c>
      <c r="C125" t="str">
        <f t="shared" si="6"/>
        <v>2013</v>
      </c>
      <c r="D125" t="s">
        <v>652</v>
      </c>
      <c r="E125" t="s">
        <v>522</v>
      </c>
      <c r="F125" t="s">
        <v>239</v>
      </c>
      <c r="G125" t="s">
        <v>240</v>
      </c>
      <c r="H125" t="s">
        <v>274</v>
      </c>
      <c r="I125" t="s">
        <v>251</v>
      </c>
      <c r="J125" t="s">
        <v>243</v>
      </c>
      <c r="K125" t="s">
        <v>653</v>
      </c>
      <c r="L125" t="s">
        <v>245</v>
      </c>
      <c r="M125" t="s">
        <v>246</v>
      </c>
      <c r="N125" t="s">
        <v>247</v>
      </c>
      <c r="O125">
        <v>41498</v>
      </c>
      <c r="P125">
        <v>3.5</v>
      </c>
      <c r="Q125">
        <v>5.74</v>
      </c>
      <c r="R125">
        <f t="shared" si="7"/>
        <v>2.2400000000000002</v>
      </c>
      <c r="S125">
        <v>50</v>
      </c>
      <c r="T125">
        <f t="shared" si="8"/>
        <v>287</v>
      </c>
      <c r="U125">
        <v>0.1</v>
      </c>
      <c r="V125">
        <f t="shared" si="9"/>
        <v>28.700000000000003</v>
      </c>
      <c r="W125">
        <f t="shared" si="10"/>
        <v>258.3</v>
      </c>
      <c r="X125">
        <v>5.01</v>
      </c>
      <c r="Y125">
        <f t="shared" si="11"/>
        <v>263.31</v>
      </c>
    </row>
    <row r="126" spans="1:25" x14ac:dyDescent="0.25">
      <c r="A126" t="s">
        <v>654</v>
      </c>
      <c r="B126">
        <v>41497</v>
      </c>
      <c r="C126" t="str">
        <f t="shared" si="6"/>
        <v>2013</v>
      </c>
      <c r="D126" t="s">
        <v>655</v>
      </c>
      <c r="E126" t="s">
        <v>612</v>
      </c>
      <c r="F126" t="s">
        <v>239</v>
      </c>
      <c r="G126" t="s">
        <v>240</v>
      </c>
      <c r="H126" t="s">
        <v>259</v>
      </c>
      <c r="I126" t="s">
        <v>242</v>
      </c>
      <c r="J126" t="s">
        <v>279</v>
      </c>
      <c r="K126" t="s">
        <v>656</v>
      </c>
      <c r="L126" t="s">
        <v>245</v>
      </c>
      <c r="M126" t="s">
        <v>253</v>
      </c>
      <c r="N126" t="s">
        <v>247</v>
      </c>
      <c r="O126">
        <v>41499</v>
      </c>
      <c r="P126">
        <v>0.93</v>
      </c>
      <c r="Q126">
        <v>1.48</v>
      </c>
      <c r="R126">
        <f t="shared" si="7"/>
        <v>0.54999999999999993</v>
      </c>
      <c r="S126">
        <v>19</v>
      </c>
      <c r="T126">
        <f t="shared" si="8"/>
        <v>28.12</v>
      </c>
      <c r="U126">
        <v>0.09</v>
      </c>
      <c r="V126">
        <f t="shared" si="9"/>
        <v>2.5308000000000002</v>
      </c>
      <c r="W126">
        <f t="shared" si="10"/>
        <v>25.589200000000002</v>
      </c>
      <c r="X126">
        <v>0.7</v>
      </c>
      <c r="Y126">
        <f t="shared" si="11"/>
        <v>26.289200000000001</v>
      </c>
    </row>
    <row r="127" spans="1:25" x14ac:dyDescent="0.25">
      <c r="A127" t="s">
        <v>657</v>
      </c>
      <c r="B127">
        <v>41498</v>
      </c>
      <c r="C127" t="str">
        <f t="shared" si="6"/>
        <v>2013</v>
      </c>
      <c r="D127" t="s">
        <v>658</v>
      </c>
      <c r="E127" t="s">
        <v>328</v>
      </c>
      <c r="F127" t="s">
        <v>257</v>
      </c>
      <c r="G127" t="s">
        <v>258</v>
      </c>
      <c r="H127" t="s">
        <v>293</v>
      </c>
      <c r="I127" t="s">
        <v>299</v>
      </c>
      <c r="J127" t="s">
        <v>243</v>
      </c>
      <c r="K127" t="s">
        <v>659</v>
      </c>
      <c r="L127" t="s">
        <v>245</v>
      </c>
      <c r="M127" t="s">
        <v>246</v>
      </c>
      <c r="N127" t="s">
        <v>263</v>
      </c>
      <c r="O127">
        <v>41500</v>
      </c>
      <c r="P127">
        <v>67.73</v>
      </c>
      <c r="Q127">
        <v>165.2</v>
      </c>
      <c r="R127">
        <f t="shared" si="7"/>
        <v>97.469999999999985</v>
      </c>
      <c r="S127">
        <v>37</v>
      </c>
      <c r="T127">
        <f t="shared" si="8"/>
        <v>6112.4</v>
      </c>
      <c r="U127">
        <v>0.04</v>
      </c>
      <c r="V127">
        <f t="shared" si="9"/>
        <v>244.49599999999998</v>
      </c>
      <c r="W127">
        <f t="shared" si="10"/>
        <v>5867.9039999999995</v>
      </c>
      <c r="X127">
        <v>19.989999999999998</v>
      </c>
      <c r="Y127">
        <f t="shared" si="11"/>
        <v>5887.8939999999993</v>
      </c>
    </row>
    <row r="128" spans="1:25" x14ac:dyDescent="0.25">
      <c r="A128" t="s">
        <v>660</v>
      </c>
      <c r="B128">
        <v>41500</v>
      </c>
      <c r="C128" t="str">
        <f t="shared" si="6"/>
        <v>2013</v>
      </c>
      <c r="D128" t="s">
        <v>351</v>
      </c>
      <c r="E128" t="s">
        <v>352</v>
      </c>
      <c r="F128" t="s">
        <v>257</v>
      </c>
      <c r="G128" t="s">
        <v>258</v>
      </c>
      <c r="H128" t="s">
        <v>259</v>
      </c>
      <c r="I128" t="s">
        <v>275</v>
      </c>
      <c r="J128" t="s">
        <v>279</v>
      </c>
      <c r="K128" t="s">
        <v>661</v>
      </c>
      <c r="L128" t="s">
        <v>245</v>
      </c>
      <c r="M128" t="s">
        <v>246</v>
      </c>
      <c r="N128" t="s">
        <v>247</v>
      </c>
      <c r="O128">
        <v>41509</v>
      </c>
      <c r="P128">
        <v>2.1800000000000002</v>
      </c>
      <c r="Q128">
        <v>3.52</v>
      </c>
      <c r="R128">
        <f t="shared" si="7"/>
        <v>1.3399999999999999</v>
      </c>
      <c r="S128">
        <v>12</v>
      </c>
      <c r="T128">
        <f t="shared" si="8"/>
        <v>42.24</v>
      </c>
      <c r="U128">
        <v>0.04</v>
      </c>
      <c r="V128">
        <f t="shared" si="9"/>
        <v>1.6896000000000002</v>
      </c>
      <c r="W128">
        <f t="shared" si="10"/>
        <v>40.550400000000003</v>
      </c>
      <c r="X128">
        <v>6.83</v>
      </c>
      <c r="Y128">
        <f t="shared" si="11"/>
        <v>47.380400000000002</v>
      </c>
    </row>
    <row r="129" spans="1:25" x14ac:dyDescent="0.25">
      <c r="A129" t="s">
        <v>662</v>
      </c>
      <c r="B129">
        <v>41501</v>
      </c>
      <c r="C129" t="str">
        <f t="shared" si="6"/>
        <v>2013</v>
      </c>
      <c r="D129" t="s">
        <v>649</v>
      </c>
      <c r="E129" t="s">
        <v>650</v>
      </c>
      <c r="F129" t="s">
        <v>257</v>
      </c>
      <c r="G129" t="s">
        <v>258</v>
      </c>
      <c r="H129" t="s">
        <v>259</v>
      </c>
      <c r="I129" t="s">
        <v>299</v>
      </c>
      <c r="J129" t="s">
        <v>243</v>
      </c>
      <c r="K129" t="s">
        <v>578</v>
      </c>
      <c r="L129" t="s">
        <v>245</v>
      </c>
      <c r="M129" t="s">
        <v>253</v>
      </c>
      <c r="N129" t="s">
        <v>263</v>
      </c>
      <c r="O129">
        <v>41502</v>
      </c>
      <c r="P129">
        <v>1.31</v>
      </c>
      <c r="Q129">
        <v>2.84</v>
      </c>
      <c r="R129">
        <f t="shared" si="7"/>
        <v>1.5299999999999998</v>
      </c>
      <c r="S129">
        <v>13</v>
      </c>
      <c r="T129">
        <f t="shared" si="8"/>
        <v>36.92</v>
      </c>
      <c r="U129">
        <v>0.01</v>
      </c>
      <c r="V129">
        <f t="shared" si="9"/>
        <v>0.36920000000000003</v>
      </c>
      <c r="W129">
        <f t="shared" si="10"/>
        <v>36.550800000000002</v>
      </c>
      <c r="X129">
        <v>0.93</v>
      </c>
      <c r="Y129">
        <f t="shared" si="11"/>
        <v>37.480800000000002</v>
      </c>
    </row>
    <row r="130" spans="1:25" x14ac:dyDescent="0.25">
      <c r="A130" t="s">
        <v>663</v>
      </c>
      <c r="B130">
        <v>41503</v>
      </c>
      <c r="C130" t="str">
        <f t="shared" si="6"/>
        <v>2013</v>
      </c>
      <c r="D130" t="s">
        <v>664</v>
      </c>
      <c r="E130" t="s">
        <v>665</v>
      </c>
      <c r="F130" t="s">
        <v>448</v>
      </c>
      <c r="G130" t="s">
        <v>449</v>
      </c>
      <c r="H130" t="s">
        <v>259</v>
      </c>
      <c r="I130" t="s">
        <v>333</v>
      </c>
      <c r="J130" t="s">
        <v>294</v>
      </c>
      <c r="K130" t="s">
        <v>360</v>
      </c>
      <c r="L130" t="s">
        <v>245</v>
      </c>
      <c r="M130" t="s">
        <v>253</v>
      </c>
      <c r="N130" t="s">
        <v>247</v>
      </c>
      <c r="O130">
        <v>41503</v>
      </c>
      <c r="P130">
        <v>2.52</v>
      </c>
      <c r="Q130">
        <v>4</v>
      </c>
      <c r="R130">
        <f t="shared" si="7"/>
        <v>1.48</v>
      </c>
      <c r="S130">
        <v>41</v>
      </c>
      <c r="T130">
        <f t="shared" si="8"/>
        <v>164</v>
      </c>
      <c r="U130">
        <v>0.02</v>
      </c>
      <c r="V130">
        <f t="shared" si="9"/>
        <v>3.2800000000000002</v>
      </c>
      <c r="W130">
        <f t="shared" si="10"/>
        <v>160.72</v>
      </c>
      <c r="X130">
        <v>1.3</v>
      </c>
      <c r="Y130">
        <f t="shared" si="11"/>
        <v>162.02000000000001</v>
      </c>
    </row>
    <row r="131" spans="1:25" x14ac:dyDescent="0.25">
      <c r="A131" t="s">
        <v>666</v>
      </c>
      <c r="B131">
        <v>41506</v>
      </c>
      <c r="C131" t="str">
        <f t="shared" si="6"/>
        <v>2013</v>
      </c>
      <c r="D131" t="s">
        <v>667</v>
      </c>
      <c r="E131" t="s">
        <v>341</v>
      </c>
      <c r="F131" t="s">
        <v>257</v>
      </c>
      <c r="G131" t="s">
        <v>258</v>
      </c>
      <c r="H131" t="s">
        <v>241</v>
      </c>
      <c r="I131" t="s">
        <v>342</v>
      </c>
      <c r="J131" t="s">
        <v>243</v>
      </c>
      <c r="K131" t="s">
        <v>668</v>
      </c>
      <c r="L131" t="s">
        <v>440</v>
      </c>
      <c r="M131" t="s">
        <v>647</v>
      </c>
      <c r="N131" t="s">
        <v>263</v>
      </c>
      <c r="O131">
        <v>41508</v>
      </c>
      <c r="P131">
        <v>56.16</v>
      </c>
      <c r="Q131">
        <v>136.97999999999999</v>
      </c>
      <c r="R131">
        <f t="shared" si="7"/>
        <v>80.819999999999993</v>
      </c>
      <c r="S131">
        <v>41</v>
      </c>
      <c r="T131">
        <f t="shared" si="8"/>
        <v>5616.1799999999994</v>
      </c>
      <c r="U131">
        <v>0.04</v>
      </c>
      <c r="V131">
        <f t="shared" si="9"/>
        <v>224.64719999999997</v>
      </c>
      <c r="W131">
        <f t="shared" si="10"/>
        <v>5391.532799999999</v>
      </c>
      <c r="X131">
        <v>24.49</v>
      </c>
      <c r="Y131">
        <f t="shared" si="11"/>
        <v>5416.0227999999988</v>
      </c>
    </row>
    <row r="132" spans="1:25" x14ac:dyDescent="0.25">
      <c r="A132" t="s">
        <v>669</v>
      </c>
      <c r="B132">
        <v>41506</v>
      </c>
      <c r="C132" t="str">
        <f t="shared" si="6"/>
        <v>2013</v>
      </c>
      <c r="D132" t="s">
        <v>670</v>
      </c>
      <c r="E132" t="s">
        <v>558</v>
      </c>
      <c r="F132" t="s">
        <v>257</v>
      </c>
      <c r="G132" t="s">
        <v>258</v>
      </c>
      <c r="H132" t="s">
        <v>293</v>
      </c>
      <c r="I132" t="s">
        <v>333</v>
      </c>
      <c r="J132" t="s">
        <v>279</v>
      </c>
      <c r="K132" t="s">
        <v>399</v>
      </c>
      <c r="L132" t="s">
        <v>245</v>
      </c>
      <c r="M132" t="s">
        <v>253</v>
      </c>
      <c r="N132" t="s">
        <v>247</v>
      </c>
      <c r="O132">
        <v>41508</v>
      </c>
      <c r="P132">
        <v>3.47</v>
      </c>
      <c r="Q132">
        <v>6.68</v>
      </c>
      <c r="R132">
        <f t="shared" si="7"/>
        <v>3.2099999999999995</v>
      </c>
      <c r="S132">
        <v>5</v>
      </c>
      <c r="T132">
        <f t="shared" si="8"/>
        <v>33.4</v>
      </c>
      <c r="U132">
        <v>0.09</v>
      </c>
      <c r="V132">
        <f t="shared" si="9"/>
        <v>3.0059999999999998</v>
      </c>
      <c r="W132">
        <f t="shared" si="10"/>
        <v>30.393999999999998</v>
      </c>
      <c r="X132">
        <v>1.5</v>
      </c>
      <c r="Y132">
        <f t="shared" si="11"/>
        <v>31.893999999999998</v>
      </c>
    </row>
    <row r="133" spans="1:25" x14ac:dyDescent="0.25">
      <c r="A133" t="s">
        <v>671</v>
      </c>
      <c r="B133">
        <v>41508</v>
      </c>
      <c r="C133" t="str">
        <f t="shared" si="6"/>
        <v>2013</v>
      </c>
      <c r="D133" t="s">
        <v>672</v>
      </c>
      <c r="E133" t="s">
        <v>673</v>
      </c>
      <c r="F133" t="s">
        <v>257</v>
      </c>
      <c r="G133" t="s">
        <v>258</v>
      </c>
      <c r="H133" t="s">
        <v>293</v>
      </c>
      <c r="I133" t="s">
        <v>372</v>
      </c>
      <c r="J133" t="s">
        <v>279</v>
      </c>
      <c r="K133" t="s">
        <v>659</v>
      </c>
      <c r="L133" t="s">
        <v>245</v>
      </c>
      <c r="M133" t="s">
        <v>246</v>
      </c>
      <c r="N133" t="s">
        <v>247</v>
      </c>
      <c r="O133">
        <v>41510</v>
      </c>
      <c r="P133">
        <v>67.73</v>
      </c>
      <c r="Q133">
        <v>165.2</v>
      </c>
      <c r="R133">
        <f t="shared" si="7"/>
        <v>97.469999999999985</v>
      </c>
      <c r="S133">
        <v>23</v>
      </c>
      <c r="T133">
        <f t="shared" si="8"/>
        <v>3799.6</v>
      </c>
      <c r="U133">
        <v>7.0000000000000007E-2</v>
      </c>
      <c r="V133">
        <f t="shared" si="9"/>
        <v>265.97200000000004</v>
      </c>
      <c r="W133">
        <f t="shared" si="10"/>
        <v>3533.6279999999997</v>
      </c>
      <c r="X133">
        <v>19.989999999999998</v>
      </c>
      <c r="Y133">
        <f t="shared" si="11"/>
        <v>3553.6179999999995</v>
      </c>
    </row>
    <row r="134" spans="1:25" x14ac:dyDescent="0.25">
      <c r="A134" t="s">
        <v>674</v>
      </c>
      <c r="B134">
        <v>41510</v>
      </c>
      <c r="C134" t="str">
        <f t="shared" ref="C134:C197" si="12">TEXT(B134,"yyyy")</f>
        <v>2013</v>
      </c>
      <c r="D134" t="s">
        <v>675</v>
      </c>
      <c r="E134" t="s">
        <v>298</v>
      </c>
      <c r="F134" t="s">
        <v>257</v>
      </c>
      <c r="G134" t="s">
        <v>258</v>
      </c>
      <c r="H134" t="s">
        <v>241</v>
      </c>
      <c r="I134" t="s">
        <v>299</v>
      </c>
      <c r="J134" t="s">
        <v>294</v>
      </c>
      <c r="K134" t="s">
        <v>676</v>
      </c>
      <c r="L134" t="s">
        <v>245</v>
      </c>
      <c r="M134" t="s">
        <v>323</v>
      </c>
      <c r="N134" t="s">
        <v>247</v>
      </c>
      <c r="O134">
        <v>41513</v>
      </c>
      <c r="P134">
        <v>5.19</v>
      </c>
      <c r="Q134">
        <v>12.98</v>
      </c>
      <c r="R134">
        <f t="shared" ref="R134:R197" si="13">Q134-P134</f>
        <v>7.79</v>
      </c>
      <c r="S134">
        <v>45</v>
      </c>
      <c r="T134">
        <f t="shared" ref="T134:T197" si="14">Q134*S134</f>
        <v>584.1</v>
      </c>
      <c r="U134">
        <v>0.02</v>
      </c>
      <c r="V134">
        <f t="shared" ref="V134:V197" si="15">T134*U134</f>
        <v>11.682</v>
      </c>
      <c r="W134">
        <f t="shared" ref="W134:W197" si="16">T134-V134</f>
        <v>572.41800000000001</v>
      </c>
      <c r="X134">
        <v>3.14</v>
      </c>
      <c r="Y134">
        <f t="shared" ref="Y134:Y197" si="17">W134+X134</f>
        <v>575.55799999999999</v>
      </c>
    </row>
    <row r="135" spans="1:25" x14ac:dyDescent="0.25">
      <c r="A135" t="s">
        <v>677</v>
      </c>
      <c r="B135">
        <v>41511</v>
      </c>
      <c r="C135" t="str">
        <f t="shared" si="12"/>
        <v>2013</v>
      </c>
      <c r="D135" t="s">
        <v>678</v>
      </c>
      <c r="E135" t="s">
        <v>346</v>
      </c>
      <c r="F135" t="s">
        <v>257</v>
      </c>
      <c r="G135" t="s">
        <v>258</v>
      </c>
      <c r="H135" t="s">
        <v>241</v>
      </c>
      <c r="I135" t="s">
        <v>309</v>
      </c>
      <c r="J135" t="s">
        <v>294</v>
      </c>
      <c r="K135" t="s">
        <v>453</v>
      </c>
      <c r="L135" t="s">
        <v>245</v>
      </c>
      <c r="M135" t="s">
        <v>246</v>
      </c>
      <c r="N135" t="s">
        <v>247</v>
      </c>
      <c r="O135">
        <v>41512</v>
      </c>
      <c r="P135">
        <v>1.18</v>
      </c>
      <c r="Q135">
        <v>1.88</v>
      </c>
      <c r="R135">
        <f t="shared" si="13"/>
        <v>0.7</v>
      </c>
      <c r="S135">
        <v>42</v>
      </c>
      <c r="T135">
        <f t="shared" si="14"/>
        <v>78.959999999999994</v>
      </c>
      <c r="U135">
        <v>0</v>
      </c>
      <c r="V135">
        <f t="shared" si="15"/>
        <v>0</v>
      </c>
      <c r="W135">
        <f t="shared" si="16"/>
        <v>78.959999999999994</v>
      </c>
      <c r="X135">
        <v>1.49</v>
      </c>
      <c r="Y135">
        <f t="shared" si="17"/>
        <v>80.449999999999989</v>
      </c>
    </row>
    <row r="136" spans="1:25" x14ac:dyDescent="0.25">
      <c r="A136" t="s">
        <v>679</v>
      </c>
      <c r="B136">
        <v>41511</v>
      </c>
      <c r="C136" t="str">
        <f t="shared" si="12"/>
        <v>2013</v>
      </c>
      <c r="D136" t="s">
        <v>680</v>
      </c>
      <c r="E136" t="s">
        <v>681</v>
      </c>
      <c r="F136" t="s">
        <v>257</v>
      </c>
      <c r="G136" t="s">
        <v>258</v>
      </c>
      <c r="H136" t="s">
        <v>293</v>
      </c>
      <c r="I136" t="s">
        <v>299</v>
      </c>
      <c r="J136" t="s">
        <v>304</v>
      </c>
      <c r="K136" t="s">
        <v>349</v>
      </c>
      <c r="L136" t="s">
        <v>245</v>
      </c>
      <c r="M136" t="s">
        <v>246</v>
      </c>
      <c r="N136" t="s">
        <v>247</v>
      </c>
      <c r="O136">
        <v>41512</v>
      </c>
      <c r="P136">
        <v>3.52</v>
      </c>
      <c r="Q136">
        <v>5.68</v>
      </c>
      <c r="R136">
        <f t="shared" si="13"/>
        <v>2.1599999999999997</v>
      </c>
      <c r="S136">
        <v>32</v>
      </c>
      <c r="T136">
        <f t="shared" si="14"/>
        <v>181.76</v>
      </c>
      <c r="U136">
        <v>0.05</v>
      </c>
      <c r="V136">
        <f t="shared" si="15"/>
        <v>9.0879999999999992</v>
      </c>
      <c r="W136">
        <f t="shared" si="16"/>
        <v>172.672</v>
      </c>
      <c r="X136">
        <v>1.39</v>
      </c>
      <c r="Y136">
        <f t="shared" si="17"/>
        <v>174.06199999999998</v>
      </c>
    </row>
    <row r="137" spans="1:25" x14ac:dyDescent="0.25">
      <c r="A137" t="s">
        <v>682</v>
      </c>
      <c r="B137">
        <v>41514</v>
      </c>
      <c r="C137" t="str">
        <f t="shared" si="12"/>
        <v>2013</v>
      </c>
      <c r="D137" t="s">
        <v>683</v>
      </c>
      <c r="E137" t="s">
        <v>341</v>
      </c>
      <c r="F137" t="s">
        <v>257</v>
      </c>
      <c r="G137" t="s">
        <v>258</v>
      </c>
      <c r="H137" t="s">
        <v>274</v>
      </c>
      <c r="I137" t="s">
        <v>342</v>
      </c>
      <c r="J137" t="s">
        <v>294</v>
      </c>
      <c r="K137" t="s">
        <v>617</v>
      </c>
      <c r="L137" t="s">
        <v>245</v>
      </c>
      <c r="M137" t="s">
        <v>246</v>
      </c>
      <c r="N137" t="s">
        <v>247</v>
      </c>
      <c r="O137">
        <v>41515</v>
      </c>
      <c r="P137">
        <v>1.94</v>
      </c>
      <c r="Q137">
        <v>3.08</v>
      </c>
      <c r="R137">
        <f t="shared" si="13"/>
        <v>1.1400000000000001</v>
      </c>
      <c r="S137">
        <v>45</v>
      </c>
      <c r="T137">
        <f t="shared" si="14"/>
        <v>138.6</v>
      </c>
      <c r="U137">
        <v>0.04</v>
      </c>
      <c r="V137">
        <f t="shared" si="15"/>
        <v>5.5439999999999996</v>
      </c>
      <c r="W137">
        <f t="shared" si="16"/>
        <v>133.05599999999998</v>
      </c>
      <c r="X137">
        <v>0.99</v>
      </c>
      <c r="Y137">
        <f t="shared" si="17"/>
        <v>134.04599999999999</v>
      </c>
    </row>
    <row r="138" spans="1:25" x14ac:dyDescent="0.25">
      <c r="A138" t="s">
        <v>684</v>
      </c>
      <c r="B138">
        <v>41515</v>
      </c>
      <c r="C138" t="str">
        <f t="shared" si="12"/>
        <v>2013</v>
      </c>
      <c r="D138" t="s">
        <v>680</v>
      </c>
      <c r="E138" t="s">
        <v>681</v>
      </c>
      <c r="F138" t="s">
        <v>257</v>
      </c>
      <c r="G138" t="s">
        <v>258</v>
      </c>
      <c r="H138" t="s">
        <v>274</v>
      </c>
      <c r="I138" t="s">
        <v>299</v>
      </c>
      <c r="J138" t="s">
        <v>294</v>
      </c>
      <c r="K138" t="s">
        <v>390</v>
      </c>
      <c r="L138" t="s">
        <v>245</v>
      </c>
      <c r="M138" t="s">
        <v>246</v>
      </c>
      <c r="N138" t="s">
        <v>247</v>
      </c>
      <c r="O138">
        <v>41516</v>
      </c>
      <c r="P138">
        <v>8.7100000000000009</v>
      </c>
      <c r="Q138">
        <v>14.28</v>
      </c>
      <c r="R138">
        <f t="shared" si="13"/>
        <v>5.5699999999999985</v>
      </c>
      <c r="S138">
        <v>8</v>
      </c>
      <c r="T138">
        <f t="shared" si="14"/>
        <v>114.24</v>
      </c>
      <c r="U138">
        <v>0.01</v>
      </c>
      <c r="V138">
        <f t="shared" si="15"/>
        <v>1.1424000000000001</v>
      </c>
      <c r="W138">
        <f t="shared" si="16"/>
        <v>113.0976</v>
      </c>
      <c r="X138">
        <v>2.99</v>
      </c>
      <c r="Y138">
        <f t="shared" si="17"/>
        <v>116.08759999999999</v>
      </c>
    </row>
    <row r="139" spans="1:25" x14ac:dyDescent="0.25">
      <c r="A139" t="s">
        <v>685</v>
      </c>
      <c r="B139">
        <v>41515</v>
      </c>
      <c r="C139" t="str">
        <f t="shared" si="12"/>
        <v>2013</v>
      </c>
      <c r="D139" t="s">
        <v>686</v>
      </c>
      <c r="E139" t="s">
        <v>341</v>
      </c>
      <c r="F139" t="s">
        <v>257</v>
      </c>
      <c r="G139" t="s">
        <v>258</v>
      </c>
      <c r="H139" t="s">
        <v>241</v>
      </c>
      <c r="I139" t="s">
        <v>342</v>
      </c>
      <c r="J139" t="s">
        <v>279</v>
      </c>
      <c r="K139" t="s">
        <v>482</v>
      </c>
      <c r="L139" t="s">
        <v>268</v>
      </c>
      <c r="M139" t="s">
        <v>246</v>
      </c>
      <c r="N139" t="s">
        <v>247</v>
      </c>
      <c r="O139">
        <v>41520</v>
      </c>
      <c r="P139">
        <v>60.59</v>
      </c>
      <c r="Q139">
        <v>100.98</v>
      </c>
      <c r="R139">
        <f t="shared" si="13"/>
        <v>40.39</v>
      </c>
      <c r="S139">
        <v>12</v>
      </c>
      <c r="T139">
        <f t="shared" si="14"/>
        <v>1211.76</v>
      </c>
      <c r="U139">
        <v>0.04</v>
      </c>
      <c r="V139">
        <f t="shared" si="15"/>
        <v>48.470399999999998</v>
      </c>
      <c r="W139">
        <f t="shared" si="16"/>
        <v>1163.2896000000001</v>
      </c>
      <c r="X139">
        <v>7.18</v>
      </c>
      <c r="Y139">
        <f t="shared" si="17"/>
        <v>1170.4696000000001</v>
      </c>
    </row>
    <row r="140" spans="1:25" x14ac:dyDescent="0.25">
      <c r="A140" t="s">
        <v>687</v>
      </c>
      <c r="B140">
        <v>41516</v>
      </c>
      <c r="C140" t="str">
        <f t="shared" si="12"/>
        <v>2013</v>
      </c>
      <c r="D140" t="s">
        <v>686</v>
      </c>
      <c r="E140" t="s">
        <v>341</v>
      </c>
      <c r="F140" t="s">
        <v>257</v>
      </c>
      <c r="G140" t="s">
        <v>258</v>
      </c>
      <c r="H140" t="s">
        <v>241</v>
      </c>
      <c r="I140" t="s">
        <v>342</v>
      </c>
      <c r="J140" t="s">
        <v>304</v>
      </c>
      <c r="K140" t="s">
        <v>688</v>
      </c>
      <c r="L140" t="s">
        <v>245</v>
      </c>
      <c r="M140" t="s">
        <v>246</v>
      </c>
      <c r="N140" t="s">
        <v>263</v>
      </c>
      <c r="O140">
        <v>41518</v>
      </c>
      <c r="P140">
        <v>2.4500000000000002</v>
      </c>
      <c r="Q140">
        <v>3.89</v>
      </c>
      <c r="R140">
        <f t="shared" si="13"/>
        <v>1.44</v>
      </c>
      <c r="S140">
        <v>32</v>
      </c>
      <c r="T140">
        <f t="shared" si="14"/>
        <v>124.48</v>
      </c>
      <c r="U140">
        <v>0.09</v>
      </c>
      <c r="V140">
        <f t="shared" si="15"/>
        <v>11.203200000000001</v>
      </c>
      <c r="W140">
        <f t="shared" si="16"/>
        <v>113.27680000000001</v>
      </c>
      <c r="X140">
        <v>7.01</v>
      </c>
      <c r="Y140">
        <f t="shared" si="17"/>
        <v>120.28680000000001</v>
      </c>
    </row>
    <row r="141" spans="1:25" x14ac:dyDescent="0.25">
      <c r="A141" t="s">
        <v>689</v>
      </c>
      <c r="B141">
        <v>41518</v>
      </c>
      <c r="C141" t="str">
        <f t="shared" si="12"/>
        <v>2013</v>
      </c>
      <c r="D141" t="s">
        <v>690</v>
      </c>
      <c r="E141" t="s">
        <v>691</v>
      </c>
      <c r="F141" t="s">
        <v>448</v>
      </c>
      <c r="G141" t="s">
        <v>449</v>
      </c>
      <c r="H141" t="s">
        <v>241</v>
      </c>
      <c r="I141" t="s">
        <v>504</v>
      </c>
      <c r="J141" t="s">
        <v>261</v>
      </c>
      <c r="K141" t="s">
        <v>453</v>
      </c>
      <c r="L141" t="s">
        <v>245</v>
      </c>
      <c r="M141" t="s">
        <v>246</v>
      </c>
      <c r="N141" t="s">
        <v>247</v>
      </c>
      <c r="O141">
        <v>41519</v>
      </c>
      <c r="P141">
        <v>1.18</v>
      </c>
      <c r="Q141">
        <v>1.88</v>
      </c>
      <c r="R141">
        <f t="shared" si="13"/>
        <v>0.7</v>
      </c>
      <c r="S141">
        <v>43</v>
      </c>
      <c r="T141">
        <f t="shared" si="14"/>
        <v>80.839999999999989</v>
      </c>
      <c r="U141">
        <v>0.03</v>
      </c>
      <c r="V141">
        <f t="shared" si="15"/>
        <v>2.4251999999999998</v>
      </c>
      <c r="W141">
        <f t="shared" si="16"/>
        <v>78.414799999999985</v>
      </c>
      <c r="X141">
        <v>1.49</v>
      </c>
      <c r="Y141">
        <f t="shared" si="17"/>
        <v>79.90479999999998</v>
      </c>
    </row>
    <row r="142" spans="1:25" x14ac:dyDescent="0.25">
      <c r="A142" t="s">
        <v>692</v>
      </c>
      <c r="B142">
        <v>41519</v>
      </c>
      <c r="C142" t="str">
        <f t="shared" si="12"/>
        <v>2013</v>
      </c>
      <c r="D142" t="s">
        <v>693</v>
      </c>
      <c r="E142" t="s">
        <v>694</v>
      </c>
      <c r="F142" t="s">
        <v>257</v>
      </c>
      <c r="G142" t="s">
        <v>258</v>
      </c>
      <c r="H142" t="s">
        <v>259</v>
      </c>
      <c r="I142" t="s">
        <v>284</v>
      </c>
      <c r="J142" t="s">
        <v>243</v>
      </c>
      <c r="K142" t="s">
        <v>607</v>
      </c>
      <c r="L142" t="s">
        <v>245</v>
      </c>
      <c r="M142" t="s">
        <v>246</v>
      </c>
      <c r="N142" t="s">
        <v>247</v>
      </c>
      <c r="O142">
        <v>41520</v>
      </c>
      <c r="P142">
        <v>4.46</v>
      </c>
      <c r="Q142">
        <v>10.89</v>
      </c>
      <c r="R142">
        <f t="shared" si="13"/>
        <v>6.4300000000000006</v>
      </c>
      <c r="S142">
        <v>9</v>
      </c>
      <c r="T142">
        <f t="shared" si="14"/>
        <v>98.01</v>
      </c>
      <c r="U142">
        <v>0.03</v>
      </c>
      <c r="V142">
        <f t="shared" si="15"/>
        <v>2.9403000000000001</v>
      </c>
      <c r="W142">
        <f t="shared" si="16"/>
        <v>95.069700000000012</v>
      </c>
      <c r="X142">
        <v>4.5</v>
      </c>
      <c r="Y142">
        <f t="shared" si="17"/>
        <v>99.569700000000012</v>
      </c>
    </row>
    <row r="143" spans="1:25" x14ac:dyDescent="0.25">
      <c r="A143" t="s">
        <v>695</v>
      </c>
      <c r="B143">
        <v>41520</v>
      </c>
      <c r="C143" t="str">
        <f t="shared" si="12"/>
        <v>2013</v>
      </c>
      <c r="D143" t="s">
        <v>366</v>
      </c>
      <c r="E143" t="s">
        <v>367</v>
      </c>
      <c r="F143" t="s">
        <v>239</v>
      </c>
      <c r="G143" t="s">
        <v>240</v>
      </c>
      <c r="H143" t="s">
        <v>259</v>
      </c>
      <c r="I143" t="s">
        <v>251</v>
      </c>
      <c r="J143" t="s">
        <v>279</v>
      </c>
      <c r="K143" t="s">
        <v>638</v>
      </c>
      <c r="L143" t="s">
        <v>245</v>
      </c>
      <c r="M143" t="s">
        <v>323</v>
      </c>
      <c r="N143" t="s">
        <v>247</v>
      </c>
      <c r="O143">
        <v>41522</v>
      </c>
      <c r="P143">
        <v>1.46</v>
      </c>
      <c r="Q143">
        <v>3.57</v>
      </c>
      <c r="R143">
        <f t="shared" si="13"/>
        <v>2.11</v>
      </c>
      <c r="S143">
        <v>26</v>
      </c>
      <c r="T143">
        <f t="shared" si="14"/>
        <v>92.82</v>
      </c>
      <c r="U143">
        <v>0.04</v>
      </c>
      <c r="V143">
        <f t="shared" si="15"/>
        <v>3.7127999999999997</v>
      </c>
      <c r="W143">
        <f t="shared" si="16"/>
        <v>89.107199999999992</v>
      </c>
      <c r="X143">
        <v>4.17</v>
      </c>
      <c r="Y143">
        <f t="shared" si="17"/>
        <v>93.277199999999993</v>
      </c>
    </row>
    <row r="144" spans="1:25" x14ac:dyDescent="0.25">
      <c r="A144" t="s">
        <v>696</v>
      </c>
      <c r="B144">
        <v>41521</v>
      </c>
      <c r="C144" t="str">
        <f t="shared" si="12"/>
        <v>2013</v>
      </c>
      <c r="D144" t="s">
        <v>697</v>
      </c>
      <c r="E144" t="s">
        <v>238</v>
      </c>
      <c r="F144" t="s">
        <v>239</v>
      </c>
      <c r="G144" t="s">
        <v>240</v>
      </c>
      <c r="H144" t="s">
        <v>293</v>
      </c>
      <c r="I144" t="s">
        <v>242</v>
      </c>
      <c r="J144" t="s">
        <v>294</v>
      </c>
      <c r="K144" t="s">
        <v>698</v>
      </c>
      <c r="L144" t="s">
        <v>245</v>
      </c>
      <c r="M144" t="s">
        <v>253</v>
      </c>
      <c r="N144" t="s">
        <v>263</v>
      </c>
      <c r="O144">
        <v>41523</v>
      </c>
      <c r="P144">
        <v>3.32</v>
      </c>
      <c r="Q144">
        <v>5.18</v>
      </c>
      <c r="R144">
        <f t="shared" si="13"/>
        <v>1.8599999999999999</v>
      </c>
      <c r="S144">
        <v>37</v>
      </c>
      <c r="T144">
        <f t="shared" si="14"/>
        <v>191.66</v>
      </c>
      <c r="U144">
        <v>7.0000000000000007E-2</v>
      </c>
      <c r="V144">
        <f t="shared" si="15"/>
        <v>13.416200000000002</v>
      </c>
      <c r="W144">
        <f t="shared" si="16"/>
        <v>178.24379999999999</v>
      </c>
      <c r="X144">
        <v>2.04</v>
      </c>
      <c r="Y144">
        <f t="shared" si="17"/>
        <v>180.28379999999999</v>
      </c>
    </row>
    <row r="145" spans="1:25" x14ac:dyDescent="0.25">
      <c r="A145" t="s">
        <v>699</v>
      </c>
      <c r="B145">
        <v>41521</v>
      </c>
      <c r="C145" t="str">
        <f t="shared" si="12"/>
        <v>2013</v>
      </c>
      <c r="D145" t="s">
        <v>700</v>
      </c>
      <c r="E145" t="s">
        <v>701</v>
      </c>
      <c r="F145" t="s">
        <v>257</v>
      </c>
      <c r="G145" t="s">
        <v>258</v>
      </c>
      <c r="H145" t="s">
        <v>259</v>
      </c>
      <c r="I145" t="s">
        <v>275</v>
      </c>
      <c r="J145" t="s">
        <v>279</v>
      </c>
      <c r="K145" t="s">
        <v>460</v>
      </c>
      <c r="L145" t="s">
        <v>245</v>
      </c>
      <c r="M145" t="s">
        <v>246</v>
      </c>
      <c r="N145" t="s">
        <v>247</v>
      </c>
      <c r="O145">
        <v>41526</v>
      </c>
      <c r="P145">
        <v>3.84</v>
      </c>
      <c r="Q145">
        <v>6.3</v>
      </c>
      <c r="R145">
        <f t="shared" si="13"/>
        <v>2.46</v>
      </c>
      <c r="S145">
        <v>39</v>
      </c>
      <c r="T145">
        <f t="shared" si="14"/>
        <v>245.7</v>
      </c>
      <c r="U145">
        <v>0.1</v>
      </c>
      <c r="V145">
        <f t="shared" si="15"/>
        <v>24.57</v>
      </c>
      <c r="W145">
        <f t="shared" si="16"/>
        <v>221.13</v>
      </c>
      <c r="X145">
        <v>0.5</v>
      </c>
      <c r="Y145">
        <f t="shared" si="17"/>
        <v>221.63</v>
      </c>
    </row>
    <row r="146" spans="1:25" x14ac:dyDescent="0.25">
      <c r="A146" t="s">
        <v>702</v>
      </c>
      <c r="B146">
        <v>41526</v>
      </c>
      <c r="C146" t="str">
        <f t="shared" si="12"/>
        <v>2013</v>
      </c>
      <c r="D146" t="s">
        <v>703</v>
      </c>
      <c r="E146" t="s">
        <v>288</v>
      </c>
      <c r="F146" t="s">
        <v>257</v>
      </c>
      <c r="G146" t="s">
        <v>258</v>
      </c>
      <c r="H146" t="s">
        <v>259</v>
      </c>
      <c r="I146" t="s">
        <v>284</v>
      </c>
      <c r="J146" t="s">
        <v>294</v>
      </c>
      <c r="K146" t="s">
        <v>617</v>
      </c>
      <c r="L146" t="s">
        <v>245</v>
      </c>
      <c r="M146" t="s">
        <v>246</v>
      </c>
      <c r="N146" t="s">
        <v>247</v>
      </c>
      <c r="O146">
        <v>41527</v>
      </c>
      <c r="P146">
        <v>1.94</v>
      </c>
      <c r="Q146">
        <v>3.08</v>
      </c>
      <c r="R146">
        <f t="shared" si="13"/>
        <v>1.1400000000000001</v>
      </c>
      <c r="S146">
        <v>24</v>
      </c>
      <c r="T146">
        <f t="shared" si="14"/>
        <v>73.92</v>
      </c>
      <c r="U146">
        <v>0.04</v>
      </c>
      <c r="V146">
        <f t="shared" si="15"/>
        <v>2.9568000000000003</v>
      </c>
      <c r="W146">
        <f t="shared" si="16"/>
        <v>70.963200000000001</v>
      </c>
      <c r="X146">
        <v>0.99</v>
      </c>
      <c r="Y146">
        <f t="shared" si="17"/>
        <v>71.953199999999995</v>
      </c>
    </row>
    <row r="147" spans="1:25" x14ac:dyDescent="0.25">
      <c r="A147" t="s">
        <v>704</v>
      </c>
      <c r="B147">
        <v>41527</v>
      </c>
      <c r="C147" t="str">
        <f t="shared" si="12"/>
        <v>2013</v>
      </c>
      <c r="D147" t="s">
        <v>705</v>
      </c>
      <c r="E147" t="s">
        <v>706</v>
      </c>
      <c r="F147" t="s">
        <v>257</v>
      </c>
      <c r="G147" t="s">
        <v>258</v>
      </c>
      <c r="H147" t="s">
        <v>259</v>
      </c>
      <c r="I147" t="s">
        <v>299</v>
      </c>
      <c r="J147" t="s">
        <v>294</v>
      </c>
      <c r="K147" t="s">
        <v>493</v>
      </c>
      <c r="L147" t="s">
        <v>245</v>
      </c>
      <c r="M147" t="s">
        <v>253</v>
      </c>
      <c r="N147" t="s">
        <v>247</v>
      </c>
      <c r="O147">
        <v>41529</v>
      </c>
      <c r="P147">
        <v>1.76</v>
      </c>
      <c r="Q147">
        <v>3.38</v>
      </c>
      <c r="R147">
        <f t="shared" si="13"/>
        <v>1.6199999999999999</v>
      </c>
      <c r="S147">
        <v>27</v>
      </c>
      <c r="T147">
        <f t="shared" si="14"/>
        <v>91.259999999999991</v>
      </c>
      <c r="U147">
        <v>0.08</v>
      </c>
      <c r="V147">
        <f t="shared" si="15"/>
        <v>7.3007999999999997</v>
      </c>
      <c r="W147">
        <f t="shared" si="16"/>
        <v>83.959199999999996</v>
      </c>
      <c r="X147">
        <v>0.85</v>
      </c>
      <c r="Y147">
        <f t="shared" si="17"/>
        <v>84.80919999999999</v>
      </c>
    </row>
    <row r="148" spans="1:25" x14ac:dyDescent="0.25">
      <c r="A148" t="s">
        <v>707</v>
      </c>
      <c r="B148">
        <v>41529</v>
      </c>
      <c r="C148" t="str">
        <f t="shared" si="12"/>
        <v>2013</v>
      </c>
      <c r="D148" t="s">
        <v>708</v>
      </c>
      <c r="E148" t="s">
        <v>709</v>
      </c>
      <c r="F148" t="s">
        <v>257</v>
      </c>
      <c r="G148" t="s">
        <v>258</v>
      </c>
      <c r="H148" t="s">
        <v>293</v>
      </c>
      <c r="I148" t="s">
        <v>275</v>
      </c>
      <c r="J148" t="s">
        <v>261</v>
      </c>
      <c r="K148" t="s">
        <v>607</v>
      </c>
      <c r="L148" t="s">
        <v>245</v>
      </c>
      <c r="M148" t="s">
        <v>246</v>
      </c>
      <c r="N148" t="s">
        <v>247</v>
      </c>
      <c r="O148">
        <v>41531</v>
      </c>
      <c r="P148">
        <v>4.46</v>
      </c>
      <c r="Q148">
        <v>10.89</v>
      </c>
      <c r="R148">
        <f t="shared" si="13"/>
        <v>6.4300000000000006</v>
      </c>
      <c r="S148">
        <v>37</v>
      </c>
      <c r="T148">
        <f t="shared" si="14"/>
        <v>402.93</v>
      </c>
      <c r="U148">
        <v>0.1</v>
      </c>
      <c r="V148">
        <f t="shared" si="15"/>
        <v>40.293000000000006</v>
      </c>
      <c r="W148">
        <f t="shared" si="16"/>
        <v>362.637</v>
      </c>
      <c r="X148">
        <v>4.5</v>
      </c>
      <c r="Y148">
        <f t="shared" si="17"/>
        <v>367.137</v>
      </c>
    </row>
    <row r="149" spans="1:25" x14ac:dyDescent="0.25">
      <c r="A149" t="s">
        <v>710</v>
      </c>
      <c r="B149">
        <v>41529</v>
      </c>
      <c r="C149" t="str">
        <f t="shared" si="12"/>
        <v>2013</v>
      </c>
      <c r="D149" t="s">
        <v>711</v>
      </c>
      <c r="E149" t="s">
        <v>409</v>
      </c>
      <c r="F149" t="s">
        <v>257</v>
      </c>
      <c r="G149" t="s">
        <v>258</v>
      </c>
      <c r="H149" t="s">
        <v>274</v>
      </c>
      <c r="I149" t="s">
        <v>342</v>
      </c>
      <c r="J149" t="s">
        <v>294</v>
      </c>
      <c r="K149" t="s">
        <v>305</v>
      </c>
      <c r="L149" t="s">
        <v>245</v>
      </c>
      <c r="M149" t="s">
        <v>246</v>
      </c>
      <c r="N149" t="s">
        <v>247</v>
      </c>
      <c r="O149">
        <v>41532</v>
      </c>
      <c r="P149">
        <v>4.8899999999999997</v>
      </c>
      <c r="Q149">
        <v>7.64</v>
      </c>
      <c r="R149">
        <f t="shared" si="13"/>
        <v>2.75</v>
      </c>
      <c r="S149">
        <v>44</v>
      </c>
      <c r="T149">
        <f t="shared" si="14"/>
        <v>336.15999999999997</v>
      </c>
      <c r="U149">
        <v>0.01</v>
      </c>
      <c r="V149">
        <f t="shared" si="15"/>
        <v>3.3615999999999997</v>
      </c>
      <c r="W149">
        <f t="shared" si="16"/>
        <v>332.79839999999996</v>
      </c>
      <c r="X149">
        <v>1.39</v>
      </c>
      <c r="Y149">
        <f t="shared" si="17"/>
        <v>334.18839999999994</v>
      </c>
    </row>
    <row r="150" spans="1:25" x14ac:dyDescent="0.25">
      <c r="A150" t="s">
        <v>712</v>
      </c>
      <c r="B150">
        <v>41529</v>
      </c>
      <c r="C150" t="str">
        <f t="shared" si="12"/>
        <v>2013</v>
      </c>
      <c r="D150" t="s">
        <v>713</v>
      </c>
      <c r="E150" t="s">
        <v>552</v>
      </c>
      <c r="F150" t="s">
        <v>257</v>
      </c>
      <c r="G150" t="s">
        <v>258</v>
      </c>
      <c r="H150" t="s">
        <v>259</v>
      </c>
      <c r="I150" t="s">
        <v>284</v>
      </c>
      <c r="J150" t="s">
        <v>304</v>
      </c>
      <c r="K150" t="s">
        <v>714</v>
      </c>
      <c r="L150" t="s">
        <v>268</v>
      </c>
      <c r="M150" t="s">
        <v>246</v>
      </c>
      <c r="N150" t="s">
        <v>247</v>
      </c>
      <c r="O150">
        <v>41531</v>
      </c>
      <c r="P150">
        <v>42.11</v>
      </c>
      <c r="Q150">
        <v>80.98</v>
      </c>
      <c r="R150">
        <f t="shared" si="13"/>
        <v>38.870000000000005</v>
      </c>
      <c r="S150">
        <v>34</v>
      </c>
      <c r="T150">
        <f t="shared" si="14"/>
        <v>2753.32</v>
      </c>
      <c r="U150">
        <v>7.0000000000000007E-2</v>
      </c>
      <c r="V150">
        <f t="shared" si="15"/>
        <v>192.73240000000004</v>
      </c>
      <c r="W150">
        <f t="shared" si="16"/>
        <v>2560.5876000000003</v>
      </c>
      <c r="X150">
        <v>7.18</v>
      </c>
      <c r="Y150">
        <f t="shared" si="17"/>
        <v>2567.7676000000001</v>
      </c>
    </row>
    <row r="151" spans="1:25" x14ac:dyDescent="0.25">
      <c r="A151" t="s">
        <v>715</v>
      </c>
      <c r="B151">
        <v>41531</v>
      </c>
      <c r="C151" t="str">
        <f t="shared" si="12"/>
        <v>2013</v>
      </c>
      <c r="D151" t="s">
        <v>716</v>
      </c>
      <c r="E151" t="s">
        <v>717</v>
      </c>
      <c r="F151" t="s">
        <v>448</v>
      </c>
      <c r="G151" t="s">
        <v>449</v>
      </c>
      <c r="H151" t="s">
        <v>241</v>
      </c>
      <c r="I151" t="s">
        <v>504</v>
      </c>
      <c r="J151" t="s">
        <v>279</v>
      </c>
      <c r="K151" t="s">
        <v>718</v>
      </c>
      <c r="L151" t="s">
        <v>245</v>
      </c>
      <c r="M151" t="s">
        <v>323</v>
      </c>
      <c r="N151" t="s">
        <v>263</v>
      </c>
      <c r="O151">
        <v>41535</v>
      </c>
      <c r="P151">
        <v>2.5</v>
      </c>
      <c r="Q151">
        <v>5.68</v>
      </c>
      <c r="R151">
        <f t="shared" si="13"/>
        <v>3.1799999999999997</v>
      </c>
      <c r="S151">
        <v>46</v>
      </c>
      <c r="T151">
        <f t="shared" si="14"/>
        <v>261.27999999999997</v>
      </c>
      <c r="U151">
        <v>0.1</v>
      </c>
      <c r="V151">
        <f t="shared" si="15"/>
        <v>26.128</v>
      </c>
      <c r="W151">
        <f t="shared" si="16"/>
        <v>235.15199999999999</v>
      </c>
      <c r="X151">
        <v>3.6</v>
      </c>
      <c r="Y151">
        <f t="shared" si="17"/>
        <v>238.75199999999998</v>
      </c>
    </row>
    <row r="152" spans="1:25" x14ac:dyDescent="0.25">
      <c r="A152" t="s">
        <v>719</v>
      </c>
      <c r="B152">
        <v>41534</v>
      </c>
      <c r="C152" t="str">
        <f t="shared" si="12"/>
        <v>2013</v>
      </c>
      <c r="D152" t="s">
        <v>720</v>
      </c>
      <c r="E152" t="s">
        <v>332</v>
      </c>
      <c r="F152" t="s">
        <v>257</v>
      </c>
      <c r="G152" t="s">
        <v>258</v>
      </c>
      <c r="H152" t="s">
        <v>259</v>
      </c>
      <c r="I152" t="s">
        <v>333</v>
      </c>
      <c r="J152" t="s">
        <v>243</v>
      </c>
      <c r="K152" t="s">
        <v>653</v>
      </c>
      <c r="L152" t="s">
        <v>245</v>
      </c>
      <c r="M152" t="s">
        <v>246</v>
      </c>
      <c r="N152" t="s">
        <v>247</v>
      </c>
      <c r="O152">
        <v>41536</v>
      </c>
      <c r="P152">
        <v>3.5</v>
      </c>
      <c r="Q152">
        <v>5.74</v>
      </c>
      <c r="R152">
        <f t="shared" si="13"/>
        <v>2.2400000000000002</v>
      </c>
      <c r="S152">
        <v>3</v>
      </c>
      <c r="T152">
        <f t="shared" si="14"/>
        <v>17.22</v>
      </c>
      <c r="U152">
        <v>0.08</v>
      </c>
      <c r="V152">
        <f t="shared" si="15"/>
        <v>1.3775999999999999</v>
      </c>
      <c r="W152">
        <f t="shared" si="16"/>
        <v>15.8424</v>
      </c>
      <c r="X152">
        <v>5.01</v>
      </c>
      <c r="Y152">
        <f t="shared" si="17"/>
        <v>20.852399999999999</v>
      </c>
    </row>
    <row r="153" spans="1:25" x14ac:dyDescent="0.25">
      <c r="A153" t="s">
        <v>721</v>
      </c>
      <c r="B153">
        <v>41535</v>
      </c>
      <c r="C153" t="str">
        <f t="shared" si="12"/>
        <v>2013</v>
      </c>
      <c r="D153" t="s">
        <v>722</v>
      </c>
      <c r="E153" t="s">
        <v>256</v>
      </c>
      <c r="F153" t="s">
        <v>257</v>
      </c>
      <c r="G153" t="s">
        <v>258</v>
      </c>
      <c r="H153" t="s">
        <v>241</v>
      </c>
      <c r="I153" t="s">
        <v>260</v>
      </c>
      <c r="J153" t="s">
        <v>279</v>
      </c>
      <c r="K153" t="s">
        <v>421</v>
      </c>
      <c r="L153" t="s">
        <v>245</v>
      </c>
      <c r="M153" t="s">
        <v>246</v>
      </c>
      <c r="N153" t="s">
        <v>263</v>
      </c>
      <c r="O153">
        <v>41542</v>
      </c>
      <c r="P153">
        <v>13.88</v>
      </c>
      <c r="Q153">
        <v>22.38</v>
      </c>
      <c r="R153">
        <f t="shared" si="13"/>
        <v>8.4999999999999982</v>
      </c>
      <c r="S153">
        <v>16</v>
      </c>
      <c r="T153">
        <f t="shared" si="14"/>
        <v>358.08</v>
      </c>
      <c r="U153">
        <v>0</v>
      </c>
      <c r="V153">
        <f t="shared" si="15"/>
        <v>0</v>
      </c>
      <c r="W153">
        <f t="shared" si="16"/>
        <v>358.08</v>
      </c>
      <c r="X153">
        <v>15.1</v>
      </c>
      <c r="Y153">
        <f t="shared" si="17"/>
        <v>373.18</v>
      </c>
    </row>
    <row r="154" spans="1:25" x14ac:dyDescent="0.25">
      <c r="A154" t="s">
        <v>723</v>
      </c>
      <c r="B154">
        <v>41537</v>
      </c>
      <c r="C154" t="str">
        <f t="shared" si="12"/>
        <v>2013</v>
      </c>
      <c r="D154" t="s">
        <v>724</v>
      </c>
      <c r="E154" t="s">
        <v>507</v>
      </c>
      <c r="F154" t="s">
        <v>257</v>
      </c>
      <c r="G154" t="s">
        <v>258</v>
      </c>
      <c r="H154" t="s">
        <v>259</v>
      </c>
      <c r="I154" t="s">
        <v>492</v>
      </c>
      <c r="J154" t="s">
        <v>243</v>
      </c>
      <c r="K154" t="s">
        <v>313</v>
      </c>
      <c r="L154" t="s">
        <v>245</v>
      </c>
      <c r="M154" t="s">
        <v>246</v>
      </c>
      <c r="N154" t="s">
        <v>247</v>
      </c>
      <c r="O154">
        <v>41538</v>
      </c>
      <c r="P154">
        <v>36.020000000000003</v>
      </c>
      <c r="Q154">
        <v>58.1</v>
      </c>
      <c r="R154">
        <f t="shared" si="13"/>
        <v>22.08</v>
      </c>
      <c r="S154">
        <v>7</v>
      </c>
      <c r="T154">
        <f t="shared" si="14"/>
        <v>406.7</v>
      </c>
      <c r="U154">
        <v>0.1</v>
      </c>
      <c r="V154">
        <f t="shared" si="15"/>
        <v>40.67</v>
      </c>
      <c r="W154">
        <f t="shared" si="16"/>
        <v>366.03</v>
      </c>
      <c r="X154">
        <v>1.49</v>
      </c>
      <c r="Y154">
        <f t="shared" si="17"/>
        <v>367.52</v>
      </c>
    </row>
    <row r="155" spans="1:25" x14ac:dyDescent="0.25">
      <c r="A155" t="s">
        <v>725</v>
      </c>
      <c r="B155">
        <v>41539</v>
      </c>
      <c r="C155" t="str">
        <f t="shared" si="12"/>
        <v>2013</v>
      </c>
      <c r="D155" t="s">
        <v>726</v>
      </c>
      <c r="E155" t="s">
        <v>727</v>
      </c>
      <c r="F155" t="s">
        <v>257</v>
      </c>
      <c r="G155" t="s">
        <v>258</v>
      </c>
      <c r="H155" t="s">
        <v>241</v>
      </c>
      <c r="I155" t="s">
        <v>333</v>
      </c>
      <c r="J155" t="s">
        <v>261</v>
      </c>
      <c r="K155" t="s">
        <v>353</v>
      </c>
      <c r="L155" t="s">
        <v>245</v>
      </c>
      <c r="M155" t="s">
        <v>323</v>
      </c>
      <c r="N155" t="s">
        <v>247</v>
      </c>
      <c r="O155">
        <v>41541</v>
      </c>
      <c r="P155">
        <v>0.94</v>
      </c>
      <c r="Q155">
        <v>2.08</v>
      </c>
      <c r="R155">
        <f t="shared" si="13"/>
        <v>1.1400000000000001</v>
      </c>
      <c r="S155">
        <v>43</v>
      </c>
      <c r="T155">
        <f t="shared" si="14"/>
        <v>89.44</v>
      </c>
      <c r="U155">
        <v>0.05</v>
      </c>
      <c r="V155">
        <f t="shared" si="15"/>
        <v>4.4720000000000004</v>
      </c>
      <c r="W155">
        <f t="shared" si="16"/>
        <v>84.968000000000004</v>
      </c>
      <c r="X155">
        <v>2.56</v>
      </c>
      <c r="Y155">
        <f t="shared" si="17"/>
        <v>87.528000000000006</v>
      </c>
    </row>
    <row r="156" spans="1:25" x14ac:dyDescent="0.25">
      <c r="A156" t="s">
        <v>728</v>
      </c>
      <c r="B156">
        <v>41540</v>
      </c>
      <c r="C156" t="str">
        <f t="shared" si="12"/>
        <v>2013</v>
      </c>
      <c r="D156" t="s">
        <v>729</v>
      </c>
      <c r="E156" t="s">
        <v>730</v>
      </c>
      <c r="F156" t="s">
        <v>257</v>
      </c>
      <c r="G156" t="s">
        <v>258</v>
      </c>
      <c r="H156" t="s">
        <v>274</v>
      </c>
      <c r="I156" t="s">
        <v>321</v>
      </c>
      <c r="J156" t="s">
        <v>279</v>
      </c>
      <c r="K156" t="s">
        <v>433</v>
      </c>
      <c r="L156" t="s">
        <v>268</v>
      </c>
      <c r="M156" t="s">
        <v>414</v>
      </c>
      <c r="N156" t="s">
        <v>247</v>
      </c>
      <c r="O156">
        <v>41547</v>
      </c>
      <c r="P156">
        <v>9.91</v>
      </c>
      <c r="Q156">
        <v>15.99</v>
      </c>
      <c r="R156">
        <f t="shared" si="13"/>
        <v>6.08</v>
      </c>
      <c r="S156">
        <v>27</v>
      </c>
      <c r="T156">
        <f t="shared" si="14"/>
        <v>431.73</v>
      </c>
      <c r="U156">
        <v>0.01</v>
      </c>
      <c r="V156">
        <f t="shared" si="15"/>
        <v>4.3173000000000004</v>
      </c>
      <c r="W156">
        <f t="shared" si="16"/>
        <v>427.41270000000003</v>
      </c>
      <c r="X156">
        <v>11.28</v>
      </c>
      <c r="Y156">
        <f t="shared" si="17"/>
        <v>438.6927</v>
      </c>
    </row>
    <row r="157" spans="1:25" x14ac:dyDescent="0.25">
      <c r="A157" t="s">
        <v>731</v>
      </c>
      <c r="B157">
        <v>41543</v>
      </c>
      <c r="C157" t="str">
        <f t="shared" si="12"/>
        <v>2013</v>
      </c>
      <c r="D157" t="s">
        <v>535</v>
      </c>
      <c r="E157" t="s">
        <v>536</v>
      </c>
      <c r="F157" t="s">
        <v>448</v>
      </c>
      <c r="G157" t="s">
        <v>449</v>
      </c>
      <c r="H157" t="s">
        <v>241</v>
      </c>
      <c r="I157" t="s">
        <v>333</v>
      </c>
      <c r="J157" t="s">
        <v>304</v>
      </c>
      <c r="K157" t="s">
        <v>698</v>
      </c>
      <c r="L157" t="s">
        <v>245</v>
      </c>
      <c r="M157" t="s">
        <v>253</v>
      </c>
      <c r="N157" t="s">
        <v>247</v>
      </c>
      <c r="O157">
        <v>41545</v>
      </c>
      <c r="P157">
        <v>3.32</v>
      </c>
      <c r="Q157">
        <v>5.18</v>
      </c>
      <c r="R157">
        <f t="shared" si="13"/>
        <v>1.8599999999999999</v>
      </c>
      <c r="S157">
        <v>23</v>
      </c>
      <c r="T157">
        <f t="shared" si="14"/>
        <v>119.13999999999999</v>
      </c>
      <c r="U157">
        <v>0.05</v>
      </c>
      <c r="V157">
        <f t="shared" si="15"/>
        <v>5.9569999999999999</v>
      </c>
      <c r="W157">
        <f t="shared" si="16"/>
        <v>113.18299999999999</v>
      </c>
      <c r="X157">
        <v>2.04</v>
      </c>
      <c r="Y157">
        <f t="shared" si="17"/>
        <v>115.223</v>
      </c>
    </row>
    <row r="158" spans="1:25" x14ac:dyDescent="0.25">
      <c r="A158" t="s">
        <v>732</v>
      </c>
      <c r="B158">
        <v>41543</v>
      </c>
      <c r="C158" t="str">
        <f t="shared" si="12"/>
        <v>2013</v>
      </c>
      <c r="D158" t="s">
        <v>733</v>
      </c>
      <c r="E158" t="s">
        <v>367</v>
      </c>
      <c r="F158" t="s">
        <v>239</v>
      </c>
      <c r="G158" t="s">
        <v>240</v>
      </c>
      <c r="H158" t="s">
        <v>241</v>
      </c>
      <c r="I158" t="s">
        <v>251</v>
      </c>
      <c r="J158" t="s">
        <v>243</v>
      </c>
      <c r="K158" t="s">
        <v>734</v>
      </c>
      <c r="L158" t="s">
        <v>245</v>
      </c>
      <c r="M158" t="s">
        <v>246</v>
      </c>
      <c r="N158" t="s">
        <v>247</v>
      </c>
      <c r="O158">
        <v>41545</v>
      </c>
      <c r="P158">
        <v>14.95</v>
      </c>
      <c r="Q158">
        <v>34.76</v>
      </c>
      <c r="R158">
        <f t="shared" si="13"/>
        <v>19.809999999999999</v>
      </c>
      <c r="S158">
        <v>15</v>
      </c>
      <c r="T158">
        <f t="shared" si="14"/>
        <v>521.4</v>
      </c>
      <c r="U158">
        <v>0.09</v>
      </c>
      <c r="V158">
        <f t="shared" si="15"/>
        <v>46.925999999999995</v>
      </c>
      <c r="W158">
        <f t="shared" si="16"/>
        <v>474.47399999999999</v>
      </c>
      <c r="X158">
        <v>8.2200000000000006</v>
      </c>
      <c r="Y158">
        <f t="shared" si="17"/>
        <v>482.69400000000002</v>
      </c>
    </row>
    <row r="159" spans="1:25" x14ac:dyDescent="0.25">
      <c r="A159" t="s">
        <v>735</v>
      </c>
      <c r="B159">
        <v>41544</v>
      </c>
      <c r="C159" t="str">
        <f t="shared" si="12"/>
        <v>2013</v>
      </c>
      <c r="D159" t="s">
        <v>327</v>
      </c>
      <c r="E159" t="s">
        <v>328</v>
      </c>
      <c r="F159" t="s">
        <v>257</v>
      </c>
      <c r="G159" t="s">
        <v>258</v>
      </c>
      <c r="H159" t="s">
        <v>259</v>
      </c>
      <c r="I159" t="s">
        <v>299</v>
      </c>
      <c r="J159" t="s">
        <v>279</v>
      </c>
      <c r="K159" t="s">
        <v>736</v>
      </c>
      <c r="L159" t="s">
        <v>245</v>
      </c>
      <c r="M159" t="s">
        <v>246</v>
      </c>
      <c r="N159" t="s">
        <v>247</v>
      </c>
      <c r="O159">
        <v>41549</v>
      </c>
      <c r="P159">
        <v>22.18</v>
      </c>
      <c r="Q159">
        <v>54.1</v>
      </c>
      <c r="R159">
        <f t="shared" si="13"/>
        <v>31.92</v>
      </c>
      <c r="S159">
        <v>19</v>
      </c>
      <c r="T159">
        <f t="shared" si="14"/>
        <v>1027.9000000000001</v>
      </c>
      <c r="U159">
        <v>0.1</v>
      </c>
      <c r="V159">
        <f t="shared" si="15"/>
        <v>102.79000000000002</v>
      </c>
      <c r="W159">
        <f t="shared" si="16"/>
        <v>925.11000000000013</v>
      </c>
      <c r="X159">
        <v>19.989999999999998</v>
      </c>
      <c r="Y159">
        <f t="shared" si="17"/>
        <v>945.10000000000014</v>
      </c>
    </row>
    <row r="160" spans="1:25" x14ac:dyDescent="0.25">
      <c r="A160" t="s">
        <v>737</v>
      </c>
      <c r="B160">
        <v>41547</v>
      </c>
      <c r="C160" t="str">
        <f t="shared" si="12"/>
        <v>2013</v>
      </c>
      <c r="D160" t="s">
        <v>738</v>
      </c>
      <c r="E160" t="s">
        <v>739</v>
      </c>
      <c r="F160" t="s">
        <v>257</v>
      </c>
      <c r="G160" t="s">
        <v>258</v>
      </c>
      <c r="H160" t="s">
        <v>259</v>
      </c>
      <c r="I160" t="s">
        <v>299</v>
      </c>
      <c r="J160" t="s">
        <v>294</v>
      </c>
      <c r="K160" t="s">
        <v>698</v>
      </c>
      <c r="L160" t="s">
        <v>245</v>
      </c>
      <c r="M160" t="s">
        <v>253</v>
      </c>
      <c r="N160" t="s">
        <v>247</v>
      </c>
      <c r="O160">
        <v>41549</v>
      </c>
      <c r="P160">
        <v>3.32</v>
      </c>
      <c r="Q160">
        <v>5.18</v>
      </c>
      <c r="R160">
        <f t="shared" si="13"/>
        <v>1.8599999999999999</v>
      </c>
      <c r="S160">
        <v>10</v>
      </c>
      <c r="T160">
        <f t="shared" si="14"/>
        <v>51.8</v>
      </c>
      <c r="U160">
        <v>0.01</v>
      </c>
      <c r="V160">
        <f t="shared" si="15"/>
        <v>0.51800000000000002</v>
      </c>
      <c r="W160">
        <f t="shared" si="16"/>
        <v>51.281999999999996</v>
      </c>
      <c r="X160">
        <v>2.04</v>
      </c>
      <c r="Y160">
        <f t="shared" si="17"/>
        <v>53.321999999999996</v>
      </c>
    </row>
    <row r="161" spans="1:25" x14ac:dyDescent="0.25">
      <c r="A161" t="s">
        <v>740</v>
      </c>
      <c r="B161">
        <v>41548</v>
      </c>
      <c r="C161" t="str">
        <f t="shared" si="12"/>
        <v>2013</v>
      </c>
      <c r="D161" t="s">
        <v>741</v>
      </c>
      <c r="E161" t="s">
        <v>367</v>
      </c>
      <c r="F161" t="s">
        <v>239</v>
      </c>
      <c r="G161" t="s">
        <v>240</v>
      </c>
      <c r="H161" t="s">
        <v>259</v>
      </c>
      <c r="I161" t="s">
        <v>251</v>
      </c>
      <c r="J161" t="s">
        <v>304</v>
      </c>
      <c r="K161" t="s">
        <v>488</v>
      </c>
      <c r="L161" t="s">
        <v>268</v>
      </c>
      <c r="M161" t="s">
        <v>323</v>
      </c>
      <c r="N161" t="s">
        <v>263</v>
      </c>
      <c r="O161">
        <v>41549</v>
      </c>
      <c r="P161">
        <v>20.18</v>
      </c>
      <c r="Q161">
        <v>35.409999999999997</v>
      </c>
      <c r="R161">
        <f t="shared" si="13"/>
        <v>15.229999999999997</v>
      </c>
      <c r="S161">
        <v>16</v>
      </c>
      <c r="T161">
        <f t="shared" si="14"/>
        <v>566.55999999999995</v>
      </c>
      <c r="U161">
        <v>0</v>
      </c>
      <c r="V161">
        <f t="shared" si="15"/>
        <v>0</v>
      </c>
      <c r="W161">
        <f t="shared" si="16"/>
        <v>566.55999999999995</v>
      </c>
      <c r="X161">
        <v>1.99</v>
      </c>
      <c r="Y161">
        <f t="shared" si="17"/>
        <v>568.54999999999995</v>
      </c>
    </row>
    <row r="162" spans="1:25" x14ac:dyDescent="0.25">
      <c r="A162" t="s">
        <v>742</v>
      </c>
      <c r="B162">
        <v>41550</v>
      </c>
      <c r="C162" t="str">
        <f t="shared" si="12"/>
        <v>2013</v>
      </c>
      <c r="D162" t="s">
        <v>605</v>
      </c>
      <c r="E162" t="s">
        <v>606</v>
      </c>
      <c r="F162" t="s">
        <v>448</v>
      </c>
      <c r="G162" t="s">
        <v>449</v>
      </c>
      <c r="H162" t="s">
        <v>274</v>
      </c>
      <c r="I162" t="s">
        <v>284</v>
      </c>
      <c r="J162" t="s">
        <v>243</v>
      </c>
      <c r="K162" t="s">
        <v>425</v>
      </c>
      <c r="L162" t="s">
        <v>245</v>
      </c>
      <c r="M162" t="s">
        <v>253</v>
      </c>
      <c r="N162" t="s">
        <v>263</v>
      </c>
      <c r="O162">
        <v>41551</v>
      </c>
      <c r="P162">
        <v>21.56</v>
      </c>
      <c r="Q162">
        <v>36.549999999999997</v>
      </c>
      <c r="R162">
        <f t="shared" si="13"/>
        <v>14.989999999999998</v>
      </c>
      <c r="S162">
        <v>46</v>
      </c>
      <c r="T162">
        <f t="shared" si="14"/>
        <v>1681.3</v>
      </c>
      <c r="U162">
        <v>0.05</v>
      </c>
      <c r="V162">
        <f t="shared" si="15"/>
        <v>84.064999999999998</v>
      </c>
      <c r="W162">
        <f t="shared" si="16"/>
        <v>1597.2349999999999</v>
      </c>
      <c r="X162">
        <v>13.89</v>
      </c>
      <c r="Y162">
        <f t="shared" si="17"/>
        <v>1611.125</v>
      </c>
    </row>
    <row r="163" spans="1:25" x14ac:dyDescent="0.25">
      <c r="A163" t="s">
        <v>743</v>
      </c>
      <c r="B163">
        <v>41551</v>
      </c>
      <c r="C163" t="str">
        <f t="shared" si="12"/>
        <v>2013</v>
      </c>
      <c r="D163" t="s">
        <v>744</v>
      </c>
      <c r="E163" t="s">
        <v>745</v>
      </c>
      <c r="F163" t="s">
        <v>257</v>
      </c>
      <c r="G163" t="s">
        <v>258</v>
      </c>
      <c r="H163" t="s">
        <v>259</v>
      </c>
      <c r="I163" t="s">
        <v>372</v>
      </c>
      <c r="J163" t="s">
        <v>243</v>
      </c>
      <c r="K163" t="s">
        <v>508</v>
      </c>
      <c r="L163" t="s">
        <v>245</v>
      </c>
      <c r="M163" t="s">
        <v>246</v>
      </c>
      <c r="N163" t="s">
        <v>247</v>
      </c>
      <c r="O163">
        <v>41552</v>
      </c>
      <c r="P163">
        <v>178.83</v>
      </c>
      <c r="Q163">
        <v>415.88</v>
      </c>
      <c r="R163">
        <f t="shared" si="13"/>
        <v>237.04999999999998</v>
      </c>
      <c r="S163">
        <v>2</v>
      </c>
      <c r="T163">
        <f t="shared" si="14"/>
        <v>831.76</v>
      </c>
      <c r="U163">
        <v>0.08</v>
      </c>
      <c r="V163">
        <f t="shared" si="15"/>
        <v>66.540800000000004</v>
      </c>
      <c r="W163">
        <f t="shared" si="16"/>
        <v>765.2192</v>
      </c>
      <c r="X163">
        <v>11.37</v>
      </c>
      <c r="Y163">
        <f t="shared" si="17"/>
        <v>776.58920000000001</v>
      </c>
    </row>
    <row r="164" spans="1:25" x14ac:dyDescent="0.25">
      <c r="A164" t="s">
        <v>746</v>
      </c>
      <c r="B164">
        <v>41552</v>
      </c>
      <c r="C164" t="str">
        <f t="shared" si="12"/>
        <v>2013</v>
      </c>
      <c r="D164" t="s">
        <v>747</v>
      </c>
      <c r="E164" t="s">
        <v>650</v>
      </c>
      <c r="F164" t="s">
        <v>257</v>
      </c>
      <c r="G164" t="s">
        <v>258</v>
      </c>
      <c r="H164" t="s">
        <v>274</v>
      </c>
      <c r="I164" t="s">
        <v>299</v>
      </c>
      <c r="J164" t="s">
        <v>279</v>
      </c>
      <c r="K164" t="s">
        <v>748</v>
      </c>
      <c r="L164" t="s">
        <v>268</v>
      </c>
      <c r="M164" t="s">
        <v>246</v>
      </c>
      <c r="N164" t="s">
        <v>247</v>
      </c>
      <c r="O164">
        <v>41559</v>
      </c>
      <c r="P164">
        <v>41.28</v>
      </c>
      <c r="Q164">
        <v>95.99</v>
      </c>
      <c r="R164">
        <f t="shared" si="13"/>
        <v>54.709999999999994</v>
      </c>
      <c r="S164">
        <v>17</v>
      </c>
      <c r="T164">
        <f t="shared" si="14"/>
        <v>1631.83</v>
      </c>
      <c r="U164">
        <v>0.09</v>
      </c>
      <c r="V164">
        <f t="shared" si="15"/>
        <v>146.8647</v>
      </c>
      <c r="W164">
        <f t="shared" si="16"/>
        <v>1484.9652999999998</v>
      </c>
      <c r="X164">
        <v>8.99</v>
      </c>
      <c r="Y164">
        <f t="shared" si="17"/>
        <v>1493.9552999999999</v>
      </c>
    </row>
    <row r="165" spans="1:25" x14ac:dyDescent="0.25">
      <c r="A165" t="s">
        <v>749</v>
      </c>
      <c r="B165">
        <v>41552</v>
      </c>
      <c r="C165" t="str">
        <f t="shared" si="12"/>
        <v>2013</v>
      </c>
      <c r="D165" t="s">
        <v>495</v>
      </c>
      <c r="E165" t="s">
        <v>402</v>
      </c>
      <c r="F165" t="s">
        <v>257</v>
      </c>
      <c r="G165" t="s">
        <v>258</v>
      </c>
      <c r="H165" t="s">
        <v>259</v>
      </c>
      <c r="I165" t="s">
        <v>333</v>
      </c>
      <c r="J165" t="s">
        <v>304</v>
      </c>
      <c r="K165" t="s">
        <v>543</v>
      </c>
      <c r="L165" t="s">
        <v>245</v>
      </c>
      <c r="M165" t="s">
        <v>246</v>
      </c>
      <c r="N165" t="s">
        <v>247</v>
      </c>
      <c r="O165">
        <v>41554</v>
      </c>
      <c r="P165">
        <v>1.33</v>
      </c>
      <c r="Q165">
        <v>2.08</v>
      </c>
      <c r="R165">
        <f t="shared" si="13"/>
        <v>0.75</v>
      </c>
      <c r="S165">
        <v>16</v>
      </c>
      <c r="T165">
        <f t="shared" si="14"/>
        <v>33.28</v>
      </c>
      <c r="U165">
        <v>0.04</v>
      </c>
      <c r="V165">
        <f t="shared" si="15"/>
        <v>1.3312000000000002</v>
      </c>
      <c r="W165">
        <f t="shared" si="16"/>
        <v>31.948800000000002</v>
      </c>
      <c r="X165">
        <v>1.49</v>
      </c>
      <c r="Y165">
        <f t="shared" si="17"/>
        <v>33.438800000000001</v>
      </c>
    </row>
    <row r="166" spans="1:25" x14ac:dyDescent="0.25">
      <c r="A166" t="s">
        <v>750</v>
      </c>
      <c r="B166">
        <v>41553</v>
      </c>
      <c r="C166" t="str">
        <f t="shared" si="12"/>
        <v>2013</v>
      </c>
      <c r="D166" t="s">
        <v>437</v>
      </c>
      <c r="E166" t="s">
        <v>438</v>
      </c>
      <c r="F166" t="s">
        <v>257</v>
      </c>
      <c r="G166" t="s">
        <v>258</v>
      </c>
      <c r="H166" t="s">
        <v>259</v>
      </c>
      <c r="I166" t="s">
        <v>309</v>
      </c>
      <c r="J166" t="s">
        <v>304</v>
      </c>
      <c r="K166" t="s">
        <v>413</v>
      </c>
      <c r="L166" t="s">
        <v>268</v>
      </c>
      <c r="M166" t="s">
        <v>414</v>
      </c>
      <c r="N166" t="s">
        <v>247</v>
      </c>
      <c r="O166">
        <v>41554</v>
      </c>
      <c r="P166">
        <v>8.82</v>
      </c>
      <c r="Q166">
        <v>20.99</v>
      </c>
      <c r="R166">
        <f t="shared" si="13"/>
        <v>12.169999999999998</v>
      </c>
      <c r="S166">
        <v>25</v>
      </c>
      <c r="T166">
        <f t="shared" si="14"/>
        <v>524.75</v>
      </c>
      <c r="U166">
        <v>0.05</v>
      </c>
      <c r="V166">
        <f t="shared" si="15"/>
        <v>26.237500000000001</v>
      </c>
      <c r="W166">
        <f t="shared" si="16"/>
        <v>498.51249999999999</v>
      </c>
      <c r="X166">
        <v>4.8099999999999996</v>
      </c>
      <c r="Y166">
        <f t="shared" si="17"/>
        <v>503.32249999999999</v>
      </c>
    </row>
    <row r="167" spans="1:25" x14ac:dyDescent="0.25">
      <c r="A167" t="s">
        <v>751</v>
      </c>
      <c r="B167">
        <v>41556</v>
      </c>
      <c r="C167" t="str">
        <f t="shared" si="12"/>
        <v>2013</v>
      </c>
      <c r="D167" t="s">
        <v>752</v>
      </c>
      <c r="E167" t="s">
        <v>503</v>
      </c>
      <c r="F167" t="s">
        <v>257</v>
      </c>
      <c r="G167" t="s">
        <v>258</v>
      </c>
      <c r="H167" t="s">
        <v>259</v>
      </c>
      <c r="I167" t="s">
        <v>504</v>
      </c>
      <c r="J167" t="s">
        <v>304</v>
      </c>
      <c r="K167" t="s">
        <v>630</v>
      </c>
      <c r="L167" t="s">
        <v>245</v>
      </c>
      <c r="M167" t="s">
        <v>253</v>
      </c>
      <c r="N167" t="s">
        <v>247</v>
      </c>
      <c r="O167">
        <v>41558</v>
      </c>
      <c r="P167">
        <v>1.53</v>
      </c>
      <c r="Q167">
        <v>2.78</v>
      </c>
      <c r="R167">
        <f t="shared" si="13"/>
        <v>1.2499999999999998</v>
      </c>
      <c r="S167">
        <v>6</v>
      </c>
      <c r="T167">
        <f t="shared" si="14"/>
        <v>16.68</v>
      </c>
      <c r="U167">
        <v>0.01</v>
      </c>
      <c r="V167">
        <f t="shared" si="15"/>
        <v>0.1668</v>
      </c>
      <c r="W167">
        <f t="shared" si="16"/>
        <v>16.513200000000001</v>
      </c>
      <c r="X167">
        <v>1.34</v>
      </c>
      <c r="Y167">
        <f t="shared" si="17"/>
        <v>17.853200000000001</v>
      </c>
    </row>
    <row r="168" spans="1:25" x14ac:dyDescent="0.25">
      <c r="A168" t="s">
        <v>753</v>
      </c>
      <c r="B168">
        <v>41558</v>
      </c>
      <c r="C168" t="str">
        <f t="shared" si="12"/>
        <v>2013</v>
      </c>
      <c r="D168" t="s">
        <v>754</v>
      </c>
      <c r="E168" t="s">
        <v>316</v>
      </c>
      <c r="F168" t="s">
        <v>239</v>
      </c>
      <c r="G168" t="s">
        <v>240</v>
      </c>
      <c r="H168" t="s">
        <v>274</v>
      </c>
      <c r="I168" t="s">
        <v>242</v>
      </c>
      <c r="J168" t="s">
        <v>294</v>
      </c>
      <c r="K168" t="s">
        <v>688</v>
      </c>
      <c r="L168" t="s">
        <v>245</v>
      </c>
      <c r="M168" t="s">
        <v>246</v>
      </c>
      <c r="N168" t="s">
        <v>247</v>
      </c>
      <c r="O168">
        <v>41560</v>
      </c>
      <c r="P168">
        <v>2.4500000000000002</v>
      </c>
      <c r="Q168">
        <v>3.89</v>
      </c>
      <c r="R168">
        <f t="shared" si="13"/>
        <v>1.44</v>
      </c>
      <c r="S168">
        <v>2</v>
      </c>
      <c r="T168">
        <f t="shared" si="14"/>
        <v>7.78</v>
      </c>
      <c r="U168">
        <v>7.0000000000000007E-2</v>
      </c>
      <c r="V168">
        <f t="shared" si="15"/>
        <v>0.54460000000000008</v>
      </c>
      <c r="W168">
        <f t="shared" si="16"/>
        <v>7.2354000000000003</v>
      </c>
      <c r="X168">
        <v>7.01</v>
      </c>
      <c r="Y168">
        <f t="shared" si="17"/>
        <v>14.2454</v>
      </c>
    </row>
    <row r="169" spans="1:25" x14ac:dyDescent="0.25">
      <c r="A169" t="s">
        <v>755</v>
      </c>
      <c r="B169">
        <v>41558</v>
      </c>
      <c r="C169" t="str">
        <f t="shared" si="12"/>
        <v>2013</v>
      </c>
      <c r="D169" t="s">
        <v>754</v>
      </c>
      <c r="E169" t="s">
        <v>316</v>
      </c>
      <c r="F169" t="s">
        <v>239</v>
      </c>
      <c r="G169" t="s">
        <v>240</v>
      </c>
      <c r="H169" t="s">
        <v>274</v>
      </c>
      <c r="I169" t="s">
        <v>242</v>
      </c>
      <c r="J169" t="s">
        <v>294</v>
      </c>
      <c r="K169" t="s">
        <v>659</v>
      </c>
      <c r="L169" t="s">
        <v>245</v>
      </c>
      <c r="M169" t="s">
        <v>246</v>
      </c>
      <c r="N169" t="s">
        <v>247</v>
      </c>
      <c r="O169">
        <v>41559</v>
      </c>
      <c r="P169">
        <v>67.73</v>
      </c>
      <c r="Q169">
        <v>165.2</v>
      </c>
      <c r="R169">
        <f t="shared" si="13"/>
        <v>97.469999999999985</v>
      </c>
      <c r="S169">
        <v>6</v>
      </c>
      <c r="T169">
        <f t="shared" si="14"/>
        <v>991.19999999999993</v>
      </c>
      <c r="U169">
        <v>0.09</v>
      </c>
      <c r="V169">
        <f t="shared" si="15"/>
        <v>89.207999999999984</v>
      </c>
      <c r="W169">
        <f t="shared" si="16"/>
        <v>901.99199999999996</v>
      </c>
      <c r="X169">
        <v>19.989999999999998</v>
      </c>
      <c r="Y169">
        <f t="shared" si="17"/>
        <v>921.98199999999997</v>
      </c>
    </row>
    <row r="170" spans="1:25" x14ac:dyDescent="0.25">
      <c r="A170" t="s">
        <v>756</v>
      </c>
      <c r="B170">
        <v>41558</v>
      </c>
      <c r="C170" t="str">
        <f t="shared" si="12"/>
        <v>2013</v>
      </c>
      <c r="D170" t="s">
        <v>757</v>
      </c>
      <c r="E170" t="s">
        <v>694</v>
      </c>
      <c r="F170" t="s">
        <v>257</v>
      </c>
      <c r="G170" t="s">
        <v>258</v>
      </c>
      <c r="H170" t="s">
        <v>293</v>
      </c>
      <c r="I170" t="s">
        <v>342</v>
      </c>
      <c r="J170" t="s">
        <v>261</v>
      </c>
      <c r="K170" t="s">
        <v>289</v>
      </c>
      <c r="L170" t="s">
        <v>245</v>
      </c>
      <c r="M170" t="s">
        <v>253</v>
      </c>
      <c r="N170" t="s">
        <v>247</v>
      </c>
      <c r="O170">
        <v>41559</v>
      </c>
      <c r="P170">
        <v>1.0900000000000001</v>
      </c>
      <c r="Q170">
        <v>1.68</v>
      </c>
      <c r="R170">
        <f t="shared" si="13"/>
        <v>0.58999999999999986</v>
      </c>
      <c r="S170">
        <v>38</v>
      </c>
      <c r="T170">
        <f t="shared" si="14"/>
        <v>63.839999999999996</v>
      </c>
      <c r="U170">
        <v>7.0000000000000007E-2</v>
      </c>
      <c r="V170">
        <f t="shared" si="15"/>
        <v>4.4687999999999999</v>
      </c>
      <c r="W170">
        <f t="shared" si="16"/>
        <v>59.371199999999995</v>
      </c>
      <c r="X170">
        <v>1</v>
      </c>
      <c r="Y170">
        <f t="shared" si="17"/>
        <v>60.371199999999995</v>
      </c>
    </row>
    <row r="171" spans="1:25" x14ac:dyDescent="0.25">
      <c r="A171" t="s">
        <v>758</v>
      </c>
      <c r="B171">
        <v>41560</v>
      </c>
      <c r="C171" t="str">
        <f t="shared" si="12"/>
        <v>2013</v>
      </c>
      <c r="D171" t="s">
        <v>759</v>
      </c>
      <c r="E171" t="s">
        <v>760</v>
      </c>
      <c r="F171" t="s">
        <v>448</v>
      </c>
      <c r="G171" t="s">
        <v>449</v>
      </c>
      <c r="H171" t="s">
        <v>259</v>
      </c>
      <c r="I171" t="s">
        <v>333</v>
      </c>
      <c r="J171" t="s">
        <v>261</v>
      </c>
      <c r="K171" t="s">
        <v>761</v>
      </c>
      <c r="L171" t="s">
        <v>268</v>
      </c>
      <c r="M171" t="s">
        <v>246</v>
      </c>
      <c r="N171" t="s">
        <v>247</v>
      </c>
      <c r="O171">
        <v>41561</v>
      </c>
      <c r="P171">
        <v>62.4</v>
      </c>
      <c r="Q171">
        <v>155.99</v>
      </c>
      <c r="R171">
        <f t="shared" si="13"/>
        <v>93.59</v>
      </c>
      <c r="S171">
        <v>48</v>
      </c>
      <c r="T171">
        <f t="shared" si="14"/>
        <v>7487.52</v>
      </c>
      <c r="U171">
        <v>0.04</v>
      </c>
      <c r="V171">
        <f t="shared" si="15"/>
        <v>299.50080000000003</v>
      </c>
      <c r="W171">
        <f t="shared" si="16"/>
        <v>7188.0192000000006</v>
      </c>
      <c r="X171">
        <v>8.08</v>
      </c>
      <c r="Y171">
        <f t="shared" si="17"/>
        <v>7196.0992000000006</v>
      </c>
    </row>
    <row r="172" spans="1:25" x14ac:dyDescent="0.25">
      <c r="A172" t="s">
        <v>762</v>
      </c>
      <c r="B172">
        <v>41560</v>
      </c>
      <c r="C172" t="str">
        <f t="shared" si="12"/>
        <v>2013</v>
      </c>
      <c r="D172" t="s">
        <v>759</v>
      </c>
      <c r="E172" t="s">
        <v>760</v>
      </c>
      <c r="F172" t="s">
        <v>448</v>
      </c>
      <c r="G172" t="s">
        <v>449</v>
      </c>
      <c r="H172" t="s">
        <v>259</v>
      </c>
      <c r="I172" t="s">
        <v>333</v>
      </c>
      <c r="J172" t="s">
        <v>261</v>
      </c>
      <c r="K172" t="s">
        <v>533</v>
      </c>
      <c r="L172" t="s">
        <v>245</v>
      </c>
      <c r="M172" t="s">
        <v>246</v>
      </c>
      <c r="N172" t="s">
        <v>247</v>
      </c>
      <c r="O172">
        <v>41560</v>
      </c>
      <c r="P172">
        <v>3.4</v>
      </c>
      <c r="Q172">
        <v>5.4</v>
      </c>
      <c r="R172">
        <f t="shared" si="13"/>
        <v>2.0000000000000004</v>
      </c>
      <c r="S172">
        <v>8</v>
      </c>
      <c r="T172">
        <f t="shared" si="14"/>
        <v>43.2</v>
      </c>
      <c r="U172">
        <v>0.08</v>
      </c>
      <c r="V172">
        <f t="shared" si="15"/>
        <v>3.4560000000000004</v>
      </c>
      <c r="W172">
        <f t="shared" si="16"/>
        <v>39.744</v>
      </c>
      <c r="X172">
        <v>7.78</v>
      </c>
      <c r="Y172">
        <f t="shared" si="17"/>
        <v>47.524000000000001</v>
      </c>
    </row>
    <row r="173" spans="1:25" x14ac:dyDescent="0.25">
      <c r="A173" t="s">
        <v>763</v>
      </c>
      <c r="B173">
        <v>41567</v>
      </c>
      <c r="C173" t="str">
        <f t="shared" si="12"/>
        <v>2013</v>
      </c>
      <c r="D173" t="s">
        <v>764</v>
      </c>
      <c r="E173" t="s">
        <v>612</v>
      </c>
      <c r="F173" t="s">
        <v>239</v>
      </c>
      <c r="G173" t="s">
        <v>240</v>
      </c>
      <c r="H173" t="s">
        <v>259</v>
      </c>
      <c r="I173" t="s">
        <v>242</v>
      </c>
      <c r="J173" t="s">
        <v>261</v>
      </c>
      <c r="K173" t="s">
        <v>280</v>
      </c>
      <c r="L173" t="s">
        <v>245</v>
      </c>
      <c r="M173" t="s">
        <v>253</v>
      </c>
      <c r="N173" t="s">
        <v>247</v>
      </c>
      <c r="O173">
        <v>41569</v>
      </c>
      <c r="P173">
        <v>1.0900000000000001</v>
      </c>
      <c r="Q173">
        <v>2.6</v>
      </c>
      <c r="R173">
        <f t="shared" si="13"/>
        <v>1.51</v>
      </c>
      <c r="S173">
        <v>36</v>
      </c>
      <c r="T173">
        <f t="shared" si="14"/>
        <v>93.600000000000009</v>
      </c>
      <c r="U173">
        <v>0</v>
      </c>
      <c r="V173">
        <f t="shared" si="15"/>
        <v>0</v>
      </c>
      <c r="W173">
        <f t="shared" si="16"/>
        <v>93.600000000000009</v>
      </c>
      <c r="X173">
        <v>2.4</v>
      </c>
      <c r="Y173">
        <f t="shared" si="17"/>
        <v>96.000000000000014</v>
      </c>
    </row>
    <row r="174" spans="1:25" x14ac:dyDescent="0.25">
      <c r="A174" t="s">
        <v>765</v>
      </c>
      <c r="B174">
        <v>41567</v>
      </c>
      <c r="C174" t="str">
        <f t="shared" si="12"/>
        <v>2013</v>
      </c>
      <c r="D174" t="s">
        <v>766</v>
      </c>
      <c r="E174" t="s">
        <v>767</v>
      </c>
      <c r="F174" t="s">
        <v>257</v>
      </c>
      <c r="G174" t="s">
        <v>258</v>
      </c>
      <c r="H174" t="s">
        <v>259</v>
      </c>
      <c r="I174" t="s">
        <v>260</v>
      </c>
      <c r="J174" t="s">
        <v>261</v>
      </c>
      <c r="K174" t="s">
        <v>368</v>
      </c>
      <c r="L174" t="s">
        <v>245</v>
      </c>
      <c r="M174" t="s">
        <v>246</v>
      </c>
      <c r="N174" t="s">
        <v>263</v>
      </c>
      <c r="O174">
        <v>41567</v>
      </c>
      <c r="P174">
        <v>1.59</v>
      </c>
      <c r="Q174">
        <v>2.61</v>
      </c>
      <c r="R174">
        <f t="shared" si="13"/>
        <v>1.0199999999999998</v>
      </c>
      <c r="S174">
        <v>1</v>
      </c>
      <c r="T174">
        <f t="shared" si="14"/>
        <v>2.61</v>
      </c>
      <c r="U174">
        <v>0.06</v>
      </c>
      <c r="V174">
        <f t="shared" si="15"/>
        <v>0.15659999999999999</v>
      </c>
      <c r="W174">
        <f t="shared" si="16"/>
        <v>2.4533999999999998</v>
      </c>
      <c r="X174">
        <v>0.5</v>
      </c>
      <c r="Y174">
        <f t="shared" si="17"/>
        <v>2.9533999999999998</v>
      </c>
    </row>
    <row r="175" spans="1:25" x14ac:dyDescent="0.25">
      <c r="A175" t="s">
        <v>768</v>
      </c>
      <c r="B175">
        <v>41567</v>
      </c>
      <c r="C175" t="str">
        <f t="shared" si="12"/>
        <v>2013</v>
      </c>
      <c r="D175" t="s">
        <v>769</v>
      </c>
      <c r="E175" t="s">
        <v>288</v>
      </c>
      <c r="F175" t="s">
        <v>257</v>
      </c>
      <c r="G175" t="s">
        <v>258</v>
      </c>
      <c r="H175" t="s">
        <v>259</v>
      </c>
      <c r="I175" t="s">
        <v>284</v>
      </c>
      <c r="J175" t="s">
        <v>304</v>
      </c>
      <c r="K175" t="s">
        <v>603</v>
      </c>
      <c r="L175" t="s">
        <v>245</v>
      </c>
      <c r="M175" t="s">
        <v>246</v>
      </c>
      <c r="N175" t="s">
        <v>247</v>
      </c>
      <c r="O175">
        <v>41568</v>
      </c>
      <c r="P175">
        <v>3.65</v>
      </c>
      <c r="Q175">
        <v>5.98</v>
      </c>
      <c r="R175">
        <f t="shared" si="13"/>
        <v>2.3300000000000005</v>
      </c>
      <c r="S175">
        <v>21</v>
      </c>
      <c r="T175">
        <f t="shared" si="14"/>
        <v>125.58000000000001</v>
      </c>
      <c r="U175">
        <v>0.02</v>
      </c>
      <c r="V175">
        <f t="shared" si="15"/>
        <v>2.5116000000000005</v>
      </c>
      <c r="W175">
        <f t="shared" si="16"/>
        <v>123.06840000000001</v>
      </c>
      <c r="X175">
        <v>1.49</v>
      </c>
      <c r="Y175">
        <f t="shared" si="17"/>
        <v>124.55840000000001</v>
      </c>
    </row>
    <row r="176" spans="1:25" x14ac:dyDescent="0.25">
      <c r="A176" t="s">
        <v>770</v>
      </c>
      <c r="B176">
        <v>41568</v>
      </c>
      <c r="C176" t="str">
        <f t="shared" si="12"/>
        <v>2013</v>
      </c>
      <c r="D176" t="s">
        <v>771</v>
      </c>
      <c r="E176" t="s">
        <v>288</v>
      </c>
      <c r="F176" t="s">
        <v>257</v>
      </c>
      <c r="G176" t="s">
        <v>258</v>
      </c>
      <c r="H176" t="s">
        <v>274</v>
      </c>
      <c r="I176" t="s">
        <v>284</v>
      </c>
      <c r="J176" t="s">
        <v>294</v>
      </c>
      <c r="K176" t="s">
        <v>603</v>
      </c>
      <c r="L176" t="s">
        <v>245</v>
      </c>
      <c r="M176" t="s">
        <v>246</v>
      </c>
      <c r="N176" t="s">
        <v>247</v>
      </c>
      <c r="O176">
        <v>41570</v>
      </c>
      <c r="P176">
        <v>3.65</v>
      </c>
      <c r="Q176">
        <v>5.98</v>
      </c>
      <c r="R176">
        <f t="shared" si="13"/>
        <v>2.3300000000000005</v>
      </c>
      <c r="S176">
        <v>40</v>
      </c>
      <c r="T176">
        <f t="shared" si="14"/>
        <v>239.20000000000002</v>
      </c>
      <c r="U176">
        <v>0</v>
      </c>
      <c r="V176">
        <f t="shared" si="15"/>
        <v>0</v>
      </c>
      <c r="W176">
        <f t="shared" si="16"/>
        <v>239.20000000000002</v>
      </c>
      <c r="X176">
        <v>1.49</v>
      </c>
      <c r="Y176">
        <f t="shared" si="17"/>
        <v>240.69000000000003</v>
      </c>
    </row>
    <row r="177" spans="1:25" x14ac:dyDescent="0.25">
      <c r="A177" t="s">
        <v>772</v>
      </c>
      <c r="B177">
        <v>41568</v>
      </c>
      <c r="C177" t="str">
        <f t="shared" si="12"/>
        <v>2013</v>
      </c>
      <c r="D177" t="s">
        <v>757</v>
      </c>
      <c r="E177" t="s">
        <v>250</v>
      </c>
      <c r="F177" t="s">
        <v>257</v>
      </c>
      <c r="G177" t="s">
        <v>258</v>
      </c>
      <c r="H177" t="s">
        <v>293</v>
      </c>
      <c r="I177" t="s">
        <v>342</v>
      </c>
      <c r="J177" t="s">
        <v>294</v>
      </c>
      <c r="K177" t="s">
        <v>453</v>
      </c>
      <c r="L177" t="s">
        <v>245</v>
      </c>
      <c r="M177" t="s">
        <v>246</v>
      </c>
      <c r="N177" t="s">
        <v>247</v>
      </c>
      <c r="O177">
        <v>41570</v>
      </c>
      <c r="P177">
        <v>1.18</v>
      </c>
      <c r="Q177">
        <v>1.88</v>
      </c>
      <c r="R177">
        <f t="shared" si="13"/>
        <v>0.7</v>
      </c>
      <c r="S177">
        <v>33</v>
      </c>
      <c r="T177">
        <f t="shared" si="14"/>
        <v>62.04</v>
      </c>
      <c r="U177">
        <v>7.0000000000000007E-2</v>
      </c>
      <c r="V177">
        <f t="shared" si="15"/>
        <v>4.3428000000000004</v>
      </c>
      <c r="W177">
        <f t="shared" si="16"/>
        <v>57.697199999999995</v>
      </c>
      <c r="X177">
        <v>1.49</v>
      </c>
      <c r="Y177">
        <f t="shared" si="17"/>
        <v>59.187199999999997</v>
      </c>
    </row>
    <row r="178" spans="1:25" x14ac:dyDescent="0.25">
      <c r="A178" t="s">
        <v>773</v>
      </c>
      <c r="B178">
        <v>41571</v>
      </c>
      <c r="C178" t="str">
        <f t="shared" si="12"/>
        <v>2013</v>
      </c>
      <c r="D178" t="s">
        <v>774</v>
      </c>
      <c r="E178" t="s">
        <v>775</v>
      </c>
      <c r="F178" t="s">
        <v>257</v>
      </c>
      <c r="G178" t="s">
        <v>258</v>
      </c>
      <c r="H178" t="s">
        <v>293</v>
      </c>
      <c r="I178" t="s">
        <v>381</v>
      </c>
      <c r="J178" t="s">
        <v>243</v>
      </c>
      <c r="K178" t="s">
        <v>776</v>
      </c>
      <c r="L178" t="s">
        <v>245</v>
      </c>
      <c r="M178" t="s">
        <v>246</v>
      </c>
      <c r="N178" t="s">
        <v>247</v>
      </c>
      <c r="O178">
        <v>41574</v>
      </c>
      <c r="P178">
        <v>4.53</v>
      </c>
      <c r="Q178">
        <v>7.3</v>
      </c>
      <c r="R178">
        <f t="shared" si="13"/>
        <v>2.7699999999999996</v>
      </c>
      <c r="S178">
        <v>31</v>
      </c>
      <c r="T178">
        <f t="shared" si="14"/>
        <v>226.29999999999998</v>
      </c>
      <c r="U178">
        <v>0.03</v>
      </c>
      <c r="V178">
        <f t="shared" si="15"/>
        <v>6.7889999999999988</v>
      </c>
      <c r="W178">
        <f t="shared" si="16"/>
        <v>219.511</v>
      </c>
      <c r="X178">
        <v>7.72</v>
      </c>
      <c r="Y178">
        <f t="shared" si="17"/>
        <v>227.23099999999999</v>
      </c>
    </row>
    <row r="179" spans="1:25" x14ac:dyDescent="0.25">
      <c r="A179" t="s">
        <v>777</v>
      </c>
      <c r="B179">
        <v>41572</v>
      </c>
      <c r="C179" t="str">
        <f t="shared" si="12"/>
        <v>2013</v>
      </c>
      <c r="D179" t="s">
        <v>778</v>
      </c>
      <c r="E179" t="s">
        <v>767</v>
      </c>
      <c r="F179" t="s">
        <v>257</v>
      </c>
      <c r="G179" t="s">
        <v>258</v>
      </c>
      <c r="H179" t="s">
        <v>293</v>
      </c>
      <c r="I179" t="s">
        <v>260</v>
      </c>
      <c r="J179" t="s">
        <v>243</v>
      </c>
      <c r="K179" t="s">
        <v>779</v>
      </c>
      <c r="L179" t="s">
        <v>245</v>
      </c>
      <c r="M179" t="s">
        <v>246</v>
      </c>
      <c r="N179" t="s">
        <v>247</v>
      </c>
      <c r="O179">
        <v>41574</v>
      </c>
      <c r="P179">
        <v>11.04</v>
      </c>
      <c r="Q179">
        <v>16.98</v>
      </c>
      <c r="R179">
        <f t="shared" si="13"/>
        <v>5.9400000000000013</v>
      </c>
      <c r="S179">
        <v>27</v>
      </c>
      <c r="T179">
        <f t="shared" si="14"/>
        <v>458.46000000000004</v>
      </c>
      <c r="U179">
        <v>0.1</v>
      </c>
      <c r="V179">
        <f t="shared" si="15"/>
        <v>45.846000000000004</v>
      </c>
      <c r="W179">
        <f t="shared" si="16"/>
        <v>412.61400000000003</v>
      </c>
      <c r="X179">
        <v>12.39</v>
      </c>
      <c r="Y179">
        <f t="shared" si="17"/>
        <v>425.00400000000002</v>
      </c>
    </row>
    <row r="180" spans="1:25" x14ac:dyDescent="0.25">
      <c r="A180" t="s">
        <v>780</v>
      </c>
      <c r="B180">
        <v>41573</v>
      </c>
      <c r="C180" t="str">
        <f t="shared" si="12"/>
        <v>2013</v>
      </c>
      <c r="D180" t="s">
        <v>781</v>
      </c>
      <c r="E180" t="s">
        <v>782</v>
      </c>
      <c r="F180" t="s">
        <v>257</v>
      </c>
      <c r="G180" t="s">
        <v>258</v>
      </c>
      <c r="H180" t="s">
        <v>274</v>
      </c>
      <c r="I180" t="s">
        <v>381</v>
      </c>
      <c r="J180" t="s">
        <v>294</v>
      </c>
      <c r="K180" t="s">
        <v>533</v>
      </c>
      <c r="L180" t="s">
        <v>245</v>
      </c>
      <c r="M180" t="s">
        <v>246</v>
      </c>
      <c r="N180" t="s">
        <v>247</v>
      </c>
      <c r="O180">
        <v>41575</v>
      </c>
      <c r="P180">
        <v>3.4</v>
      </c>
      <c r="Q180">
        <v>5.4</v>
      </c>
      <c r="R180">
        <f t="shared" si="13"/>
        <v>2.0000000000000004</v>
      </c>
      <c r="S180">
        <v>47</v>
      </c>
      <c r="T180">
        <f t="shared" si="14"/>
        <v>253.8</v>
      </c>
      <c r="U180">
        <v>0.03</v>
      </c>
      <c r="V180">
        <f t="shared" si="15"/>
        <v>7.6139999999999999</v>
      </c>
      <c r="W180">
        <f t="shared" si="16"/>
        <v>246.18600000000001</v>
      </c>
      <c r="X180">
        <v>7.78</v>
      </c>
      <c r="Y180">
        <f t="shared" si="17"/>
        <v>253.96600000000001</v>
      </c>
    </row>
    <row r="181" spans="1:25" x14ac:dyDescent="0.25">
      <c r="A181" t="s">
        <v>783</v>
      </c>
      <c r="B181">
        <v>41575</v>
      </c>
      <c r="C181" t="str">
        <f t="shared" si="12"/>
        <v>2013</v>
      </c>
      <c r="D181" t="s">
        <v>784</v>
      </c>
      <c r="E181" t="s">
        <v>637</v>
      </c>
      <c r="F181" t="s">
        <v>239</v>
      </c>
      <c r="G181" t="s">
        <v>240</v>
      </c>
      <c r="H181" t="s">
        <v>259</v>
      </c>
      <c r="I181" t="s">
        <v>251</v>
      </c>
      <c r="J181" t="s">
        <v>243</v>
      </c>
      <c r="K181" t="s">
        <v>403</v>
      </c>
      <c r="L181" t="s">
        <v>268</v>
      </c>
      <c r="M181" t="s">
        <v>323</v>
      </c>
      <c r="N181" t="s">
        <v>247</v>
      </c>
      <c r="O181">
        <v>41576</v>
      </c>
      <c r="P181">
        <v>1.87</v>
      </c>
      <c r="Q181">
        <v>8.1199999999999992</v>
      </c>
      <c r="R181">
        <f t="shared" si="13"/>
        <v>6.2499999999999991</v>
      </c>
      <c r="S181">
        <v>37</v>
      </c>
      <c r="T181">
        <f t="shared" si="14"/>
        <v>300.44</v>
      </c>
      <c r="U181">
        <v>0</v>
      </c>
      <c r="V181">
        <f t="shared" si="15"/>
        <v>0</v>
      </c>
      <c r="W181">
        <f t="shared" si="16"/>
        <v>300.44</v>
      </c>
      <c r="X181">
        <v>2.83</v>
      </c>
      <c r="Y181">
        <f t="shared" si="17"/>
        <v>303.27</v>
      </c>
    </row>
    <row r="182" spans="1:25" x14ac:dyDescent="0.25">
      <c r="A182" t="s">
        <v>785</v>
      </c>
      <c r="B182">
        <v>41575</v>
      </c>
      <c r="C182" t="str">
        <f t="shared" si="12"/>
        <v>2013</v>
      </c>
      <c r="D182" t="s">
        <v>302</v>
      </c>
      <c r="E182" t="s">
        <v>303</v>
      </c>
      <c r="F182" t="s">
        <v>239</v>
      </c>
      <c r="G182" t="s">
        <v>240</v>
      </c>
      <c r="H182" t="s">
        <v>259</v>
      </c>
      <c r="I182" t="s">
        <v>251</v>
      </c>
      <c r="J182" t="s">
        <v>243</v>
      </c>
      <c r="K182" t="s">
        <v>786</v>
      </c>
      <c r="L182" t="s">
        <v>245</v>
      </c>
      <c r="M182" t="s">
        <v>323</v>
      </c>
      <c r="N182" t="s">
        <v>263</v>
      </c>
      <c r="O182">
        <v>41576</v>
      </c>
      <c r="P182">
        <v>16.8</v>
      </c>
      <c r="Q182">
        <v>40.97</v>
      </c>
      <c r="R182">
        <f t="shared" si="13"/>
        <v>24.169999999999998</v>
      </c>
      <c r="S182">
        <v>11</v>
      </c>
      <c r="T182">
        <f t="shared" si="14"/>
        <v>450.66999999999996</v>
      </c>
      <c r="U182">
        <v>0.03</v>
      </c>
      <c r="V182">
        <f t="shared" si="15"/>
        <v>13.520099999999998</v>
      </c>
      <c r="W182">
        <f t="shared" si="16"/>
        <v>437.14989999999995</v>
      </c>
      <c r="X182">
        <v>8.99</v>
      </c>
      <c r="Y182">
        <f t="shared" si="17"/>
        <v>446.13989999999995</v>
      </c>
    </row>
    <row r="183" spans="1:25" x14ac:dyDescent="0.25">
      <c r="A183" t="s">
        <v>787</v>
      </c>
      <c r="B183">
        <v>41576</v>
      </c>
      <c r="C183" t="str">
        <f t="shared" si="12"/>
        <v>2013</v>
      </c>
      <c r="D183" t="s">
        <v>788</v>
      </c>
      <c r="E183" t="s">
        <v>789</v>
      </c>
      <c r="F183" t="s">
        <v>257</v>
      </c>
      <c r="G183" t="s">
        <v>258</v>
      </c>
      <c r="H183" t="s">
        <v>241</v>
      </c>
      <c r="I183" t="s">
        <v>309</v>
      </c>
      <c r="J183" t="s">
        <v>261</v>
      </c>
      <c r="K183" t="s">
        <v>617</v>
      </c>
      <c r="L183" t="s">
        <v>245</v>
      </c>
      <c r="M183" t="s">
        <v>246</v>
      </c>
      <c r="N183" t="s">
        <v>247</v>
      </c>
      <c r="O183">
        <v>41577</v>
      </c>
      <c r="P183">
        <v>1.94</v>
      </c>
      <c r="Q183">
        <v>3.08</v>
      </c>
      <c r="R183">
        <f t="shared" si="13"/>
        <v>1.1400000000000001</v>
      </c>
      <c r="S183">
        <v>41</v>
      </c>
      <c r="T183">
        <f t="shared" si="14"/>
        <v>126.28</v>
      </c>
      <c r="U183">
        <v>0.04</v>
      </c>
      <c r="V183">
        <f t="shared" si="15"/>
        <v>5.0512000000000006</v>
      </c>
      <c r="W183">
        <f t="shared" si="16"/>
        <v>121.22880000000001</v>
      </c>
      <c r="X183">
        <v>0.99</v>
      </c>
      <c r="Y183">
        <f t="shared" si="17"/>
        <v>122.2188</v>
      </c>
    </row>
    <row r="184" spans="1:25" x14ac:dyDescent="0.25">
      <c r="A184" t="s">
        <v>790</v>
      </c>
      <c r="B184">
        <v>41579</v>
      </c>
      <c r="C184" t="str">
        <f t="shared" si="12"/>
        <v>2013</v>
      </c>
      <c r="D184" t="s">
        <v>791</v>
      </c>
      <c r="E184" t="s">
        <v>775</v>
      </c>
      <c r="F184" t="s">
        <v>257</v>
      </c>
      <c r="G184" t="s">
        <v>258</v>
      </c>
      <c r="H184" t="s">
        <v>274</v>
      </c>
      <c r="I184" t="s">
        <v>381</v>
      </c>
      <c r="J184" t="s">
        <v>261</v>
      </c>
      <c r="K184" t="s">
        <v>403</v>
      </c>
      <c r="L184" t="s">
        <v>268</v>
      </c>
      <c r="M184" t="s">
        <v>323</v>
      </c>
      <c r="N184" t="s">
        <v>247</v>
      </c>
      <c r="O184">
        <v>41580</v>
      </c>
      <c r="P184">
        <v>1.87</v>
      </c>
      <c r="Q184">
        <v>8.1199999999999992</v>
      </c>
      <c r="R184">
        <f t="shared" si="13"/>
        <v>6.2499999999999991</v>
      </c>
      <c r="S184">
        <v>16</v>
      </c>
      <c r="T184">
        <f t="shared" si="14"/>
        <v>129.91999999999999</v>
      </c>
      <c r="U184">
        <v>0.03</v>
      </c>
      <c r="V184">
        <f t="shared" si="15"/>
        <v>3.8975999999999993</v>
      </c>
      <c r="W184">
        <f t="shared" si="16"/>
        <v>126.02239999999999</v>
      </c>
      <c r="X184">
        <v>2.83</v>
      </c>
      <c r="Y184">
        <f t="shared" si="17"/>
        <v>128.85239999999999</v>
      </c>
    </row>
    <row r="185" spans="1:25" x14ac:dyDescent="0.25">
      <c r="A185" t="s">
        <v>792</v>
      </c>
      <c r="B185">
        <v>41580</v>
      </c>
      <c r="C185" t="str">
        <f t="shared" si="12"/>
        <v>2013</v>
      </c>
      <c r="D185" t="s">
        <v>542</v>
      </c>
      <c r="E185" t="s">
        <v>303</v>
      </c>
      <c r="F185" t="s">
        <v>239</v>
      </c>
      <c r="G185" t="s">
        <v>240</v>
      </c>
      <c r="H185" t="s">
        <v>241</v>
      </c>
      <c r="I185" t="s">
        <v>242</v>
      </c>
      <c r="J185" t="s">
        <v>304</v>
      </c>
      <c r="K185" t="s">
        <v>776</v>
      </c>
      <c r="L185" t="s">
        <v>245</v>
      </c>
      <c r="M185" t="s">
        <v>246</v>
      </c>
      <c r="N185" t="s">
        <v>247</v>
      </c>
      <c r="O185">
        <v>41581</v>
      </c>
      <c r="P185">
        <v>4.53</v>
      </c>
      <c r="Q185">
        <v>7.3</v>
      </c>
      <c r="R185">
        <f t="shared" si="13"/>
        <v>2.7699999999999996</v>
      </c>
      <c r="S185">
        <v>45</v>
      </c>
      <c r="T185">
        <f t="shared" si="14"/>
        <v>328.5</v>
      </c>
      <c r="U185">
        <v>0.04</v>
      </c>
      <c r="V185">
        <f t="shared" si="15"/>
        <v>13.14</v>
      </c>
      <c r="W185">
        <f t="shared" si="16"/>
        <v>315.36</v>
      </c>
      <c r="X185">
        <v>7.72</v>
      </c>
      <c r="Y185">
        <f t="shared" si="17"/>
        <v>323.08000000000004</v>
      </c>
    </row>
    <row r="186" spans="1:25" x14ac:dyDescent="0.25">
      <c r="A186" t="s">
        <v>793</v>
      </c>
      <c r="B186">
        <v>41581</v>
      </c>
      <c r="C186" t="str">
        <f t="shared" si="12"/>
        <v>2013</v>
      </c>
      <c r="D186" t="s">
        <v>794</v>
      </c>
      <c r="E186" t="s">
        <v>795</v>
      </c>
      <c r="F186" t="s">
        <v>257</v>
      </c>
      <c r="G186" t="s">
        <v>258</v>
      </c>
      <c r="H186" t="s">
        <v>259</v>
      </c>
      <c r="I186" t="s">
        <v>372</v>
      </c>
      <c r="J186" t="s">
        <v>261</v>
      </c>
      <c r="K186" t="s">
        <v>676</v>
      </c>
      <c r="L186" t="s">
        <v>245</v>
      </c>
      <c r="M186" t="s">
        <v>323</v>
      </c>
      <c r="N186" t="s">
        <v>247</v>
      </c>
      <c r="O186">
        <v>41581</v>
      </c>
      <c r="P186">
        <v>5.19</v>
      </c>
      <c r="Q186">
        <v>12.98</v>
      </c>
      <c r="R186">
        <f t="shared" si="13"/>
        <v>7.79</v>
      </c>
      <c r="S186">
        <v>40</v>
      </c>
      <c r="T186">
        <f t="shared" si="14"/>
        <v>519.20000000000005</v>
      </c>
      <c r="U186">
        <v>0.05</v>
      </c>
      <c r="V186">
        <f t="shared" si="15"/>
        <v>25.960000000000004</v>
      </c>
      <c r="W186">
        <f t="shared" si="16"/>
        <v>493.24000000000007</v>
      </c>
      <c r="X186">
        <v>3.14</v>
      </c>
      <c r="Y186">
        <f t="shared" si="17"/>
        <v>496.38000000000005</v>
      </c>
    </row>
    <row r="187" spans="1:25" x14ac:dyDescent="0.25">
      <c r="A187" t="s">
        <v>796</v>
      </c>
      <c r="B187">
        <v>41583</v>
      </c>
      <c r="C187" t="str">
        <f t="shared" si="12"/>
        <v>2013</v>
      </c>
      <c r="D187" t="s">
        <v>797</v>
      </c>
      <c r="E187" t="s">
        <v>798</v>
      </c>
      <c r="F187" t="s">
        <v>448</v>
      </c>
      <c r="G187" t="s">
        <v>449</v>
      </c>
      <c r="H187" t="s">
        <v>259</v>
      </c>
      <c r="I187" t="s">
        <v>299</v>
      </c>
      <c r="J187" t="s">
        <v>294</v>
      </c>
      <c r="K187" t="s">
        <v>799</v>
      </c>
      <c r="L187" t="s">
        <v>245</v>
      </c>
      <c r="M187" t="s">
        <v>246</v>
      </c>
      <c r="N187" t="s">
        <v>247</v>
      </c>
      <c r="O187">
        <v>41585</v>
      </c>
      <c r="P187">
        <v>2.29</v>
      </c>
      <c r="Q187">
        <v>3.69</v>
      </c>
      <c r="R187">
        <f t="shared" si="13"/>
        <v>1.4</v>
      </c>
      <c r="S187">
        <v>42</v>
      </c>
      <c r="T187">
        <f t="shared" si="14"/>
        <v>154.97999999999999</v>
      </c>
      <c r="U187">
        <v>0.04</v>
      </c>
      <c r="V187">
        <f t="shared" si="15"/>
        <v>6.1991999999999994</v>
      </c>
      <c r="W187">
        <f t="shared" si="16"/>
        <v>148.7808</v>
      </c>
      <c r="X187">
        <v>0.5</v>
      </c>
      <c r="Y187">
        <f t="shared" si="17"/>
        <v>149.2808</v>
      </c>
    </row>
    <row r="188" spans="1:25" x14ac:dyDescent="0.25">
      <c r="A188" t="s">
        <v>800</v>
      </c>
      <c r="B188">
        <v>41583</v>
      </c>
      <c r="C188" t="str">
        <f t="shared" si="12"/>
        <v>2013</v>
      </c>
      <c r="D188" t="s">
        <v>801</v>
      </c>
      <c r="E188" t="s">
        <v>802</v>
      </c>
      <c r="F188" t="s">
        <v>257</v>
      </c>
      <c r="G188" t="s">
        <v>258</v>
      </c>
      <c r="H188" t="s">
        <v>259</v>
      </c>
      <c r="I188" t="s">
        <v>284</v>
      </c>
      <c r="J188" t="s">
        <v>261</v>
      </c>
      <c r="K188" t="s">
        <v>803</v>
      </c>
      <c r="L188" t="s">
        <v>245</v>
      </c>
      <c r="M188" t="s">
        <v>253</v>
      </c>
      <c r="N188" t="s">
        <v>247</v>
      </c>
      <c r="O188">
        <v>41584</v>
      </c>
      <c r="P188">
        <v>5.22</v>
      </c>
      <c r="Q188">
        <v>9.85</v>
      </c>
      <c r="R188">
        <f t="shared" si="13"/>
        <v>4.63</v>
      </c>
      <c r="S188">
        <v>27</v>
      </c>
      <c r="T188">
        <f t="shared" si="14"/>
        <v>265.95</v>
      </c>
      <c r="U188">
        <v>0.1</v>
      </c>
      <c r="V188">
        <f t="shared" si="15"/>
        <v>26.594999999999999</v>
      </c>
      <c r="W188">
        <f t="shared" si="16"/>
        <v>239.35499999999999</v>
      </c>
      <c r="X188">
        <v>4.82</v>
      </c>
      <c r="Y188">
        <f t="shared" si="17"/>
        <v>244.17499999999998</v>
      </c>
    </row>
    <row r="189" spans="1:25" x14ac:dyDescent="0.25">
      <c r="A189" t="s">
        <v>804</v>
      </c>
      <c r="B189">
        <v>41585</v>
      </c>
      <c r="C189" t="str">
        <f t="shared" si="12"/>
        <v>2013</v>
      </c>
      <c r="D189" t="s">
        <v>805</v>
      </c>
      <c r="E189" t="s">
        <v>806</v>
      </c>
      <c r="F189" t="s">
        <v>257</v>
      </c>
      <c r="G189" t="s">
        <v>258</v>
      </c>
      <c r="H189" t="s">
        <v>293</v>
      </c>
      <c r="I189" t="s">
        <v>299</v>
      </c>
      <c r="J189" t="s">
        <v>304</v>
      </c>
      <c r="K189" t="s">
        <v>435</v>
      </c>
      <c r="L189" t="s">
        <v>245</v>
      </c>
      <c r="M189" t="s">
        <v>253</v>
      </c>
      <c r="N189" t="s">
        <v>263</v>
      </c>
      <c r="O189">
        <v>41586</v>
      </c>
      <c r="P189">
        <v>3.75</v>
      </c>
      <c r="Q189">
        <v>7.08</v>
      </c>
      <c r="R189">
        <f t="shared" si="13"/>
        <v>3.33</v>
      </c>
      <c r="S189">
        <v>29</v>
      </c>
      <c r="T189">
        <f t="shared" si="14"/>
        <v>205.32</v>
      </c>
      <c r="U189">
        <v>7.0000000000000007E-2</v>
      </c>
      <c r="V189">
        <f t="shared" si="15"/>
        <v>14.372400000000001</v>
      </c>
      <c r="W189">
        <f t="shared" si="16"/>
        <v>190.94759999999999</v>
      </c>
      <c r="X189">
        <v>2.35</v>
      </c>
      <c r="Y189">
        <f t="shared" si="17"/>
        <v>193.29759999999999</v>
      </c>
    </row>
    <row r="190" spans="1:25" x14ac:dyDescent="0.25">
      <c r="A190" t="s">
        <v>807</v>
      </c>
      <c r="B190">
        <v>41587</v>
      </c>
      <c r="C190" t="str">
        <f t="shared" si="12"/>
        <v>2013</v>
      </c>
      <c r="D190" t="s">
        <v>808</v>
      </c>
      <c r="E190" t="s">
        <v>367</v>
      </c>
      <c r="F190" t="s">
        <v>239</v>
      </c>
      <c r="G190" t="s">
        <v>240</v>
      </c>
      <c r="H190" t="s">
        <v>293</v>
      </c>
      <c r="I190" t="s">
        <v>251</v>
      </c>
      <c r="J190" t="s">
        <v>279</v>
      </c>
      <c r="K190" t="s">
        <v>698</v>
      </c>
      <c r="L190" t="s">
        <v>245</v>
      </c>
      <c r="M190" t="s">
        <v>253</v>
      </c>
      <c r="N190" t="s">
        <v>247</v>
      </c>
      <c r="O190">
        <v>41587</v>
      </c>
      <c r="P190">
        <v>3.32</v>
      </c>
      <c r="Q190">
        <v>5.18</v>
      </c>
      <c r="R190">
        <f t="shared" si="13"/>
        <v>1.8599999999999999</v>
      </c>
      <c r="S190">
        <v>8</v>
      </c>
      <c r="T190">
        <f t="shared" si="14"/>
        <v>41.44</v>
      </c>
      <c r="U190">
        <v>0.06</v>
      </c>
      <c r="V190">
        <f t="shared" si="15"/>
        <v>2.4863999999999997</v>
      </c>
      <c r="W190">
        <f t="shared" si="16"/>
        <v>38.953599999999994</v>
      </c>
      <c r="X190">
        <v>2.04</v>
      </c>
      <c r="Y190">
        <f t="shared" si="17"/>
        <v>40.993599999999994</v>
      </c>
    </row>
    <row r="191" spans="1:25" x14ac:dyDescent="0.25">
      <c r="A191" t="s">
        <v>809</v>
      </c>
      <c r="B191">
        <v>41590</v>
      </c>
      <c r="C191" t="str">
        <f t="shared" si="12"/>
        <v>2013</v>
      </c>
      <c r="D191" t="s">
        <v>810</v>
      </c>
      <c r="E191" t="s">
        <v>266</v>
      </c>
      <c r="F191" t="s">
        <v>239</v>
      </c>
      <c r="G191" t="s">
        <v>240</v>
      </c>
      <c r="H191" t="s">
        <v>259</v>
      </c>
      <c r="I191" t="s">
        <v>242</v>
      </c>
      <c r="J191" t="s">
        <v>304</v>
      </c>
      <c r="K191" t="s">
        <v>811</v>
      </c>
      <c r="L191" t="s">
        <v>245</v>
      </c>
      <c r="M191" t="s">
        <v>246</v>
      </c>
      <c r="N191" t="s">
        <v>247</v>
      </c>
      <c r="O191">
        <v>41592</v>
      </c>
      <c r="P191">
        <v>3.37</v>
      </c>
      <c r="Q191">
        <v>5.53</v>
      </c>
      <c r="R191">
        <f t="shared" si="13"/>
        <v>2.16</v>
      </c>
      <c r="S191">
        <v>17</v>
      </c>
      <c r="T191">
        <f t="shared" si="14"/>
        <v>94.01</v>
      </c>
      <c r="U191">
        <v>0.02</v>
      </c>
      <c r="V191">
        <f t="shared" si="15"/>
        <v>1.8802000000000001</v>
      </c>
      <c r="W191">
        <f t="shared" si="16"/>
        <v>92.129800000000003</v>
      </c>
      <c r="X191">
        <v>6.98</v>
      </c>
      <c r="Y191">
        <f t="shared" si="17"/>
        <v>99.109800000000007</v>
      </c>
    </row>
    <row r="192" spans="1:25" x14ac:dyDescent="0.25">
      <c r="A192" t="s">
        <v>812</v>
      </c>
      <c r="B192">
        <v>41593</v>
      </c>
      <c r="C192" t="str">
        <f t="shared" si="12"/>
        <v>2013</v>
      </c>
      <c r="D192" t="s">
        <v>703</v>
      </c>
      <c r="E192" t="s">
        <v>288</v>
      </c>
      <c r="F192" t="s">
        <v>257</v>
      </c>
      <c r="G192" t="s">
        <v>258</v>
      </c>
      <c r="H192" t="s">
        <v>274</v>
      </c>
      <c r="I192" t="s">
        <v>284</v>
      </c>
      <c r="J192" t="s">
        <v>294</v>
      </c>
      <c r="K192" t="s">
        <v>475</v>
      </c>
      <c r="L192" t="s">
        <v>245</v>
      </c>
      <c r="M192" t="s">
        <v>246</v>
      </c>
      <c r="N192" t="s">
        <v>247</v>
      </c>
      <c r="O192">
        <v>41595</v>
      </c>
      <c r="P192">
        <v>12.39</v>
      </c>
      <c r="Q192">
        <v>19.98</v>
      </c>
      <c r="R192">
        <f t="shared" si="13"/>
        <v>7.59</v>
      </c>
      <c r="S192">
        <v>47</v>
      </c>
      <c r="T192">
        <f t="shared" si="14"/>
        <v>939.06000000000006</v>
      </c>
      <c r="U192">
        <v>0.04</v>
      </c>
      <c r="V192">
        <f t="shared" si="15"/>
        <v>37.562400000000004</v>
      </c>
      <c r="W192">
        <f t="shared" si="16"/>
        <v>901.49760000000003</v>
      </c>
      <c r="X192">
        <v>5.77</v>
      </c>
      <c r="Y192">
        <f t="shared" si="17"/>
        <v>907.26760000000002</v>
      </c>
    </row>
    <row r="193" spans="1:25" x14ac:dyDescent="0.25">
      <c r="A193" t="s">
        <v>813</v>
      </c>
      <c r="B193">
        <v>41594</v>
      </c>
      <c r="C193" t="str">
        <f t="shared" si="12"/>
        <v>2013</v>
      </c>
      <c r="D193" t="s">
        <v>383</v>
      </c>
      <c r="E193" t="s">
        <v>292</v>
      </c>
      <c r="F193" t="s">
        <v>257</v>
      </c>
      <c r="G193" t="s">
        <v>258</v>
      </c>
      <c r="H193" t="s">
        <v>274</v>
      </c>
      <c r="I193" t="s">
        <v>260</v>
      </c>
      <c r="J193" t="s">
        <v>294</v>
      </c>
      <c r="K193" t="s">
        <v>439</v>
      </c>
      <c r="L193" t="s">
        <v>440</v>
      </c>
      <c r="M193" t="s">
        <v>323</v>
      </c>
      <c r="N193" t="s">
        <v>247</v>
      </c>
      <c r="O193">
        <v>41594</v>
      </c>
      <c r="P193">
        <v>5.5</v>
      </c>
      <c r="Q193">
        <v>12.22</v>
      </c>
      <c r="R193">
        <f t="shared" si="13"/>
        <v>6.7200000000000006</v>
      </c>
      <c r="S193">
        <v>27</v>
      </c>
      <c r="T193">
        <f t="shared" si="14"/>
        <v>329.94</v>
      </c>
      <c r="U193">
        <v>7.0000000000000007E-2</v>
      </c>
      <c r="V193">
        <f t="shared" si="15"/>
        <v>23.095800000000001</v>
      </c>
      <c r="W193">
        <f t="shared" si="16"/>
        <v>306.8442</v>
      </c>
      <c r="X193">
        <v>2.85</v>
      </c>
      <c r="Y193">
        <f t="shared" si="17"/>
        <v>309.69420000000002</v>
      </c>
    </row>
    <row r="194" spans="1:25" x14ac:dyDescent="0.25">
      <c r="A194" t="s">
        <v>814</v>
      </c>
      <c r="B194">
        <v>41594</v>
      </c>
      <c r="C194" t="str">
        <f t="shared" si="12"/>
        <v>2013</v>
      </c>
      <c r="D194" t="s">
        <v>815</v>
      </c>
      <c r="E194" t="s">
        <v>816</v>
      </c>
      <c r="F194" t="s">
        <v>257</v>
      </c>
      <c r="G194" t="s">
        <v>258</v>
      </c>
      <c r="H194" t="s">
        <v>259</v>
      </c>
      <c r="I194" t="s">
        <v>492</v>
      </c>
      <c r="J194" t="s">
        <v>261</v>
      </c>
      <c r="K194" t="s">
        <v>817</v>
      </c>
      <c r="L194" t="s">
        <v>245</v>
      </c>
      <c r="M194" t="s">
        <v>253</v>
      </c>
      <c r="N194" t="s">
        <v>247</v>
      </c>
      <c r="O194">
        <v>41595</v>
      </c>
      <c r="P194">
        <v>1.76</v>
      </c>
      <c r="Q194">
        <v>2.94</v>
      </c>
      <c r="R194">
        <f t="shared" si="13"/>
        <v>1.18</v>
      </c>
      <c r="S194">
        <v>23</v>
      </c>
      <c r="T194">
        <f t="shared" si="14"/>
        <v>67.62</v>
      </c>
      <c r="U194">
        <v>7.0000000000000007E-2</v>
      </c>
      <c r="V194">
        <f t="shared" si="15"/>
        <v>4.7334000000000005</v>
      </c>
      <c r="W194">
        <f t="shared" si="16"/>
        <v>62.886600000000001</v>
      </c>
      <c r="X194">
        <v>0.81</v>
      </c>
      <c r="Y194">
        <f t="shared" si="17"/>
        <v>63.696600000000004</v>
      </c>
    </row>
    <row r="195" spans="1:25" x14ac:dyDescent="0.25">
      <c r="A195" t="s">
        <v>818</v>
      </c>
      <c r="B195">
        <v>41595</v>
      </c>
      <c r="C195" t="str">
        <f t="shared" si="12"/>
        <v>2013</v>
      </c>
      <c r="D195" t="s">
        <v>819</v>
      </c>
      <c r="E195" t="s">
        <v>256</v>
      </c>
      <c r="F195" t="s">
        <v>257</v>
      </c>
      <c r="G195" t="s">
        <v>258</v>
      </c>
      <c r="H195" t="s">
        <v>274</v>
      </c>
      <c r="I195" t="s">
        <v>260</v>
      </c>
      <c r="J195" t="s">
        <v>261</v>
      </c>
      <c r="K195" t="s">
        <v>377</v>
      </c>
      <c r="L195" t="s">
        <v>268</v>
      </c>
      <c r="M195" t="s">
        <v>246</v>
      </c>
      <c r="N195" t="s">
        <v>263</v>
      </c>
      <c r="O195">
        <v>41597</v>
      </c>
      <c r="P195">
        <v>39.64</v>
      </c>
      <c r="Q195">
        <v>152.47999999999999</v>
      </c>
      <c r="R195">
        <f t="shared" si="13"/>
        <v>112.83999999999999</v>
      </c>
      <c r="S195">
        <v>2</v>
      </c>
      <c r="T195">
        <f t="shared" si="14"/>
        <v>304.95999999999998</v>
      </c>
      <c r="U195">
        <v>0.02</v>
      </c>
      <c r="V195">
        <f t="shared" si="15"/>
        <v>6.0991999999999997</v>
      </c>
      <c r="W195">
        <f t="shared" si="16"/>
        <v>298.86079999999998</v>
      </c>
      <c r="X195">
        <v>6.5</v>
      </c>
      <c r="Y195">
        <f t="shared" si="17"/>
        <v>305.36079999999998</v>
      </c>
    </row>
    <row r="196" spans="1:25" x14ac:dyDescent="0.25">
      <c r="A196" t="s">
        <v>820</v>
      </c>
      <c r="B196">
        <v>41595</v>
      </c>
      <c r="C196" t="str">
        <f t="shared" si="12"/>
        <v>2013</v>
      </c>
      <c r="D196" t="s">
        <v>821</v>
      </c>
      <c r="E196" t="s">
        <v>250</v>
      </c>
      <c r="F196" t="s">
        <v>239</v>
      </c>
      <c r="G196" t="s">
        <v>240</v>
      </c>
      <c r="H196" t="s">
        <v>241</v>
      </c>
      <c r="I196" t="s">
        <v>251</v>
      </c>
      <c r="J196" t="s">
        <v>261</v>
      </c>
      <c r="K196" t="s">
        <v>822</v>
      </c>
      <c r="L196" t="s">
        <v>245</v>
      </c>
      <c r="M196" t="s">
        <v>323</v>
      </c>
      <c r="N196" t="s">
        <v>247</v>
      </c>
      <c r="O196">
        <v>41596</v>
      </c>
      <c r="P196">
        <v>3.51</v>
      </c>
      <c r="Q196">
        <v>8.57</v>
      </c>
      <c r="R196">
        <f t="shared" si="13"/>
        <v>5.0600000000000005</v>
      </c>
      <c r="S196">
        <v>24</v>
      </c>
      <c r="T196">
        <f t="shared" si="14"/>
        <v>205.68</v>
      </c>
      <c r="U196">
        <v>0.06</v>
      </c>
      <c r="V196">
        <f t="shared" si="15"/>
        <v>12.3408</v>
      </c>
      <c r="W196">
        <f t="shared" si="16"/>
        <v>193.33920000000001</v>
      </c>
      <c r="X196">
        <v>6.14</v>
      </c>
      <c r="Y196">
        <f t="shared" si="17"/>
        <v>199.47919999999999</v>
      </c>
    </row>
    <row r="197" spans="1:25" x14ac:dyDescent="0.25">
      <c r="A197" t="s">
        <v>823</v>
      </c>
      <c r="B197">
        <v>41595</v>
      </c>
      <c r="C197" t="str">
        <f t="shared" si="12"/>
        <v>2013</v>
      </c>
      <c r="D197" t="s">
        <v>824</v>
      </c>
      <c r="E197" t="s">
        <v>637</v>
      </c>
      <c r="F197" t="s">
        <v>239</v>
      </c>
      <c r="G197" t="s">
        <v>240</v>
      </c>
      <c r="H197" t="s">
        <v>259</v>
      </c>
      <c r="I197" t="s">
        <v>251</v>
      </c>
      <c r="J197" t="s">
        <v>243</v>
      </c>
      <c r="K197" t="s">
        <v>688</v>
      </c>
      <c r="L197" t="s">
        <v>245</v>
      </c>
      <c r="M197" t="s">
        <v>246</v>
      </c>
      <c r="N197" t="s">
        <v>247</v>
      </c>
      <c r="O197">
        <v>41595</v>
      </c>
      <c r="P197">
        <v>2.4500000000000002</v>
      </c>
      <c r="Q197">
        <v>3.89</v>
      </c>
      <c r="R197">
        <f t="shared" si="13"/>
        <v>1.44</v>
      </c>
      <c r="S197">
        <v>47</v>
      </c>
      <c r="T197">
        <f t="shared" si="14"/>
        <v>182.83</v>
      </c>
      <c r="U197">
        <v>0</v>
      </c>
      <c r="V197">
        <f t="shared" si="15"/>
        <v>0</v>
      </c>
      <c r="W197">
        <f t="shared" si="16"/>
        <v>182.83</v>
      </c>
      <c r="X197">
        <v>7.01</v>
      </c>
      <c r="Y197">
        <f t="shared" si="17"/>
        <v>189.84</v>
      </c>
    </row>
    <row r="198" spans="1:25" x14ac:dyDescent="0.25">
      <c r="A198" t="s">
        <v>825</v>
      </c>
      <c r="B198">
        <v>41596</v>
      </c>
      <c r="C198" t="str">
        <f t="shared" ref="C198:C261" si="18">TEXT(B198,"yyyy")</f>
        <v>2013</v>
      </c>
      <c r="D198" t="s">
        <v>826</v>
      </c>
      <c r="E198" t="s">
        <v>352</v>
      </c>
      <c r="F198" t="s">
        <v>257</v>
      </c>
      <c r="G198" t="s">
        <v>258</v>
      </c>
      <c r="H198" t="s">
        <v>293</v>
      </c>
      <c r="I198" t="s">
        <v>275</v>
      </c>
      <c r="J198" t="s">
        <v>279</v>
      </c>
      <c r="K198" t="s">
        <v>529</v>
      </c>
      <c r="L198" t="s">
        <v>245</v>
      </c>
      <c r="M198" t="s">
        <v>253</v>
      </c>
      <c r="N198" t="s">
        <v>247</v>
      </c>
      <c r="O198">
        <v>41598</v>
      </c>
      <c r="P198">
        <v>1.6</v>
      </c>
      <c r="Q198">
        <v>2.62</v>
      </c>
      <c r="R198">
        <f t="shared" ref="R198:R261" si="19">Q198-P198</f>
        <v>1.02</v>
      </c>
      <c r="S198">
        <v>26</v>
      </c>
      <c r="T198">
        <f t="shared" ref="T198:T261" si="20">Q198*S198</f>
        <v>68.12</v>
      </c>
      <c r="U198">
        <v>0.09</v>
      </c>
      <c r="V198">
        <f t="shared" ref="V198:V261" si="21">T198*U198</f>
        <v>6.1307999999999998</v>
      </c>
      <c r="W198">
        <f t="shared" ref="W198:W261" si="22">T198-V198</f>
        <v>61.989200000000004</v>
      </c>
      <c r="X198">
        <v>0.8</v>
      </c>
      <c r="Y198">
        <f t="shared" ref="Y198:Y261" si="23">W198+X198</f>
        <v>62.789200000000001</v>
      </c>
    </row>
    <row r="199" spans="1:25" x14ac:dyDescent="0.25">
      <c r="A199" t="s">
        <v>827</v>
      </c>
      <c r="B199">
        <v>41596</v>
      </c>
      <c r="C199" t="str">
        <f t="shared" si="18"/>
        <v>2013</v>
      </c>
      <c r="D199" t="s">
        <v>828</v>
      </c>
      <c r="E199" t="s">
        <v>829</v>
      </c>
      <c r="F199" t="s">
        <v>448</v>
      </c>
      <c r="G199" t="s">
        <v>449</v>
      </c>
      <c r="H199" t="s">
        <v>259</v>
      </c>
      <c r="I199" t="s">
        <v>381</v>
      </c>
      <c r="J199" t="s">
        <v>243</v>
      </c>
      <c r="K199" t="s">
        <v>567</v>
      </c>
      <c r="L199" t="s">
        <v>245</v>
      </c>
      <c r="M199" t="s">
        <v>246</v>
      </c>
      <c r="N199" t="s">
        <v>247</v>
      </c>
      <c r="O199">
        <v>41598</v>
      </c>
      <c r="P199">
        <v>21.56</v>
      </c>
      <c r="Q199">
        <v>35.94</v>
      </c>
      <c r="R199">
        <f t="shared" si="19"/>
        <v>14.379999999999999</v>
      </c>
      <c r="S199">
        <v>19</v>
      </c>
      <c r="T199">
        <f t="shared" si="20"/>
        <v>682.8599999999999</v>
      </c>
      <c r="U199">
        <v>0.09</v>
      </c>
      <c r="V199">
        <f t="shared" si="21"/>
        <v>61.457399999999986</v>
      </c>
      <c r="W199">
        <f t="shared" si="22"/>
        <v>621.40259999999989</v>
      </c>
      <c r="X199">
        <v>6.66</v>
      </c>
      <c r="Y199">
        <f t="shared" si="23"/>
        <v>628.06259999999986</v>
      </c>
    </row>
    <row r="200" spans="1:25" x14ac:dyDescent="0.25">
      <c r="A200" t="s">
        <v>830</v>
      </c>
      <c r="B200">
        <v>41597</v>
      </c>
      <c r="C200" t="str">
        <f t="shared" si="18"/>
        <v>2013</v>
      </c>
      <c r="D200" t="s">
        <v>629</v>
      </c>
      <c r="E200" t="s">
        <v>393</v>
      </c>
      <c r="F200" t="s">
        <v>257</v>
      </c>
      <c r="G200" t="s">
        <v>258</v>
      </c>
      <c r="H200" t="s">
        <v>259</v>
      </c>
      <c r="I200" t="s">
        <v>342</v>
      </c>
      <c r="J200" t="s">
        <v>304</v>
      </c>
      <c r="K200" t="s">
        <v>329</v>
      </c>
      <c r="L200" t="s">
        <v>245</v>
      </c>
      <c r="M200" t="s">
        <v>246</v>
      </c>
      <c r="N200" t="s">
        <v>247</v>
      </c>
      <c r="O200">
        <v>41599</v>
      </c>
      <c r="P200">
        <v>4.59</v>
      </c>
      <c r="Q200">
        <v>7.28</v>
      </c>
      <c r="R200">
        <f t="shared" si="19"/>
        <v>2.6900000000000004</v>
      </c>
      <c r="S200">
        <v>3</v>
      </c>
      <c r="T200">
        <f t="shared" si="20"/>
        <v>21.84</v>
      </c>
      <c r="U200">
        <v>0.01</v>
      </c>
      <c r="V200">
        <f t="shared" si="21"/>
        <v>0.21840000000000001</v>
      </c>
      <c r="W200">
        <f t="shared" si="22"/>
        <v>21.621600000000001</v>
      </c>
      <c r="X200">
        <v>11.15</v>
      </c>
      <c r="Y200">
        <f t="shared" si="23"/>
        <v>32.771599999999999</v>
      </c>
    </row>
    <row r="201" spans="1:25" x14ac:dyDescent="0.25">
      <c r="A201" t="s">
        <v>831</v>
      </c>
      <c r="B201">
        <v>41598</v>
      </c>
      <c r="C201" t="str">
        <f t="shared" si="18"/>
        <v>2013</v>
      </c>
      <c r="D201" t="s">
        <v>766</v>
      </c>
      <c r="E201" t="s">
        <v>767</v>
      </c>
      <c r="F201" t="s">
        <v>257</v>
      </c>
      <c r="G201" t="s">
        <v>258</v>
      </c>
      <c r="H201" t="s">
        <v>274</v>
      </c>
      <c r="I201" t="s">
        <v>260</v>
      </c>
      <c r="J201" t="s">
        <v>279</v>
      </c>
      <c r="K201" t="s">
        <v>621</v>
      </c>
      <c r="L201" t="s">
        <v>268</v>
      </c>
      <c r="M201" t="s">
        <v>269</v>
      </c>
      <c r="N201" t="s">
        <v>270</v>
      </c>
      <c r="O201">
        <v>41605</v>
      </c>
      <c r="P201">
        <v>76.790000000000006</v>
      </c>
      <c r="Q201">
        <v>119.99</v>
      </c>
      <c r="R201">
        <f t="shared" si="19"/>
        <v>43.199999999999989</v>
      </c>
      <c r="S201">
        <v>4</v>
      </c>
      <c r="T201">
        <f t="shared" si="20"/>
        <v>479.96</v>
      </c>
      <c r="U201">
        <v>0.06</v>
      </c>
      <c r="V201">
        <f t="shared" si="21"/>
        <v>28.797599999999999</v>
      </c>
      <c r="W201">
        <f t="shared" si="22"/>
        <v>451.16239999999999</v>
      </c>
      <c r="X201">
        <v>14</v>
      </c>
      <c r="Y201">
        <f t="shared" si="23"/>
        <v>465.16239999999999</v>
      </c>
    </row>
    <row r="202" spans="1:25" x14ac:dyDescent="0.25">
      <c r="A202" t="s">
        <v>832</v>
      </c>
      <c r="B202">
        <v>41598</v>
      </c>
      <c r="C202" t="str">
        <f t="shared" si="18"/>
        <v>2013</v>
      </c>
      <c r="D202" t="s">
        <v>784</v>
      </c>
      <c r="E202" t="s">
        <v>637</v>
      </c>
      <c r="F202" t="s">
        <v>239</v>
      </c>
      <c r="G202" t="s">
        <v>240</v>
      </c>
      <c r="H202" t="s">
        <v>259</v>
      </c>
      <c r="I202" t="s">
        <v>251</v>
      </c>
      <c r="J202" t="s">
        <v>294</v>
      </c>
      <c r="K202" t="s">
        <v>399</v>
      </c>
      <c r="L202" t="s">
        <v>245</v>
      </c>
      <c r="M202" t="s">
        <v>253</v>
      </c>
      <c r="N202" t="s">
        <v>247</v>
      </c>
      <c r="O202">
        <v>41599</v>
      </c>
      <c r="P202">
        <v>3.47</v>
      </c>
      <c r="Q202">
        <v>6.68</v>
      </c>
      <c r="R202">
        <f t="shared" si="19"/>
        <v>3.2099999999999995</v>
      </c>
      <c r="S202">
        <v>15</v>
      </c>
      <c r="T202">
        <f t="shared" si="20"/>
        <v>100.19999999999999</v>
      </c>
      <c r="U202">
        <v>0.03</v>
      </c>
      <c r="V202">
        <f t="shared" si="21"/>
        <v>3.0059999999999993</v>
      </c>
      <c r="W202">
        <f t="shared" si="22"/>
        <v>97.193999999999988</v>
      </c>
      <c r="X202">
        <v>1.5</v>
      </c>
      <c r="Y202">
        <f t="shared" si="23"/>
        <v>98.693999999999988</v>
      </c>
    </row>
    <row r="203" spans="1:25" x14ac:dyDescent="0.25">
      <c r="A203" t="s">
        <v>833</v>
      </c>
      <c r="B203">
        <v>41601</v>
      </c>
      <c r="C203" t="str">
        <f t="shared" si="18"/>
        <v>2013</v>
      </c>
      <c r="D203" t="s">
        <v>834</v>
      </c>
      <c r="E203" t="s">
        <v>835</v>
      </c>
      <c r="F203" t="s">
        <v>257</v>
      </c>
      <c r="G203" t="s">
        <v>258</v>
      </c>
      <c r="H203" t="s">
        <v>274</v>
      </c>
      <c r="I203" t="s">
        <v>284</v>
      </c>
      <c r="J203" t="s">
        <v>294</v>
      </c>
      <c r="K203" t="s">
        <v>836</v>
      </c>
      <c r="L203" t="s">
        <v>440</v>
      </c>
      <c r="M203" t="s">
        <v>323</v>
      </c>
      <c r="N203" t="s">
        <v>247</v>
      </c>
      <c r="O203">
        <v>41602</v>
      </c>
      <c r="P203">
        <v>11.38</v>
      </c>
      <c r="Q203">
        <v>18.649999999999999</v>
      </c>
      <c r="R203">
        <f t="shared" si="19"/>
        <v>7.2699999999999978</v>
      </c>
      <c r="S203">
        <v>19</v>
      </c>
      <c r="T203">
        <f t="shared" si="20"/>
        <v>354.34999999999997</v>
      </c>
      <c r="U203">
        <v>7.0000000000000007E-2</v>
      </c>
      <c r="V203">
        <f t="shared" si="21"/>
        <v>24.804500000000001</v>
      </c>
      <c r="W203">
        <f t="shared" si="22"/>
        <v>329.54549999999995</v>
      </c>
      <c r="X203">
        <v>3.77</v>
      </c>
      <c r="Y203">
        <f t="shared" si="23"/>
        <v>333.31549999999993</v>
      </c>
    </row>
    <row r="204" spans="1:25" x14ac:dyDescent="0.25">
      <c r="A204" t="s">
        <v>837</v>
      </c>
      <c r="B204">
        <v>41601</v>
      </c>
      <c r="C204" t="str">
        <f t="shared" si="18"/>
        <v>2013</v>
      </c>
      <c r="D204" t="s">
        <v>838</v>
      </c>
      <c r="E204" t="s">
        <v>288</v>
      </c>
      <c r="F204" t="s">
        <v>257</v>
      </c>
      <c r="G204" t="s">
        <v>258</v>
      </c>
      <c r="H204" t="s">
        <v>259</v>
      </c>
      <c r="I204" t="s">
        <v>284</v>
      </c>
      <c r="J204" t="s">
        <v>304</v>
      </c>
      <c r="K204" t="s">
        <v>653</v>
      </c>
      <c r="L204" t="s">
        <v>245</v>
      </c>
      <c r="M204" t="s">
        <v>246</v>
      </c>
      <c r="N204" t="s">
        <v>263</v>
      </c>
      <c r="O204">
        <v>41603</v>
      </c>
      <c r="P204">
        <v>3.5</v>
      </c>
      <c r="Q204">
        <v>5.74</v>
      </c>
      <c r="R204">
        <f t="shared" si="19"/>
        <v>2.2400000000000002</v>
      </c>
      <c r="S204">
        <v>27</v>
      </c>
      <c r="T204">
        <f t="shared" si="20"/>
        <v>154.98000000000002</v>
      </c>
      <c r="U204">
        <v>0.08</v>
      </c>
      <c r="V204">
        <f t="shared" si="21"/>
        <v>12.398400000000002</v>
      </c>
      <c r="W204">
        <f t="shared" si="22"/>
        <v>142.58160000000001</v>
      </c>
      <c r="X204">
        <v>5.01</v>
      </c>
      <c r="Y204">
        <f t="shared" si="23"/>
        <v>147.5916</v>
      </c>
    </row>
    <row r="205" spans="1:25" x14ac:dyDescent="0.25">
      <c r="A205" t="s">
        <v>839</v>
      </c>
      <c r="B205">
        <v>41605</v>
      </c>
      <c r="C205" t="str">
        <f t="shared" si="18"/>
        <v>2013</v>
      </c>
      <c r="D205" t="s">
        <v>840</v>
      </c>
      <c r="E205" t="s">
        <v>633</v>
      </c>
      <c r="F205" t="s">
        <v>239</v>
      </c>
      <c r="G205" t="s">
        <v>240</v>
      </c>
      <c r="H205" t="s">
        <v>274</v>
      </c>
      <c r="I205" t="s">
        <v>242</v>
      </c>
      <c r="J205" t="s">
        <v>261</v>
      </c>
      <c r="K205" t="s">
        <v>343</v>
      </c>
      <c r="L205" t="s">
        <v>268</v>
      </c>
      <c r="M205" t="s">
        <v>246</v>
      </c>
      <c r="N205" t="s">
        <v>247</v>
      </c>
      <c r="O205">
        <v>41607</v>
      </c>
      <c r="P205">
        <v>81.59</v>
      </c>
      <c r="Q205">
        <v>159.99</v>
      </c>
      <c r="R205">
        <f t="shared" si="19"/>
        <v>78.400000000000006</v>
      </c>
      <c r="S205">
        <v>50</v>
      </c>
      <c r="T205">
        <f t="shared" si="20"/>
        <v>7999.5</v>
      </c>
      <c r="U205">
        <v>0.05</v>
      </c>
      <c r="V205">
        <f t="shared" si="21"/>
        <v>399.97500000000002</v>
      </c>
      <c r="W205">
        <f t="shared" si="22"/>
        <v>7599.5249999999996</v>
      </c>
      <c r="X205">
        <v>5.5</v>
      </c>
      <c r="Y205">
        <f t="shared" si="23"/>
        <v>7605.0249999999996</v>
      </c>
    </row>
    <row r="206" spans="1:25" x14ac:dyDescent="0.25">
      <c r="A206" t="s">
        <v>841</v>
      </c>
      <c r="B206">
        <v>41607</v>
      </c>
      <c r="C206" t="str">
        <f t="shared" si="18"/>
        <v>2013</v>
      </c>
      <c r="D206" t="s">
        <v>842</v>
      </c>
      <c r="E206" t="s">
        <v>292</v>
      </c>
      <c r="F206" t="s">
        <v>257</v>
      </c>
      <c r="G206" t="s">
        <v>258</v>
      </c>
      <c r="H206" t="s">
        <v>259</v>
      </c>
      <c r="I206" t="s">
        <v>260</v>
      </c>
      <c r="J206" t="s">
        <v>243</v>
      </c>
      <c r="K206" t="s">
        <v>621</v>
      </c>
      <c r="L206" t="s">
        <v>268</v>
      </c>
      <c r="M206" t="s">
        <v>269</v>
      </c>
      <c r="N206" t="s">
        <v>270</v>
      </c>
      <c r="O206">
        <v>41609</v>
      </c>
      <c r="P206">
        <v>76.790000000000006</v>
      </c>
      <c r="Q206">
        <v>119.99</v>
      </c>
      <c r="R206">
        <f t="shared" si="19"/>
        <v>43.199999999999989</v>
      </c>
      <c r="S206">
        <v>8</v>
      </c>
      <c r="T206">
        <f t="shared" si="20"/>
        <v>959.92</v>
      </c>
      <c r="U206">
        <v>0.09</v>
      </c>
      <c r="V206">
        <f t="shared" si="21"/>
        <v>86.392799999999994</v>
      </c>
      <c r="W206">
        <f t="shared" si="22"/>
        <v>873.52719999999999</v>
      </c>
      <c r="X206">
        <v>14</v>
      </c>
      <c r="Y206">
        <f t="shared" si="23"/>
        <v>887.52719999999999</v>
      </c>
    </row>
    <row r="207" spans="1:25" x14ac:dyDescent="0.25">
      <c r="A207" t="s">
        <v>843</v>
      </c>
      <c r="B207">
        <v>41613</v>
      </c>
      <c r="C207" t="str">
        <f t="shared" si="18"/>
        <v>2013</v>
      </c>
      <c r="D207" t="s">
        <v>844</v>
      </c>
      <c r="E207" t="s">
        <v>528</v>
      </c>
      <c r="F207" t="s">
        <v>239</v>
      </c>
      <c r="G207" t="s">
        <v>240</v>
      </c>
      <c r="H207" t="s">
        <v>293</v>
      </c>
      <c r="I207" t="s">
        <v>251</v>
      </c>
      <c r="J207" t="s">
        <v>294</v>
      </c>
      <c r="K207" t="s">
        <v>786</v>
      </c>
      <c r="L207" t="s">
        <v>245</v>
      </c>
      <c r="M207" t="s">
        <v>323</v>
      </c>
      <c r="N207" t="s">
        <v>263</v>
      </c>
      <c r="O207">
        <v>41615</v>
      </c>
      <c r="P207">
        <v>16.8</v>
      </c>
      <c r="Q207">
        <v>40.97</v>
      </c>
      <c r="R207">
        <f t="shared" si="19"/>
        <v>24.169999999999998</v>
      </c>
      <c r="S207">
        <v>49</v>
      </c>
      <c r="T207">
        <f t="shared" si="20"/>
        <v>2007.53</v>
      </c>
      <c r="U207">
        <v>0.09</v>
      </c>
      <c r="V207">
        <f t="shared" si="21"/>
        <v>180.67769999999999</v>
      </c>
      <c r="W207">
        <f t="shared" si="22"/>
        <v>1826.8523</v>
      </c>
      <c r="X207">
        <v>8.99</v>
      </c>
      <c r="Y207">
        <f t="shared" si="23"/>
        <v>1835.8423</v>
      </c>
    </row>
    <row r="208" spans="1:25" x14ac:dyDescent="0.25">
      <c r="A208" t="s">
        <v>845</v>
      </c>
      <c r="B208">
        <v>41616</v>
      </c>
      <c r="C208" t="str">
        <f t="shared" si="18"/>
        <v>2013</v>
      </c>
      <c r="D208" t="s">
        <v>846</v>
      </c>
      <c r="E208" t="s">
        <v>396</v>
      </c>
      <c r="F208" t="s">
        <v>257</v>
      </c>
      <c r="G208" t="s">
        <v>258</v>
      </c>
      <c r="H208" t="s">
        <v>241</v>
      </c>
      <c r="I208" t="s">
        <v>372</v>
      </c>
      <c r="J208" t="s">
        <v>279</v>
      </c>
      <c r="K208" t="s">
        <v>529</v>
      </c>
      <c r="L208" t="s">
        <v>245</v>
      </c>
      <c r="M208" t="s">
        <v>253</v>
      </c>
      <c r="N208" t="s">
        <v>247</v>
      </c>
      <c r="O208">
        <v>41623</v>
      </c>
      <c r="P208">
        <v>1.6</v>
      </c>
      <c r="Q208">
        <v>2.62</v>
      </c>
      <c r="R208">
        <f t="shared" si="19"/>
        <v>1.02</v>
      </c>
      <c r="S208">
        <v>47</v>
      </c>
      <c r="T208">
        <f t="shared" si="20"/>
        <v>123.14</v>
      </c>
      <c r="U208">
        <v>0.1</v>
      </c>
      <c r="V208">
        <f t="shared" si="21"/>
        <v>12.314</v>
      </c>
      <c r="W208">
        <f t="shared" si="22"/>
        <v>110.82599999999999</v>
      </c>
      <c r="X208">
        <v>0.8</v>
      </c>
      <c r="Y208">
        <f t="shared" si="23"/>
        <v>111.62599999999999</v>
      </c>
    </row>
    <row r="209" spans="1:25" x14ac:dyDescent="0.25">
      <c r="A209" t="s">
        <v>847</v>
      </c>
      <c r="B209">
        <v>41616</v>
      </c>
      <c r="C209" t="str">
        <f t="shared" si="18"/>
        <v>2013</v>
      </c>
      <c r="D209" t="s">
        <v>848</v>
      </c>
      <c r="E209" t="s">
        <v>402</v>
      </c>
      <c r="F209" t="s">
        <v>257</v>
      </c>
      <c r="G209" t="s">
        <v>258</v>
      </c>
      <c r="H209" t="s">
        <v>241</v>
      </c>
      <c r="I209" t="s">
        <v>333</v>
      </c>
      <c r="J209" t="s">
        <v>304</v>
      </c>
      <c r="K209" t="s">
        <v>849</v>
      </c>
      <c r="L209" t="s">
        <v>245</v>
      </c>
      <c r="M209" t="s">
        <v>253</v>
      </c>
      <c r="N209" t="s">
        <v>247</v>
      </c>
      <c r="O209">
        <v>41616</v>
      </c>
      <c r="P209">
        <v>0.93</v>
      </c>
      <c r="Q209">
        <v>1.6</v>
      </c>
      <c r="R209">
        <f t="shared" si="19"/>
        <v>0.67</v>
      </c>
      <c r="S209">
        <v>25</v>
      </c>
      <c r="T209">
        <f t="shared" si="20"/>
        <v>40</v>
      </c>
      <c r="U209">
        <v>0.1</v>
      </c>
      <c r="V209">
        <f t="shared" si="21"/>
        <v>4</v>
      </c>
      <c r="W209">
        <f t="shared" si="22"/>
        <v>36</v>
      </c>
      <c r="X209">
        <v>1.29</v>
      </c>
      <c r="Y209">
        <f t="shared" si="23"/>
        <v>37.29</v>
      </c>
    </row>
    <row r="210" spans="1:25" x14ac:dyDescent="0.25">
      <c r="A210" t="s">
        <v>850</v>
      </c>
      <c r="B210">
        <v>41617</v>
      </c>
      <c r="C210" t="str">
        <f t="shared" si="18"/>
        <v>2013</v>
      </c>
      <c r="D210" t="s">
        <v>778</v>
      </c>
      <c r="E210" t="s">
        <v>767</v>
      </c>
      <c r="F210" t="s">
        <v>257</v>
      </c>
      <c r="G210" t="s">
        <v>258</v>
      </c>
      <c r="H210" t="s">
        <v>259</v>
      </c>
      <c r="I210" t="s">
        <v>260</v>
      </c>
      <c r="J210" t="s">
        <v>261</v>
      </c>
      <c r="K210" t="s">
        <v>582</v>
      </c>
      <c r="L210" t="s">
        <v>245</v>
      </c>
      <c r="M210" t="s">
        <v>253</v>
      </c>
      <c r="N210" t="s">
        <v>247</v>
      </c>
      <c r="O210">
        <v>41617</v>
      </c>
      <c r="P210">
        <v>0.24</v>
      </c>
      <c r="Q210">
        <v>1.26</v>
      </c>
      <c r="R210">
        <f t="shared" si="19"/>
        <v>1.02</v>
      </c>
      <c r="S210">
        <v>9</v>
      </c>
      <c r="T210">
        <f t="shared" si="20"/>
        <v>11.34</v>
      </c>
      <c r="U210">
        <v>0.06</v>
      </c>
      <c r="V210">
        <f t="shared" si="21"/>
        <v>0.6804</v>
      </c>
      <c r="W210">
        <f t="shared" si="22"/>
        <v>10.659599999999999</v>
      </c>
      <c r="X210">
        <v>0.7</v>
      </c>
      <c r="Y210">
        <f t="shared" si="23"/>
        <v>11.359599999999999</v>
      </c>
    </row>
    <row r="211" spans="1:25" x14ac:dyDescent="0.25">
      <c r="A211" t="s">
        <v>851</v>
      </c>
      <c r="B211">
        <v>41618</v>
      </c>
      <c r="C211" t="str">
        <f t="shared" si="18"/>
        <v>2013</v>
      </c>
      <c r="D211" t="s">
        <v>605</v>
      </c>
      <c r="E211" t="s">
        <v>606</v>
      </c>
      <c r="F211" t="s">
        <v>448</v>
      </c>
      <c r="G211" t="s">
        <v>449</v>
      </c>
      <c r="H211" t="s">
        <v>293</v>
      </c>
      <c r="I211" t="s">
        <v>284</v>
      </c>
      <c r="J211" t="s">
        <v>294</v>
      </c>
      <c r="K211" t="s">
        <v>603</v>
      </c>
      <c r="L211" t="s">
        <v>245</v>
      </c>
      <c r="M211" t="s">
        <v>246</v>
      </c>
      <c r="N211" t="s">
        <v>247</v>
      </c>
      <c r="O211">
        <v>41620</v>
      </c>
      <c r="P211">
        <v>3.65</v>
      </c>
      <c r="Q211">
        <v>5.98</v>
      </c>
      <c r="R211">
        <f t="shared" si="19"/>
        <v>2.3300000000000005</v>
      </c>
      <c r="S211">
        <v>25</v>
      </c>
      <c r="T211">
        <f t="shared" si="20"/>
        <v>149.5</v>
      </c>
      <c r="U211">
        <v>0.03</v>
      </c>
      <c r="V211">
        <f t="shared" si="21"/>
        <v>4.4849999999999994</v>
      </c>
      <c r="W211">
        <f t="shared" si="22"/>
        <v>145.01499999999999</v>
      </c>
      <c r="X211">
        <v>1.49</v>
      </c>
      <c r="Y211">
        <f t="shared" si="23"/>
        <v>146.505</v>
      </c>
    </row>
    <row r="212" spans="1:25" x14ac:dyDescent="0.25">
      <c r="A212" t="s">
        <v>852</v>
      </c>
      <c r="B212">
        <v>41619</v>
      </c>
      <c r="C212" t="str">
        <f t="shared" si="18"/>
        <v>2013</v>
      </c>
      <c r="D212" t="s">
        <v>237</v>
      </c>
      <c r="E212" t="s">
        <v>238</v>
      </c>
      <c r="F212" t="s">
        <v>239</v>
      </c>
      <c r="G212" t="s">
        <v>240</v>
      </c>
      <c r="H212" t="s">
        <v>241</v>
      </c>
      <c r="I212" t="s">
        <v>242</v>
      </c>
      <c r="J212" t="s">
        <v>279</v>
      </c>
      <c r="K212" t="s">
        <v>300</v>
      </c>
      <c r="L212" t="s">
        <v>245</v>
      </c>
      <c r="M212" t="s">
        <v>246</v>
      </c>
      <c r="N212" t="s">
        <v>247</v>
      </c>
      <c r="O212">
        <v>41621</v>
      </c>
      <c r="P212">
        <v>5.33</v>
      </c>
      <c r="Q212">
        <v>8.6</v>
      </c>
      <c r="R212">
        <f t="shared" si="19"/>
        <v>3.2699999999999996</v>
      </c>
      <c r="S212">
        <v>6</v>
      </c>
      <c r="T212">
        <f t="shared" si="20"/>
        <v>51.599999999999994</v>
      </c>
      <c r="U212">
        <v>0.04</v>
      </c>
      <c r="V212">
        <f t="shared" si="21"/>
        <v>2.0639999999999996</v>
      </c>
      <c r="W212">
        <f t="shared" si="22"/>
        <v>49.535999999999994</v>
      </c>
      <c r="X212">
        <v>6.19</v>
      </c>
      <c r="Y212">
        <f t="shared" si="23"/>
        <v>55.725999999999992</v>
      </c>
    </row>
    <row r="213" spans="1:25" x14ac:dyDescent="0.25">
      <c r="A213" t="s">
        <v>853</v>
      </c>
      <c r="B213">
        <v>41619</v>
      </c>
      <c r="C213" t="str">
        <f t="shared" si="18"/>
        <v>2013</v>
      </c>
      <c r="D213" t="s">
        <v>237</v>
      </c>
      <c r="E213" t="s">
        <v>238</v>
      </c>
      <c r="F213" t="s">
        <v>239</v>
      </c>
      <c r="G213" t="s">
        <v>240</v>
      </c>
      <c r="H213" t="s">
        <v>241</v>
      </c>
      <c r="I213" t="s">
        <v>242</v>
      </c>
      <c r="J213" t="s">
        <v>279</v>
      </c>
      <c r="K213" t="s">
        <v>468</v>
      </c>
      <c r="L213" t="s">
        <v>245</v>
      </c>
      <c r="M213" t="s">
        <v>253</v>
      </c>
      <c r="N213" t="s">
        <v>247</v>
      </c>
      <c r="O213">
        <v>41623</v>
      </c>
      <c r="P213">
        <v>2.29</v>
      </c>
      <c r="Q213">
        <v>3.58</v>
      </c>
      <c r="R213">
        <f t="shared" si="19"/>
        <v>1.29</v>
      </c>
      <c r="S213">
        <v>30</v>
      </c>
      <c r="T213">
        <f t="shared" si="20"/>
        <v>107.4</v>
      </c>
      <c r="U213">
        <v>0.01</v>
      </c>
      <c r="V213">
        <f t="shared" si="21"/>
        <v>1.0740000000000001</v>
      </c>
      <c r="W213">
        <f t="shared" si="22"/>
        <v>106.32600000000001</v>
      </c>
      <c r="X213">
        <v>1.63</v>
      </c>
      <c r="Y213">
        <f t="shared" si="23"/>
        <v>107.956</v>
      </c>
    </row>
    <row r="214" spans="1:25" x14ac:dyDescent="0.25">
      <c r="A214" t="s">
        <v>854</v>
      </c>
      <c r="B214">
        <v>41619</v>
      </c>
      <c r="C214" t="str">
        <f t="shared" si="18"/>
        <v>2013</v>
      </c>
      <c r="D214" t="s">
        <v>855</v>
      </c>
      <c r="E214" t="s">
        <v>856</v>
      </c>
      <c r="F214" t="s">
        <v>257</v>
      </c>
      <c r="G214" t="s">
        <v>258</v>
      </c>
      <c r="H214" t="s">
        <v>259</v>
      </c>
      <c r="I214" t="s">
        <v>333</v>
      </c>
      <c r="J214" t="s">
        <v>279</v>
      </c>
      <c r="K214" t="s">
        <v>644</v>
      </c>
      <c r="L214" t="s">
        <v>245</v>
      </c>
      <c r="M214" t="s">
        <v>246</v>
      </c>
      <c r="N214" t="s">
        <v>247</v>
      </c>
      <c r="O214">
        <v>41623</v>
      </c>
      <c r="P214">
        <v>18.38</v>
      </c>
      <c r="Q214">
        <v>29.17</v>
      </c>
      <c r="R214">
        <f t="shared" si="19"/>
        <v>10.790000000000003</v>
      </c>
      <c r="S214">
        <v>16</v>
      </c>
      <c r="T214">
        <f t="shared" si="20"/>
        <v>466.72</v>
      </c>
      <c r="U214">
        <v>7.0000000000000007E-2</v>
      </c>
      <c r="V214">
        <f t="shared" si="21"/>
        <v>32.670400000000008</v>
      </c>
      <c r="W214">
        <f t="shared" si="22"/>
        <v>434.0496</v>
      </c>
      <c r="X214">
        <v>6.27</v>
      </c>
      <c r="Y214">
        <f t="shared" si="23"/>
        <v>440.31959999999998</v>
      </c>
    </row>
    <row r="215" spans="1:25" x14ac:dyDescent="0.25">
      <c r="A215" t="s">
        <v>857</v>
      </c>
      <c r="B215">
        <v>41621</v>
      </c>
      <c r="C215" t="str">
        <f t="shared" si="18"/>
        <v>2013</v>
      </c>
      <c r="D215" t="s">
        <v>858</v>
      </c>
      <c r="E215" t="s">
        <v>650</v>
      </c>
      <c r="F215" t="s">
        <v>257</v>
      </c>
      <c r="G215" t="s">
        <v>258</v>
      </c>
      <c r="H215" t="s">
        <v>274</v>
      </c>
      <c r="I215" t="s">
        <v>299</v>
      </c>
      <c r="J215" t="s">
        <v>294</v>
      </c>
      <c r="K215" t="s">
        <v>859</v>
      </c>
      <c r="L215" t="s">
        <v>245</v>
      </c>
      <c r="M215" t="s">
        <v>246</v>
      </c>
      <c r="N215" t="s">
        <v>247</v>
      </c>
      <c r="O215">
        <v>41622</v>
      </c>
      <c r="P215">
        <v>3.75</v>
      </c>
      <c r="Q215">
        <v>5.77</v>
      </c>
      <c r="R215">
        <f t="shared" si="19"/>
        <v>2.0199999999999996</v>
      </c>
      <c r="S215">
        <v>9</v>
      </c>
      <c r="T215">
        <f t="shared" si="20"/>
        <v>51.929999999999993</v>
      </c>
      <c r="U215">
        <v>0</v>
      </c>
      <c r="V215">
        <f t="shared" si="21"/>
        <v>0</v>
      </c>
      <c r="W215">
        <f t="shared" si="22"/>
        <v>51.929999999999993</v>
      </c>
      <c r="X215">
        <v>4.97</v>
      </c>
      <c r="Y215">
        <f t="shared" si="23"/>
        <v>56.899999999999991</v>
      </c>
    </row>
    <row r="216" spans="1:25" x14ac:dyDescent="0.25">
      <c r="A216" t="s">
        <v>860</v>
      </c>
      <c r="B216">
        <v>41621</v>
      </c>
      <c r="C216" t="str">
        <f t="shared" si="18"/>
        <v>2013</v>
      </c>
      <c r="D216" t="s">
        <v>861</v>
      </c>
      <c r="E216" t="s">
        <v>456</v>
      </c>
      <c r="F216" t="s">
        <v>257</v>
      </c>
      <c r="G216" t="s">
        <v>258</v>
      </c>
      <c r="H216" t="s">
        <v>259</v>
      </c>
      <c r="I216" t="s">
        <v>260</v>
      </c>
      <c r="J216" t="s">
        <v>261</v>
      </c>
      <c r="K216" t="s">
        <v>862</v>
      </c>
      <c r="L216" t="s">
        <v>245</v>
      </c>
      <c r="M216" t="s">
        <v>253</v>
      </c>
      <c r="N216" t="s">
        <v>247</v>
      </c>
      <c r="O216">
        <v>41623</v>
      </c>
      <c r="P216">
        <v>1.92</v>
      </c>
      <c r="Q216">
        <v>3.26</v>
      </c>
      <c r="R216">
        <f t="shared" si="19"/>
        <v>1.3399999999999999</v>
      </c>
      <c r="S216">
        <v>6</v>
      </c>
      <c r="T216">
        <f t="shared" si="20"/>
        <v>19.559999999999999</v>
      </c>
      <c r="U216">
        <v>0.01</v>
      </c>
      <c r="V216">
        <f t="shared" si="21"/>
        <v>0.1956</v>
      </c>
      <c r="W216">
        <f t="shared" si="22"/>
        <v>19.3644</v>
      </c>
      <c r="X216">
        <v>1.86</v>
      </c>
      <c r="Y216">
        <f t="shared" si="23"/>
        <v>21.224399999999999</v>
      </c>
    </row>
    <row r="217" spans="1:25" x14ac:dyDescent="0.25">
      <c r="A217" t="s">
        <v>863</v>
      </c>
      <c r="B217">
        <v>41624</v>
      </c>
      <c r="C217" t="str">
        <f t="shared" si="18"/>
        <v>2013</v>
      </c>
      <c r="D217" t="s">
        <v>864</v>
      </c>
      <c r="E217" t="s">
        <v>633</v>
      </c>
      <c r="F217" t="s">
        <v>239</v>
      </c>
      <c r="G217" t="s">
        <v>240</v>
      </c>
      <c r="H217" t="s">
        <v>293</v>
      </c>
      <c r="I217" t="s">
        <v>242</v>
      </c>
      <c r="J217" t="s">
        <v>261</v>
      </c>
      <c r="K217" t="s">
        <v>799</v>
      </c>
      <c r="L217" t="s">
        <v>245</v>
      </c>
      <c r="M217" t="s">
        <v>246</v>
      </c>
      <c r="N217" t="s">
        <v>247</v>
      </c>
      <c r="O217">
        <v>41627</v>
      </c>
      <c r="P217">
        <v>2.29</v>
      </c>
      <c r="Q217">
        <v>3.69</v>
      </c>
      <c r="R217">
        <f t="shared" si="19"/>
        <v>1.4</v>
      </c>
      <c r="S217">
        <v>45</v>
      </c>
      <c r="T217">
        <f t="shared" si="20"/>
        <v>166.05</v>
      </c>
      <c r="U217">
        <v>0.08</v>
      </c>
      <c r="V217">
        <f t="shared" si="21"/>
        <v>13.284000000000001</v>
      </c>
      <c r="W217">
        <f t="shared" si="22"/>
        <v>152.76600000000002</v>
      </c>
      <c r="X217">
        <v>0.5</v>
      </c>
      <c r="Y217">
        <f t="shared" si="23"/>
        <v>153.26600000000002</v>
      </c>
    </row>
    <row r="218" spans="1:25" x14ac:dyDescent="0.25">
      <c r="A218" t="s">
        <v>865</v>
      </c>
      <c r="B218">
        <v>41625</v>
      </c>
      <c r="C218" t="str">
        <f t="shared" si="18"/>
        <v>2013</v>
      </c>
      <c r="D218" t="s">
        <v>866</v>
      </c>
      <c r="E218" t="s">
        <v>380</v>
      </c>
      <c r="F218" t="s">
        <v>257</v>
      </c>
      <c r="G218" t="s">
        <v>258</v>
      </c>
      <c r="H218" t="s">
        <v>259</v>
      </c>
      <c r="I218" t="s">
        <v>381</v>
      </c>
      <c r="J218" t="s">
        <v>261</v>
      </c>
      <c r="K218" t="s">
        <v>300</v>
      </c>
      <c r="L218" t="s">
        <v>245</v>
      </c>
      <c r="M218" t="s">
        <v>246</v>
      </c>
      <c r="N218" t="s">
        <v>247</v>
      </c>
      <c r="O218">
        <v>41627</v>
      </c>
      <c r="P218">
        <v>5.33</v>
      </c>
      <c r="Q218">
        <v>8.6</v>
      </c>
      <c r="R218">
        <f t="shared" si="19"/>
        <v>3.2699999999999996</v>
      </c>
      <c r="S218">
        <v>23</v>
      </c>
      <c r="T218">
        <f t="shared" si="20"/>
        <v>197.79999999999998</v>
      </c>
      <c r="U218">
        <v>0.02</v>
      </c>
      <c r="V218">
        <f t="shared" si="21"/>
        <v>3.956</v>
      </c>
      <c r="W218">
        <f t="shared" si="22"/>
        <v>193.84399999999999</v>
      </c>
      <c r="X218">
        <v>6.19</v>
      </c>
      <c r="Y218">
        <f t="shared" si="23"/>
        <v>200.03399999999999</v>
      </c>
    </row>
    <row r="219" spans="1:25" x14ac:dyDescent="0.25">
      <c r="A219" t="s">
        <v>867</v>
      </c>
      <c r="B219">
        <v>41627</v>
      </c>
      <c r="C219" t="str">
        <f t="shared" si="18"/>
        <v>2013</v>
      </c>
      <c r="D219" t="s">
        <v>484</v>
      </c>
      <c r="E219" t="s">
        <v>238</v>
      </c>
      <c r="F219" t="s">
        <v>239</v>
      </c>
      <c r="G219" t="s">
        <v>240</v>
      </c>
      <c r="H219" t="s">
        <v>274</v>
      </c>
      <c r="I219" t="s">
        <v>242</v>
      </c>
      <c r="J219" t="s">
        <v>243</v>
      </c>
      <c r="K219" t="s">
        <v>714</v>
      </c>
      <c r="L219" t="s">
        <v>268</v>
      </c>
      <c r="M219" t="s">
        <v>246</v>
      </c>
      <c r="N219" t="s">
        <v>247</v>
      </c>
      <c r="O219">
        <v>41629</v>
      </c>
      <c r="P219">
        <v>42.11</v>
      </c>
      <c r="Q219">
        <v>80.98</v>
      </c>
      <c r="R219">
        <f t="shared" si="19"/>
        <v>38.870000000000005</v>
      </c>
      <c r="S219">
        <v>13</v>
      </c>
      <c r="T219">
        <f t="shared" si="20"/>
        <v>1052.74</v>
      </c>
      <c r="U219">
        <v>0.03</v>
      </c>
      <c r="V219">
        <f t="shared" si="21"/>
        <v>31.5822</v>
      </c>
      <c r="W219">
        <f t="shared" si="22"/>
        <v>1021.1578</v>
      </c>
      <c r="X219">
        <v>7.18</v>
      </c>
      <c r="Y219">
        <f t="shared" si="23"/>
        <v>1028.3378</v>
      </c>
    </row>
    <row r="220" spans="1:25" x14ac:dyDescent="0.25">
      <c r="A220" t="s">
        <v>868</v>
      </c>
      <c r="B220">
        <v>41631</v>
      </c>
      <c r="C220" t="str">
        <f t="shared" si="18"/>
        <v>2013</v>
      </c>
      <c r="D220" t="s">
        <v>869</v>
      </c>
      <c r="E220" t="s">
        <v>393</v>
      </c>
      <c r="F220" t="s">
        <v>257</v>
      </c>
      <c r="G220" t="s">
        <v>258</v>
      </c>
      <c r="H220" t="s">
        <v>293</v>
      </c>
      <c r="I220" t="s">
        <v>342</v>
      </c>
      <c r="J220" t="s">
        <v>261</v>
      </c>
      <c r="K220" t="s">
        <v>377</v>
      </c>
      <c r="L220" t="s">
        <v>268</v>
      </c>
      <c r="M220" t="s">
        <v>246</v>
      </c>
      <c r="N220" t="s">
        <v>247</v>
      </c>
      <c r="O220">
        <v>41633</v>
      </c>
      <c r="P220">
        <v>39.64</v>
      </c>
      <c r="Q220">
        <v>152.47999999999999</v>
      </c>
      <c r="R220">
        <f t="shared" si="19"/>
        <v>112.83999999999999</v>
      </c>
      <c r="S220">
        <v>41</v>
      </c>
      <c r="T220">
        <f t="shared" si="20"/>
        <v>6251.6799999999994</v>
      </c>
      <c r="U220">
        <v>7.0000000000000007E-2</v>
      </c>
      <c r="V220">
        <f t="shared" si="21"/>
        <v>437.61759999999998</v>
      </c>
      <c r="W220">
        <f t="shared" si="22"/>
        <v>5814.0623999999998</v>
      </c>
      <c r="X220">
        <v>6.5</v>
      </c>
      <c r="Y220">
        <f t="shared" si="23"/>
        <v>5820.5623999999998</v>
      </c>
    </row>
    <row r="221" spans="1:25" x14ac:dyDescent="0.25">
      <c r="A221" t="s">
        <v>870</v>
      </c>
      <c r="B221">
        <v>41631</v>
      </c>
      <c r="C221" t="str">
        <f t="shared" si="18"/>
        <v>2013</v>
      </c>
      <c r="D221" t="s">
        <v>871</v>
      </c>
      <c r="E221" t="s">
        <v>303</v>
      </c>
      <c r="F221" t="s">
        <v>239</v>
      </c>
      <c r="G221" t="s">
        <v>240</v>
      </c>
      <c r="H221" t="s">
        <v>241</v>
      </c>
      <c r="I221" t="s">
        <v>251</v>
      </c>
      <c r="J221" t="s">
        <v>304</v>
      </c>
      <c r="K221" t="s">
        <v>872</v>
      </c>
      <c r="L221" t="s">
        <v>245</v>
      </c>
      <c r="M221" t="s">
        <v>246</v>
      </c>
      <c r="N221" t="s">
        <v>247</v>
      </c>
      <c r="O221">
        <v>41631</v>
      </c>
      <c r="P221">
        <v>3.14</v>
      </c>
      <c r="Q221">
        <v>4.91</v>
      </c>
      <c r="R221">
        <f t="shared" si="19"/>
        <v>1.77</v>
      </c>
      <c r="S221">
        <v>12</v>
      </c>
      <c r="T221">
        <f t="shared" si="20"/>
        <v>58.92</v>
      </c>
      <c r="U221">
        <v>0.04</v>
      </c>
      <c r="V221">
        <f t="shared" si="21"/>
        <v>2.3568000000000002</v>
      </c>
      <c r="W221">
        <f t="shared" si="22"/>
        <v>56.563200000000002</v>
      </c>
      <c r="X221">
        <v>0.5</v>
      </c>
      <c r="Y221">
        <f t="shared" si="23"/>
        <v>57.063200000000002</v>
      </c>
    </row>
    <row r="222" spans="1:25" x14ac:dyDescent="0.25">
      <c r="A222" t="s">
        <v>873</v>
      </c>
      <c r="B222">
        <v>41635</v>
      </c>
      <c r="C222" t="str">
        <f t="shared" si="18"/>
        <v>2013</v>
      </c>
      <c r="D222" t="s">
        <v>874</v>
      </c>
      <c r="E222" t="s">
        <v>438</v>
      </c>
      <c r="F222" t="s">
        <v>257</v>
      </c>
      <c r="G222" t="s">
        <v>258</v>
      </c>
      <c r="H222" t="s">
        <v>241</v>
      </c>
      <c r="I222" t="s">
        <v>309</v>
      </c>
      <c r="J222" t="s">
        <v>279</v>
      </c>
      <c r="K222" t="s">
        <v>644</v>
      </c>
      <c r="L222" t="s">
        <v>245</v>
      </c>
      <c r="M222" t="s">
        <v>246</v>
      </c>
      <c r="N222" t="s">
        <v>247</v>
      </c>
      <c r="O222">
        <v>41637</v>
      </c>
      <c r="P222">
        <v>18.38</v>
      </c>
      <c r="Q222">
        <v>29.17</v>
      </c>
      <c r="R222">
        <f t="shared" si="19"/>
        <v>10.790000000000003</v>
      </c>
      <c r="S222">
        <v>37</v>
      </c>
      <c r="T222">
        <f t="shared" si="20"/>
        <v>1079.29</v>
      </c>
      <c r="U222">
        <v>0.09</v>
      </c>
      <c r="V222">
        <f t="shared" si="21"/>
        <v>97.136099999999999</v>
      </c>
      <c r="W222">
        <f t="shared" si="22"/>
        <v>982.15390000000002</v>
      </c>
      <c r="X222">
        <v>6.27</v>
      </c>
      <c r="Y222">
        <f t="shared" si="23"/>
        <v>988.4239</v>
      </c>
    </row>
    <row r="223" spans="1:25" x14ac:dyDescent="0.25">
      <c r="A223" t="s">
        <v>875</v>
      </c>
      <c r="B223">
        <v>41637</v>
      </c>
      <c r="C223" t="str">
        <f t="shared" si="18"/>
        <v>2013</v>
      </c>
      <c r="D223" t="s">
        <v>574</v>
      </c>
      <c r="E223" t="s">
        <v>575</v>
      </c>
      <c r="F223" t="s">
        <v>257</v>
      </c>
      <c r="G223" t="s">
        <v>258</v>
      </c>
      <c r="H223" t="s">
        <v>274</v>
      </c>
      <c r="I223" t="s">
        <v>381</v>
      </c>
      <c r="J223" t="s">
        <v>304</v>
      </c>
      <c r="K223" t="s">
        <v>252</v>
      </c>
      <c r="L223" t="s">
        <v>245</v>
      </c>
      <c r="M223" t="s">
        <v>253</v>
      </c>
      <c r="N223" t="s">
        <v>247</v>
      </c>
      <c r="O223">
        <v>41638</v>
      </c>
      <c r="P223">
        <v>2.39</v>
      </c>
      <c r="Q223">
        <v>4.26</v>
      </c>
      <c r="R223">
        <f t="shared" si="19"/>
        <v>1.8699999999999997</v>
      </c>
      <c r="S223">
        <v>26</v>
      </c>
      <c r="T223">
        <f t="shared" si="20"/>
        <v>110.75999999999999</v>
      </c>
      <c r="U223">
        <v>0.1</v>
      </c>
      <c r="V223">
        <f t="shared" si="21"/>
        <v>11.076000000000001</v>
      </c>
      <c r="W223">
        <f t="shared" si="22"/>
        <v>99.683999999999997</v>
      </c>
      <c r="X223">
        <v>1.2</v>
      </c>
      <c r="Y223">
        <f t="shared" si="23"/>
        <v>100.884</v>
      </c>
    </row>
    <row r="224" spans="1:25" x14ac:dyDescent="0.25">
      <c r="A224" t="s">
        <v>876</v>
      </c>
      <c r="B224">
        <v>41637</v>
      </c>
      <c r="C224" t="str">
        <f t="shared" si="18"/>
        <v>2013</v>
      </c>
      <c r="D224" t="s">
        <v>680</v>
      </c>
      <c r="E224" t="s">
        <v>681</v>
      </c>
      <c r="F224" t="s">
        <v>257</v>
      </c>
      <c r="G224" t="s">
        <v>258</v>
      </c>
      <c r="H224" t="s">
        <v>293</v>
      </c>
      <c r="I224" t="s">
        <v>299</v>
      </c>
      <c r="J224" t="s">
        <v>294</v>
      </c>
      <c r="K224" t="s">
        <v>482</v>
      </c>
      <c r="L224" t="s">
        <v>268</v>
      </c>
      <c r="M224" t="s">
        <v>246</v>
      </c>
      <c r="N224" t="s">
        <v>247</v>
      </c>
      <c r="O224">
        <v>41638</v>
      </c>
      <c r="P224">
        <v>60.59</v>
      </c>
      <c r="Q224">
        <v>100.98</v>
      </c>
      <c r="R224">
        <f t="shared" si="19"/>
        <v>40.39</v>
      </c>
      <c r="S224">
        <v>1</v>
      </c>
      <c r="T224">
        <f t="shared" si="20"/>
        <v>100.98</v>
      </c>
      <c r="U224">
        <v>0.1</v>
      </c>
      <c r="V224">
        <f t="shared" si="21"/>
        <v>10.098000000000001</v>
      </c>
      <c r="W224">
        <f t="shared" si="22"/>
        <v>90.882000000000005</v>
      </c>
      <c r="X224">
        <v>7.18</v>
      </c>
      <c r="Y224">
        <f t="shared" si="23"/>
        <v>98.062000000000012</v>
      </c>
    </row>
    <row r="225" spans="1:25" x14ac:dyDescent="0.25">
      <c r="A225" t="s">
        <v>877</v>
      </c>
      <c r="B225">
        <v>41638</v>
      </c>
      <c r="C225" t="str">
        <f t="shared" si="18"/>
        <v>2013</v>
      </c>
      <c r="D225" t="s">
        <v>878</v>
      </c>
      <c r="E225" t="s">
        <v>706</v>
      </c>
      <c r="F225" t="s">
        <v>257</v>
      </c>
      <c r="G225" t="s">
        <v>258</v>
      </c>
      <c r="H225" t="s">
        <v>293</v>
      </c>
      <c r="I225" t="s">
        <v>299</v>
      </c>
      <c r="J225" t="s">
        <v>243</v>
      </c>
      <c r="K225" t="s">
        <v>879</v>
      </c>
      <c r="L225" t="s">
        <v>245</v>
      </c>
      <c r="M225" t="s">
        <v>323</v>
      </c>
      <c r="N225" t="s">
        <v>247</v>
      </c>
      <c r="O225">
        <v>41639</v>
      </c>
      <c r="P225">
        <v>4.0999999999999996</v>
      </c>
      <c r="Q225">
        <v>9.31</v>
      </c>
      <c r="R225">
        <f t="shared" si="19"/>
        <v>5.2100000000000009</v>
      </c>
      <c r="S225">
        <v>18</v>
      </c>
      <c r="T225">
        <f t="shared" si="20"/>
        <v>167.58</v>
      </c>
      <c r="U225">
        <v>0.01</v>
      </c>
      <c r="V225">
        <f t="shared" si="21"/>
        <v>1.6758000000000002</v>
      </c>
      <c r="W225">
        <f t="shared" si="22"/>
        <v>165.9042</v>
      </c>
      <c r="X225">
        <v>3.98</v>
      </c>
      <c r="Y225">
        <f t="shared" si="23"/>
        <v>169.88419999999999</v>
      </c>
    </row>
    <row r="226" spans="1:25" x14ac:dyDescent="0.25">
      <c r="A226" t="s">
        <v>880</v>
      </c>
      <c r="B226">
        <v>41638</v>
      </c>
      <c r="C226" t="str">
        <f t="shared" si="18"/>
        <v>2013</v>
      </c>
      <c r="D226" t="s">
        <v>844</v>
      </c>
      <c r="E226" t="s">
        <v>528</v>
      </c>
      <c r="F226" t="s">
        <v>239</v>
      </c>
      <c r="G226" t="s">
        <v>240</v>
      </c>
      <c r="H226" t="s">
        <v>293</v>
      </c>
      <c r="I226" t="s">
        <v>251</v>
      </c>
      <c r="J226" t="s">
        <v>279</v>
      </c>
      <c r="K226" t="s">
        <v>443</v>
      </c>
      <c r="L226" t="s">
        <v>245</v>
      </c>
      <c r="M226" t="s">
        <v>246</v>
      </c>
      <c r="N226" t="s">
        <v>247</v>
      </c>
      <c r="O226">
        <v>41638</v>
      </c>
      <c r="P226">
        <v>13.64</v>
      </c>
      <c r="Q226">
        <v>20.98</v>
      </c>
      <c r="R226">
        <f t="shared" si="19"/>
        <v>7.34</v>
      </c>
      <c r="S226">
        <v>23</v>
      </c>
      <c r="T226">
        <f t="shared" si="20"/>
        <v>482.54</v>
      </c>
      <c r="U226">
        <v>0.03</v>
      </c>
      <c r="V226">
        <f t="shared" si="21"/>
        <v>14.4762</v>
      </c>
      <c r="W226">
        <f t="shared" si="22"/>
        <v>468.06380000000001</v>
      </c>
      <c r="X226">
        <v>1.49</v>
      </c>
      <c r="Y226">
        <f t="shared" si="23"/>
        <v>469.55380000000002</v>
      </c>
    </row>
    <row r="227" spans="1:25" x14ac:dyDescent="0.25">
      <c r="A227" t="s">
        <v>881</v>
      </c>
      <c r="B227">
        <v>41643</v>
      </c>
      <c r="C227" t="str">
        <f t="shared" si="18"/>
        <v>2014</v>
      </c>
      <c r="D227" t="s">
        <v>882</v>
      </c>
      <c r="E227" t="s">
        <v>816</v>
      </c>
      <c r="F227" t="s">
        <v>257</v>
      </c>
      <c r="G227" t="s">
        <v>258</v>
      </c>
      <c r="H227" t="s">
        <v>274</v>
      </c>
      <c r="I227" t="s">
        <v>492</v>
      </c>
      <c r="J227" t="s">
        <v>261</v>
      </c>
      <c r="K227" t="s">
        <v>244</v>
      </c>
      <c r="L227" t="s">
        <v>245</v>
      </c>
      <c r="M227" t="s">
        <v>246</v>
      </c>
      <c r="N227" t="s">
        <v>247</v>
      </c>
      <c r="O227">
        <v>41645</v>
      </c>
      <c r="P227">
        <v>3.52</v>
      </c>
      <c r="Q227">
        <v>5.58</v>
      </c>
      <c r="R227">
        <f t="shared" si="19"/>
        <v>2.06</v>
      </c>
      <c r="S227">
        <v>49</v>
      </c>
      <c r="T227">
        <f t="shared" si="20"/>
        <v>273.42</v>
      </c>
      <c r="U227">
        <v>0.02</v>
      </c>
      <c r="V227">
        <f t="shared" si="21"/>
        <v>5.4684000000000008</v>
      </c>
      <c r="W227">
        <f t="shared" si="22"/>
        <v>267.95160000000004</v>
      </c>
      <c r="X227">
        <v>2.99</v>
      </c>
      <c r="Y227">
        <f t="shared" si="23"/>
        <v>270.94160000000005</v>
      </c>
    </row>
    <row r="228" spans="1:25" x14ac:dyDescent="0.25">
      <c r="A228" t="s">
        <v>883</v>
      </c>
      <c r="B228">
        <v>41643</v>
      </c>
      <c r="C228" t="str">
        <f t="shared" si="18"/>
        <v>2014</v>
      </c>
      <c r="D228" t="s">
        <v>882</v>
      </c>
      <c r="E228" t="s">
        <v>816</v>
      </c>
      <c r="F228" t="s">
        <v>257</v>
      </c>
      <c r="G228" t="s">
        <v>258</v>
      </c>
      <c r="H228" t="s">
        <v>274</v>
      </c>
      <c r="I228" t="s">
        <v>492</v>
      </c>
      <c r="J228" t="s">
        <v>261</v>
      </c>
      <c r="K228" t="s">
        <v>736</v>
      </c>
      <c r="L228" t="s">
        <v>245</v>
      </c>
      <c r="M228" t="s">
        <v>246</v>
      </c>
      <c r="N228" t="s">
        <v>247</v>
      </c>
      <c r="O228">
        <v>41644</v>
      </c>
      <c r="P228">
        <v>22.18</v>
      </c>
      <c r="Q228">
        <v>54.1</v>
      </c>
      <c r="R228">
        <f t="shared" si="19"/>
        <v>31.92</v>
      </c>
      <c r="S228">
        <v>42</v>
      </c>
      <c r="T228">
        <f t="shared" si="20"/>
        <v>2272.2000000000003</v>
      </c>
      <c r="U228">
        <v>0.02</v>
      </c>
      <c r="V228">
        <f t="shared" si="21"/>
        <v>45.44400000000001</v>
      </c>
      <c r="W228">
        <f t="shared" si="22"/>
        <v>2226.7560000000003</v>
      </c>
      <c r="X228">
        <v>19.989999999999998</v>
      </c>
      <c r="Y228">
        <f t="shared" si="23"/>
        <v>2246.7460000000001</v>
      </c>
    </row>
    <row r="229" spans="1:25" x14ac:dyDescent="0.25">
      <c r="A229" t="s">
        <v>884</v>
      </c>
      <c r="B229">
        <v>41646</v>
      </c>
      <c r="C229" t="str">
        <f t="shared" si="18"/>
        <v>2014</v>
      </c>
      <c r="D229" t="s">
        <v>885</v>
      </c>
      <c r="E229" t="s">
        <v>463</v>
      </c>
      <c r="F229" t="s">
        <v>257</v>
      </c>
      <c r="G229" t="s">
        <v>258</v>
      </c>
      <c r="H229" t="s">
        <v>241</v>
      </c>
      <c r="I229" t="s">
        <v>333</v>
      </c>
      <c r="J229" t="s">
        <v>243</v>
      </c>
      <c r="K229" t="s">
        <v>659</v>
      </c>
      <c r="L229" t="s">
        <v>245</v>
      </c>
      <c r="M229" t="s">
        <v>246</v>
      </c>
      <c r="N229" t="s">
        <v>247</v>
      </c>
      <c r="O229">
        <v>41646</v>
      </c>
      <c r="P229">
        <v>67.73</v>
      </c>
      <c r="Q229">
        <v>165.2</v>
      </c>
      <c r="R229">
        <f t="shared" si="19"/>
        <v>97.469999999999985</v>
      </c>
      <c r="S229">
        <v>49</v>
      </c>
      <c r="T229">
        <f t="shared" si="20"/>
        <v>8094.7999999999993</v>
      </c>
      <c r="U229">
        <v>0.05</v>
      </c>
      <c r="V229">
        <f t="shared" si="21"/>
        <v>404.74</v>
      </c>
      <c r="W229">
        <f t="shared" si="22"/>
        <v>7690.0599999999995</v>
      </c>
      <c r="X229">
        <v>19.989999999999998</v>
      </c>
      <c r="Y229">
        <f t="shared" si="23"/>
        <v>7710.0499999999993</v>
      </c>
    </row>
    <row r="230" spans="1:25" x14ac:dyDescent="0.25">
      <c r="A230" t="s">
        <v>886</v>
      </c>
      <c r="B230">
        <v>41646</v>
      </c>
      <c r="C230" t="str">
        <f t="shared" si="18"/>
        <v>2014</v>
      </c>
      <c r="D230" t="s">
        <v>887</v>
      </c>
      <c r="E230" t="s">
        <v>491</v>
      </c>
      <c r="F230" t="s">
        <v>257</v>
      </c>
      <c r="G230" t="s">
        <v>258</v>
      </c>
      <c r="H230" t="s">
        <v>241</v>
      </c>
      <c r="I230" t="s">
        <v>492</v>
      </c>
      <c r="J230" t="s">
        <v>304</v>
      </c>
      <c r="K230" t="s">
        <v>888</v>
      </c>
      <c r="L230" t="s">
        <v>245</v>
      </c>
      <c r="M230" t="s">
        <v>253</v>
      </c>
      <c r="N230" t="s">
        <v>247</v>
      </c>
      <c r="O230">
        <v>41647</v>
      </c>
      <c r="P230">
        <v>2.31</v>
      </c>
      <c r="Q230">
        <v>3.78</v>
      </c>
      <c r="R230">
        <f t="shared" si="19"/>
        <v>1.4699999999999998</v>
      </c>
      <c r="S230">
        <v>47</v>
      </c>
      <c r="T230">
        <f t="shared" si="20"/>
        <v>177.66</v>
      </c>
      <c r="U230">
        <v>0.02</v>
      </c>
      <c r="V230">
        <f t="shared" si="21"/>
        <v>3.5531999999999999</v>
      </c>
      <c r="W230">
        <f t="shared" si="22"/>
        <v>174.10679999999999</v>
      </c>
      <c r="X230">
        <v>0.71</v>
      </c>
      <c r="Y230">
        <f t="shared" si="23"/>
        <v>174.8168</v>
      </c>
    </row>
    <row r="231" spans="1:25" x14ac:dyDescent="0.25">
      <c r="A231" t="s">
        <v>889</v>
      </c>
      <c r="B231">
        <v>41647</v>
      </c>
      <c r="C231" t="str">
        <f t="shared" si="18"/>
        <v>2014</v>
      </c>
      <c r="D231" t="s">
        <v>890</v>
      </c>
      <c r="E231" t="s">
        <v>380</v>
      </c>
      <c r="F231" t="s">
        <v>257</v>
      </c>
      <c r="G231" t="s">
        <v>258</v>
      </c>
      <c r="H231" t="s">
        <v>293</v>
      </c>
      <c r="I231" t="s">
        <v>381</v>
      </c>
      <c r="J231" t="s">
        <v>279</v>
      </c>
      <c r="K231" t="s">
        <v>421</v>
      </c>
      <c r="L231" t="s">
        <v>245</v>
      </c>
      <c r="M231" t="s">
        <v>246</v>
      </c>
      <c r="N231" t="s">
        <v>247</v>
      </c>
      <c r="O231">
        <v>41654</v>
      </c>
      <c r="P231">
        <v>13.88</v>
      </c>
      <c r="Q231">
        <v>22.38</v>
      </c>
      <c r="R231">
        <f t="shared" si="19"/>
        <v>8.4999999999999982</v>
      </c>
      <c r="S231">
        <v>21</v>
      </c>
      <c r="T231">
        <f t="shared" si="20"/>
        <v>469.97999999999996</v>
      </c>
      <c r="U231">
        <v>0.04</v>
      </c>
      <c r="V231">
        <f t="shared" si="21"/>
        <v>18.799199999999999</v>
      </c>
      <c r="W231">
        <f t="shared" si="22"/>
        <v>451.18079999999998</v>
      </c>
      <c r="X231">
        <v>15.1</v>
      </c>
      <c r="Y231">
        <f t="shared" si="23"/>
        <v>466.2808</v>
      </c>
    </row>
    <row r="232" spans="1:25" x14ac:dyDescent="0.25">
      <c r="A232" t="s">
        <v>891</v>
      </c>
      <c r="B232">
        <v>41647</v>
      </c>
      <c r="C232" t="str">
        <f t="shared" si="18"/>
        <v>2014</v>
      </c>
      <c r="D232" t="s">
        <v>315</v>
      </c>
      <c r="E232" t="s">
        <v>316</v>
      </c>
      <c r="F232" t="s">
        <v>239</v>
      </c>
      <c r="G232" t="s">
        <v>240</v>
      </c>
      <c r="H232" t="s">
        <v>259</v>
      </c>
      <c r="I232" t="s">
        <v>242</v>
      </c>
      <c r="J232" t="s">
        <v>279</v>
      </c>
      <c r="K232" t="s">
        <v>334</v>
      </c>
      <c r="L232" t="s">
        <v>245</v>
      </c>
      <c r="M232" t="s">
        <v>253</v>
      </c>
      <c r="N232" t="s">
        <v>247</v>
      </c>
      <c r="O232">
        <v>41651</v>
      </c>
      <c r="P232">
        <v>1.3</v>
      </c>
      <c r="Q232">
        <v>2.88</v>
      </c>
      <c r="R232">
        <f t="shared" si="19"/>
        <v>1.5799999999999998</v>
      </c>
      <c r="S232">
        <v>46</v>
      </c>
      <c r="T232">
        <f t="shared" si="20"/>
        <v>132.47999999999999</v>
      </c>
      <c r="U232">
        <v>0.04</v>
      </c>
      <c r="V232">
        <f t="shared" si="21"/>
        <v>5.2991999999999999</v>
      </c>
      <c r="W232">
        <f t="shared" si="22"/>
        <v>127.18079999999999</v>
      </c>
      <c r="X232">
        <v>1.01</v>
      </c>
      <c r="Y232">
        <f t="shared" si="23"/>
        <v>128.1908</v>
      </c>
    </row>
    <row r="233" spans="1:25" x14ac:dyDescent="0.25">
      <c r="A233" t="s">
        <v>892</v>
      </c>
      <c r="B233">
        <v>41649</v>
      </c>
      <c r="C233" t="str">
        <f t="shared" si="18"/>
        <v>2014</v>
      </c>
      <c r="D233" t="s">
        <v>893</v>
      </c>
      <c r="E233" t="s">
        <v>507</v>
      </c>
      <c r="F233" t="s">
        <v>257</v>
      </c>
      <c r="G233" t="s">
        <v>258</v>
      </c>
      <c r="H233" t="s">
        <v>241</v>
      </c>
      <c r="I233" t="s">
        <v>342</v>
      </c>
      <c r="J233" t="s">
        <v>304</v>
      </c>
      <c r="K233" t="s">
        <v>533</v>
      </c>
      <c r="L233" t="s">
        <v>245</v>
      </c>
      <c r="M233" t="s">
        <v>246</v>
      </c>
      <c r="N233" t="s">
        <v>263</v>
      </c>
      <c r="O233">
        <v>41649</v>
      </c>
      <c r="P233">
        <v>3.4</v>
      </c>
      <c r="Q233">
        <v>5.4</v>
      </c>
      <c r="R233">
        <f t="shared" si="19"/>
        <v>2.0000000000000004</v>
      </c>
      <c r="S233">
        <v>9</v>
      </c>
      <c r="T233">
        <f t="shared" si="20"/>
        <v>48.6</v>
      </c>
      <c r="U233">
        <v>0.09</v>
      </c>
      <c r="V233">
        <f t="shared" si="21"/>
        <v>4.3739999999999997</v>
      </c>
      <c r="W233">
        <f t="shared" si="22"/>
        <v>44.225999999999999</v>
      </c>
      <c r="X233">
        <v>7.78</v>
      </c>
      <c r="Y233">
        <f t="shared" si="23"/>
        <v>52.006</v>
      </c>
    </row>
    <row r="234" spans="1:25" x14ac:dyDescent="0.25">
      <c r="A234" t="s">
        <v>894</v>
      </c>
      <c r="B234">
        <v>41649</v>
      </c>
      <c r="C234" t="str">
        <f t="shared" si="18"/>
        <v>2014</v>
      </c>
      <c r="D234" t="s">
        <v>893</v>
      </c>
      <c r="E234" t="s">
        <v>507</v>
      </c>
      <c r="F234" t="s">
        <v>257</v>
      </c>
      <c r="G234" t="s">
        <v>258</v>
      </c>
      <c r="H234" t="s">
        <v>241</v>
      </c>
      <c r="I234" t="s">
        <v>342</v>
      </c>
      <c r="J234" t="s">
        <v>304</v>
      </c>
      <c r="K234" t="s">
        <v>353</v>
      </c>
      <c r="L234" t="s">
        <v>245</v>
      </c>
      <c r="M234" t="s">
        <v>323</v>
      </c>
      <c r="N234" t="s">
        <v>247</v>
      </c>
      <c r="O234">
        <v>41650</v>
      </c>
      <c r="P234">
        <v>0.94</v>
      </c>
      <c r="Q234">
        <v>2.08</v>
      </c>
      <c r="R234">
        <f t="shared" si="19"/>
        <v>1.1400000000000001</v>
      </c>
      <c r="S234">
        <v>43</v>
      </c>
      <c r="T234">
        <f t="shared" si="20"/>
        <v>89.44</v>
      </c>
      <c r="U234">
        <v>0.05</v>
      </c>
      <c r="V234">
        <f t="shared" si="21"/>
        <v>4.4720000000000004</v>
      </c>
      <c r="W234">
        <f t="shared" si="22"/>
        <v>84.968000000000004</v>
      </c>
      <c r="X234">
        <v>2.56</v>
      </c>
      <c r="Y234">
        <f t="shared" si="23"/>
        <v>87.528000000000006</v>
      </c>
    </row>
    <row r="235" spans="1:25" x14ac:dyDescent="0.25">
      <c r="A235" t="s">
        <v>895</v>
      </c>
      <c r="B235">
        <v>41649</v>
      </c>
      <c r="C235" t="str">
        <f t="shared" si="18"/>
        <v>2014</v>
      </c>
      <c r="D235" t="s">
        <v>616</v>
      </c>
      <c r="E235" t="s">
        <v>522</v>
      </c>
      <c r="F235" t="s">
        <v>239</v>
      </c>
      <c r="G235" t="s">
        <v>240</v>
      </c>
      <c r="H235" t="s">
        <v>293</v>
      </c>
      <c r="I235" t="s">
        <v>251</v>
      </c>
      <c r="J235" t="s">
        <v>294</v>
      </c>
      <c r="K235" t="s">
        <v>668</v>
      </c>
      <c r="L235" t="s">
        <v>440</v>
      </c>
      <c r="M235" t="s">
        <v>647</v>
      </c>
      <c r="N235" t="s">
        <v>263</v>
      </c>
      <c r="O235">
        <v>41650</v>
      </c>
      <c r="P235">
        <v>56.16</v>
      </c>
      <c r="Q235">
        <v>136.97999999999999</v>
      </c>
      <c r="R235">
        <f t="shared" si="19"/>
        <v>80.819999999999993</v>
      </c>
      <c r="S235">
        <v>18</v>
      </c>
      <c r="T235">
        <f t="shared" si="20"/>
        <v>2465.64</v>
      </c>
      <c r="U235">
        <v>0.02</v>
      </c>
      <c r="V235">
        <f t="shared" si="21"/>
        <v>49.312799999999996</v>
      </c>
      <c r="W235">
        <f t="shared" si="22"/>
        <v>2416.3271999999997</v>
      </c>
      <c r="X235">
        <v>24.49</v>
      </c>
      <c r="Y235">
        <f t="shared" si="23"/>
        <v>2440.8171999999995</v>
      </c>
    </row>
    <row r="236" spans="1:25" x14ac:dyDescent="0.25">
      <c r="A236" t="s">
        <v>896</v>
      </c>
      <c r="B236">
        <v>41652</v>
      </c>
      <c r="C236" t="str">
        <f t="shared" si="18"/>
        <v>2014</v>
      </c>
      <c r="D236" t="s">
        <v>897</v>
      </c>
      <c r="E236" t="s">
        <v>898</v>
      </c>
      <c r="F236" t="s">
        <v>239</v>
      </c>
      <c r="G236" t="s">
        <v>240</v>
      </c>
      <c r="H236" t="s">
        <v>241</v>
      </c>
      <c r="I236" t="s">
        <v>251</v>
      </c>
      <c r="J236" t="s">
        <v>279</v>
      </c>
      <c r="K236" t="s">
        <v>567</v>
      </c>
      <c r="L236" t="s">
        <v>245</v>
      </c>
      <c r="M236" t="s">
        <v>246</v>
      </c>
      <c r="N236" t="s">
        <v>247</v>
      </c>
      <c r="O236">
        <v>41657</v>
      </c>
      <c r="P236">
        <v>21.56</v>
      </c>
      <c r="Q236">
        <v>35.94</v>
      </c>
      <c r="R236">
        <f t="shared" si="19"/>
        <v>14.379999999999999</v>
      </c>
      <c r="S236">
        <v>13</v>
      </c>
      <c r="T236">
        <f t="shared" si="20"/>
        <v>467.21999999999997</v>
      </c>
      <c r="U236">
        <v>0.09</v>
      </c>
      <c r="V236">
        <f t="shared" si="21"/>
        <v>42.049799999999998</v>
      </c>
      <c r="W236">
        <f t="shared" si="22"/>
        <v>425.17019999999997</v>
      </c>
      <c r="X236">
        <v>6.66</v>
      </c>
      <c r="Y236">
        <f t="shared" si="23"/>
        <v>431.83019999999999</v>
      </c>
    </row>
    <row r="237" spans="1:25" x14ac:dyDescent="0.25">
      <c r="A237" t="s">
        <v>899</v>
      </c>
      <c r="B237">
        <v>41653</v>
      </c>
      <c r="C237" t="str">
        <f t="shared" si="18"/>
        <v>2014</v>
      </c>
      <c r="D237" t="s">
        <v>900</v>
      </c>
      <c r="E237" t="s">
        <v>901</v>
      </c>
      <c r="F237" t="s">
        <v>257</v>
      </c>
      <c r="G237" t="s">
        <v>258</v>
      </c>
      <c r="H237" t="s">
        <v>274</v>
      </c>
      <c r="I237" t="s">
        <v>260</v>
      </c>
      <c r="J237" t="s">
        <v>294</v>
      </c>
      <c r="K237" t="s">
        <v>533</v>
      </c>
      <c r="L237" t="s">
        <v>245</v>
      </c>
      <c r="M237" t="s">
        <v>246</v>
      </c>
      <c r="N237" t="s">
        <v>263</v>
      </c>
      <c r="O237">
        <v>41655</v>
      </c>
      <c r="P237">
        <v>3.4</v>
      </c>
      <c r="Q237">
        <v>5.4</v>
      </c>
      <c r="R237">
        <f t="shared" si="19"/>
        <v>2.0000000000000004</v>
      </c>
      <c r="S237">
        <v>14</v>
      </c>
      <c r="T237">
        <f t="shared" si="20"/>
        <v>75.600000000000009</v>
      </c>
      <c r="U237">
        <v>0.09</v>
      </c>
      <c r="V237">
        <f t="shared" si="21"/>
        <v>6.8040000000000003</v>
      </c>
      <c r="W237">
        <f t="shared" si="22"/>
        <v>68.796000000000006</v>
      </c>
      <c r="X237">
        <v>7.78</v>
      </c>
      <c r="Y237">
        <f t="shared" si="23"/>
        <v>76.576000000000008</v>
      </c>
    </row>
    <row r="238" spans="1:25" x14ac:dyDescent="0.25">
      <c r="A238" t="s">
        <v>902</v>
      </c>
      <c r="B238">
        <v>41653</v>
      </c>
      <c r="C238" t="str">
        <f t="shared" si="18"/>
        <v>2014</v>
      </c>
      <c r="D238" t="s">
        <v>722</v>
      </c>
      <c r="E238" t="s">
        <v>256</v>
      </c>
      <c r="F238" t="s">
        <v>257</v>
      </c>
      <c r="G238" t="s">
        <v>258</v>
      </c>
      <c r="H238" t="s">
        <v>241</v>
      </c>
      <c r="I238" t="s">
        <v>260</v>
      </c>
      <c r="J238" t="s">
        <v>294</v>
      </c>
      <c r="K238" t="s">
        <v>614</v>
      </c>
      <c r="L238" t="s">
        <v>245</v>
      </c>
      <c r="M238" t="s">
        <v>253</v>
      </c>
      <c r="N238" t="s">
        <v>247</v>
      </c>
      <c r="O238">
        <v>41656</v>
      </c>
      <c r="P238">
        <v>1.95</v>
      </c>
      <c r="Q238">
        <v>3.98</v>
      </c>
      <c r="R238">
        <f t="shared" si="19"/>
        <v>2.0300000000000002</v>
      </c>
      <c r="S238">
        <v>41</v>
      </c>
      <c r="T238">
        <f t="shared" si="20"/>
        <v>163.18</v>
      </c>
      <c r="U238">
        <v>7.0000000000000007E-2</v>
      </c>
      <c r="V238">
        <f t="shared" si="21"/>
        <v>11.422600000000001</v>
      </c>
      <c r="W238">
        <f t="shared" si="22"/>
        <v>151.75740000000002</v>
      </c>
      <c r="X238">
        <v>0.83</v>
      </c>
      <c r="Y238">
        <f t="shared" si="23"/>
        <v>152.58740000000003</v>
      </c>
    </row>
    <row r="239" spans="1:25" x14ac:dyDescent="0.25">
      <c r="A239" t="s">
        <v>903</v>
      </c>
      <c r="B239">
        <v>41654</v>
      </c>
      <c r="C239" t="str">
        <f t="shared" si="18"/>
        <v>2014</v>
      </c>
      <c r="D239" t="s">
        <v>535</v>
      </c>
      <c r="E239" t="s">
        <v>536</v>
      </c>
      <c r="F239" t="s">
        <v>448</v>
      </c>
      <c r="G239" t="s">
        <v>449</v>
      </c>
      <c r="H239" t="s">
        <v>259</v>
      </c>
      <c r="I239" t="s">
        <v>333</v>
      </c>
      <c r="J239" t="s">
        <v>304</v>
      </c>
      <c r="K239" t="s">
        <v>676</v>
      </c>
      <c r="L239" t="s">
        <v>245</v>
      </c>
      <c r="M239" t="s">
        <v>323</v>
      </c>
      <c r="N239" t="s">
        <v>263</v>
      </c>
      <c r="O239">
        <v>41656</v>
      </c>
      <c r="P239">
        <v>5.19</v>
      </c>
      <c r="Q239">
        <v>12.98</v>
      </c>
      <c r="R239">
        <f t="shared" si="19"/>
        <v>7.79</v>
      </c>
      <c r="S239">
        <v>34</v>
      </c>
      <c r="T239">
        <f t="shared" si="20"/>
        <v>441.32</v>
      </c>
      <c r="U239">
        <v>0.04</v>
      </c>
      <c r="V239">
        <f t="shared" si="21"/>
        <v>17.652799999999999</v>
      </c>
      <c r="W239">
        <f t="shared" si="22"/>
        <v>423.66719999999998</v>
      </c>
      <c r="X239">
        <v>3.14</v>
      </c>
      <c r="Y239">
        <f t="shared" si="23"/>
        <v>426.80719999999997</v>
      </c>
    </row>
    <row r="240" spans="1:25" x14ac:dyDescent="0.25">
      <c r="A240" t="s">
        <v>904</v>
      </c>
      <c r="B240">
        <v>41654</v>
      </c>
      <c r="C240" t="str">
        <f t="shared" si="18"/>
        <v>2014</v>
      </c>
      <c r="D240" t="s">
        <v>905</v>
      </c>
      <c r="E240" t="s">
        <v>500</v>
      </c>
      <c r="F240" t="s">
        <v>257</v>
      </c>
      <c r="G240" t="s">
        <v>258</v>
      </c>
      <c r="H240" t="s">
        <v>241</v>
      </c>
      <c r="I240" t="s">
        <v>275</v>
      </c>
      <c r="J240" t="s">
        <v>304</v>
      </c>
      <c r="K240" t="s">
        <v>906</v>
      </c>
      <c r="L240" t="s">
        <v>268</v>
      </c>
      <c r="M240" t="s">
        <v>269</v>
      </c>
      <c r="N240" t="s">
        <v>270</v>
      </c>
      <c r="O240">
        <v>41656</v>
      </c>
      <c r="P240">
        <v>219.61</v>
      </c>
      <c r="Q240">
        <v>535.64</v>
      </c>
      <c r="R240">
        <f t="shared" si="19"/>
        <v>316.02999999999997</v>
      </c>
      <c r="S240">
        <v>1</v>
      </c>
      <c r="T240">
        <f t="shared" si="20"/>
        <v>535.64</v>
      </c>
      <c r="U240">
        <v>0.05</v>
      </c>
      <c r="V240">
        <f t="shared" si="21"/>
        <v>26.782</v>
      </c>
      <c r="W240">
        <f t="shared" si="22"/>
        <v>508.858</v>
      </c>
      <c r="X240">
        <v>14.7</v>
      </c>
      <c r="Y240">
        <f t="shared" si="23"/>
        <v>523.55799999999999</v>
      </c>
    </row>
    <row r="241" spans="1:25" x14ac:dyDescent="0.25">
      <c r="A241" t="s">
        <v>907</v>
      </c>
      <c r="B241">
        <v>41656</v>
      </c>
      <c r="C241" t="str">
        <f t="shared" si="18"/>
        <v>2014</v>
      </c>
      <c r="D241" t="s">
        <v>908</v>
      </c>
      <c r="E241" t="s">
        <v>909</v>
      </c>
      <c r="F241" t="s">
        <v>448</v>
      </c>
      <c r="G241" t="s">
        <v>449</v>
      </c>
      <c r="H241" t="s">
        <v>241</v>
      </c>
      <c r="I241" t="s">
        <v>333</v>
      </c>
      <c r="J241" t="s">
        <v>261</v>
      </c>
      <c r="K241" t="s">
        <v>460</v>
      </c>
      <c r="L241" t="s">
        <v>245</v>
      </c>
      <c r="M241" t="s">
        <v>246</v>
      </c>
      <c r="N241" t="s">
        <v>247</v>
      </c>
      <c r="O241">
        <v>41658</v>
      </c>
      <c r="P241">
        <v>3.84</v>
      </c>
      <c r="Q241">
        <v>6.3</v>
      </c>
      <c r="R241">
        <f t="shared" si="19"/>
        <v>2.46</v>
      </c>
      <c r="S241">
        <v>32</v>
      </c>
      <c r="T241">
        <f t="shared" si="20"/>
        <v>201.6</v>
      </c>
      <c r="U241">
        <v>0.04</v>
      </c>
      <c r="V241">
        <f t="shared" si="21"/>
        <v>8.0640000000000001</v>
      </c>
      <c r="W241">
        <f t="shared" si="22"/>
        <v>193.536</v>
      </c>
      <c r="X241">
        <v>0.5</v>
      </c>
      <c r="Y241">
        <f t="shared" si="23"/>
        <v>194.036</v>
      </c>
    </row>
    <row r="242" spans="1:25" x14ac:dyDescent="0.25">
      <c r="A242" t="s">
        <v>910</v>
      </c>
      <c r="B242">
        <v>41662</v>
      </c>
      <c r="C242" t="str">
        <f t="shared" si="18"/>
        <v>2014</v>
      </c>
      <c r="D242" t="s">
        <v>911</v>
      </c>
      <c r="E242" t="s">
        <v>912</v>
      </c>
      <c r="F242" t="s">
        <v>257</v>
      </c>
      <c r="G242" t="s">
        <v>258</v>
      </c>
      <c r="H242" t="s">
        <v>241</v>
      </c>
      <c r="I242" t="s">
        <v>372</v>
      </c>
      <c r="J242" t="s">
        <v>294</v>
      </c>
      <c r="K242" t="s">
        <v>656</v>
      </c>
      <c r="L242" t="s">
        <v>245</v>
      </c>
      <c r="M242" t="s">
        <v>253</v>
      </c>
      <c r="N242" t="s">
        <v>247</v>
      </c>
      <c r="O242">
        <v>41664</v>
      </c>
      <c r="P242">
        <v>0.93</v>
      </c>
      <c r="Q242">
        <v>1.48</v>
      </c>
      <c r="R242">
        <f t="shared" si="19"/>
        <v>0.54999999999999993</v>
      </c>
      <c r="S242">
        <v>27</v>
      </c>
      <c r="T242">
        <f t="shared" si="20"/>
        <v>39.96</v>
      </c>
      <c r="U242">
        <v>0</v>
      </c>
      <c r="V242">
        <f t="shared" si="21"/>
        <v>0</v>
      </c>
      <c r="W242">
        <f t="shared" si="22"/>
        <v>39.96</v>
      </c>
      <c r="X242">
        <v>0.7</v>
      </c>
      <c r="Y242">
        <f t="shared" si="23"/>
        <v>40.660000000000004</v>
      </c>
    </row>
    <row r="243" spans="1:25" x14ac:dyDescent="0.25">
      <c r="A243" t="s">
        <v>913</v>
      </c>
      <c r="B243">
        <v>41663</v>
      </c>
      <c r="C243" t="str">
        <f t="shared" si="18"/>
        <v>2014</v>
      </c>
      <c r="D243" t="s">
        <v>914</v>
      </c>
      <c r="E243" t="s">
        <v>428</v>
      </c>
      <c r="F243" t="s">
        <v>257</v>
      </c>
      <c r="G243" t="s">
        <v>258</v>
      </c>
      <c r="H243" t="s">
        <v>259</v>
      </c>
      <c r="I243" t="s">
        <v>333</v>
      </c>
      <c r="J243" t="s">
        <v>243</v>
      </c>
      <c r="K243" t="s">
        <v>621</v>
      </c>
      <c r="L243" t="s">
        <v>268</v>
      </c>
      <c r="M243" t="s">
        <v>269</v>
      </c>
      <c r="N243" t="s">
        <v>270</v>
      </c>
      <c r="O243">
        <v>41665</v>
      </c>
      <c r="P243">
        <v>76.790000000000006</v>
      </c>
      <c r="Q243">
        <v>119.99</v>
      </c>
      <c r="R243">
        <f t="shared" si="19"/>
        <v>43.199999999999989</v>
      </c>
      <c r="S243">
        <v>13</v>
      </c>
      <c r="T243">
        <f t="shared" si="20"/>
        <v>1559.87</v>
      </c>
      <c r="U243">
        <v>0.04</v>
      </c>
      <c r="V243">
        <f t="shared" si="21"/>
        <v>62.394799999999996</v>
      </c>
      <c r="W243">
        <f t="shared" si="22"/>
        <v>1497.4751999999999</v>
      </c>
      <c r="X243">
        <v>14</v>
      </c>
      <c r="Y243">
        <f t="shared" si="23"/>
        <v>1511.4751999999999</v>
      </c>
    </row>
    <row r="244" spans="1:25" x14ac:dyDescent="0.25">
      <c r="A244" t="s">
        <v>915</v>
      </c>
      <c r="B244">
        <v>41664</v>
      </c>
      <c r="C244" t="str">
        <f t="shared" si="18"/>
        <v>2014</v>
      </c>
      <c r="D244" t="s">
        <v>916</v>
      </c>
      <c r="E244" t="s">
        <v>727</v>
      </c>
      <c r="F244" t="s">
        <v>257</v>
      </c>
      <c r="G244" t="s">
        <v>258</v>
      </c>
      <c r="H244" t="s">
        <v>241</v>
      </c>
      <c r="I244" t="s">
        <v>333</v>
      </c>
      <c r="J244" t="s">
        <v>304</v>
      </c>
      <c r="K244" t="s">
        <v>280</v>
      </c>
      <c r="L244" t="s">
        <v>245</v>
      </c>
      <c r="M244" t="s">
        <v>253</v>
      </c>
      <c r="N244" t="s">
        <v>247</v>
      </c>
      <c r="O244">
        <v>41666</v>
      </c>
      <c r="P244">
        <v>1.0900000000000001</v>
      </c>
      <c r="Q244">
        <v>2.6</v>
      </c>
      <c r="R244">
        <f t="shared" si="19"/>
        <v>1.51</v>
      </c>
      <c r="S244">
        <v>27</v>
      </c>
      <c r="T244">
        <f t="shared" si="20"/>
        <v>70.2</v>
      </c>
      <c r="U244">
        <v>0.09</v>
      </c>
      <c r="V244">
        <f t="shared" si="21"/>
        <v>6.3179999999999996</v>
      </c>
      <c r="W244">
        <f t="shared" si="22"/>
        <v>63.882000000000005</v>
      </c>
      <c r="X244">
        <v>2.4</v>
      </c>
      <c r="Y244">
        <f t="shared" si="23"/>
        <v>66.282000000000011</v>
      </c>
    </row>
    <row r="245" spans="1:25" x14ac:dyDescent="0.25">
      <c r="A245" t="s">
        <v>917</v>
      </c>
      <c r="B245">
        <v>41665</v>
      </c>
      <c r="C245" t="str">
        <f t="shared" si="18"/>
        <v>2014</v>
      </c>
      <c r="D245" t="s">
        <v>918</v>
      </c>
      <c r="E245" t="s">
        <v>528</v>
      </c>
      <c r="F245" t="s">
        <v>239</v>
      </c>
      <c r="G245" t="s">
        <v>240</v>
      </c>
      <c r="H245" t="s">
        <v>274</v>
      </c>
      <c r="I245" t="s">
        <v>251</v>
      </c>
      <c r="J245" t="s">
        <v>279</v>
      </c>
      <c r="K245" t="s">
        <v>439</v>
      </c>
      <c r="L245" t="s">
        <v>440</v>
      </c>
      <c r="M245" t="s">
        <v>323</v>
      </c>
      <c r="N245" t="s">
        <v>247</v>
      </c>
      <c r="O245">
        <v>41672</v>
      </c>
      <c r="P245">
        <v>5.5</v>
      </c>
      <c r="Q245">
        <v>12.22</v>
      </c>
      <c r="R245">
        <f t="shared" si="19"/>
        <v>6.7200000000000006</v>
      </c>
      <c r="S245">
        <v>19</v>
      </c>
      <c r="T245">
        <f t="shared" si="20"/>
        <v>232.18</v>
      </c>
      <c r="U245">
        <v>0.09</v>
      </c>
      <c r="V245">
        <f t="shared" si="21"/>
        <v>20.8962</v>
      </c>
      <c r="W245">
        <f t="shared" si="22"/>
        <v>211.28380000000001</v>
      </c>
      <c r="X245">
        <v>2.85</v>
      </c>
      <c r="Y245">
        <f t="shared" si="23"/>
        <v>214.13380000000001</v>
      </c>
    </row>
    <row r="246" spans="1:25" x14ac:dyDescent="0.25">
      <c r="A246" t="s">
        <v>919</v>
      </c>
      <c r="B246">
        <v>41665</v>
      </c>
      <c r="C246" t="str">
        <f t="shared" si="18"/>
        <v>2014</v>
      </c>
      <c r="D246" t="s">
        <v>920</v>
      </c>
      <c r="E246" t="s">
        <v>921</v>
      </c>
      <c r="F246" t="s">
        <v>257</v>
      </c>
      <c r="G246" t="s">
        <v>258</v>
      </c>
      <c r="H246" t="s">
        <v>259</v>
      </c>
      <c r="I246" t="s">
        <v>333</v>
      </c>
      <c r="J246" t="s">
        <v>261</v>
      </c>
      <c r="K246" t="s">
        <v>384</v>
      </c>
      <c r="L246" t="s">
        <v>268</v>
      </c>
      <c r="M246" t="s">
        <v>246</v>
      </c>
      <c r="N246" t="s">
        <v>247</v>
      </c>
      <c r="O246">
        <v>41666</v>
      </c>
      <c r="P246">
        <v>10.07</v>
      </c>
      <c r="Q246">
        <v>15.98</v>
      </c>
      <c r="R246">
        <f t="shared" si="19"/>
        <v>5.91</v>
      </c>
      <c r="S246">
        <v>8</v>
      </c>
      <c r="T246">
        <f t="shared" si="20"/>
        <v>127.84</v>
      </c>
      <c r="U246">
        <v>0.04</v>
      </c>
      <c r="V246">
        <f t="shared" si="21"/>
        <v>5.1135999999999999</v>
      </c>
      <c r="W246">
        <f t="shared" si="22"/>
        <v>122.7264</v>
      </c>
      <c r="X246">
        <v>4</v>
      </c>
      <c r="Y246">
        <f t="shared" si="23"/>
        <v>126.7264</v>
      </c>
    </row>
    <row r="247" spans="1:25" x14ac:dyDescent="0.25">
      <c r="A247" t="s">
        <v>922</v>
      </c>
      <c r="B247">
        <v>41666</v>
      </c>
      <c r="C247" t="str">
        <f t="shared" si="18"/>
        <v>2014</v>
      </c>
      <c r="D247" t="s">
        <v>923</v>
      </c>
      <c r="E247" t="s">
        <v>356</v>
      </c>
      <c r="F247" t="s">
        <v>239</v>
      </c>
      <c r="G247" t="s">
        <v>240</v>
      </c>
      <c r="H247" t="s">
        <v>274</v>
      </c>
      <c r="I247" t="s">
        <v>251</v>
      </c>
      <c r="J247" t="s">
        <v>243</v>
      </c>
      <c r="K247" t="s">
        <v>300</v>
      </c>
      <c r="L247" t="s">
        <v>245</v>
      </c>
      <c r="M247" t="s">
        <v>246</v>
      </c>
      <c r="N247" t="s">
        <v>247</v>
      </c>
      <c r="O247">
        <v>41666</v>
      </c>
      <c r="P247">
        <v>5.33</v>
      </c>
      <c r="Q247">
        <v>8.6</v>
      </c>
      <c r="R247">
        <f t="shared" si="19"/>
        <v>3.2699999999999996</v>
      </c>
      <c r="S247">
        <v>4</v>
      </c>
      <c r="T247">
        <f t="shared" si="20"/>
        <v>34.4</v>
      </c>
      <c r="U247">
        <v>0.04</v>
      </c>
      <c r="V247">
        <f t="shared" si="21"/>
        <v>1.3759999999999999</v>
      </c>
      <c r="W247">
        <f t="shared" si="22"/>
        <v>33.024000000000001</v>
      </c>
      <c r="X247">
        <v>6.19</v>
      </c>
      <c r="Y247">
        <f t="shared" si="23"/>
        <v>39.213999999999999</v>
      </c>
    </row>
    <row r="248" spans="1:25" x14ac:dyDescent="0.25">
      <c r="A248" t="s">
        <v>924</v>
      </c>
      <c r="B248">
        <v>41668</v>
      </c>
      <c r="C248" t="str">
        <f t="shared" si="18"/>
        <v>2014</v>
      </c>
      <c r="D248" t="s">
        <v>925</v>
      </c>
      <c r="E248" t="s">
        <v>298</v>
      </c>
      <c r="F248" t="s">
        <v>257</v>
      </c>
      <c r="G248" t="s">
        <v>258</v>
      </c>
      <c r="H248" t="s">
        <v>293</v>
      </c>
      <c r="I248" t="s">
        <v>299</v>
      </c>
      <c r="J248" t="s">
        <v>243</v>
      </c>
      <c r="K248" t="s">
        <v>295</v>
      </c>
      <c r="L248" t="s">
        <v>245</v>
      </c>
      <c r="M248" t="s">
        <v>246</v>
      </c>
      <c r="N248" t="s">
        <v>247</v>
      </c>
      <c r="O248">
        <v>41671</v>
      </c>
      <c r="P248">
        <v>54.29</v>
      </c>
      <c r="Q248">
        <v>90.48</v>
      </c>
      <c r="R248">
        <f t="shared" si="19"/>
        <v>36.190000000000005</v>
      </c>
      <c r="S248">
        <v>27</v>
      </c>
      <c r="T248">
        <f t="shared" si="20"/>
        <v>2442.96</v>
      </c>
      <c r="U248">
        <v>0</v>
      </c>
      <c r="V248">
        <f t="shared" si="21"/>
        <v>0</v>
      </c>
      <c r="W248">
        <f t="shared" si="22"/>
        <v>2442.96</v>
      </c>
      <c r="X248">
        <v>19.989999999999998</v>
      </c>
      <c r="Y248">
        <f t="shared" si="23"/>
        <v>2462.9499999999998</v>
      </c>
    </row>
    <row r="249" spans="1:25" x14ac:dyDescent="0.25">
      <c r="A249" t="s">
        <v>926</v>
      </c>
      <c r="B249">
        <v>41669</v>
      </c>
      <c r="C249" t="str">
        <f t="shared" si="18"/>
        <v>2014</v>
      </c>
      <c r="D249" t="s">
        <v>927</v>
      </c>
      <c r="E249" t="s">
        <v>928</v>
      </c>
      <c r="F249" t="s">
        <v>257</v>
      </c>
      <c r="G249" t="s">
        <v>258</v>
      </c>
      <c r="H249" t="s">
        <v>259</v>
      </c>
      <c r="I249" t="s">
        <v>284</v>
      </c>
      <c r="J249" t="s">
        <v>261</v>
      </c>
      <c r="K249" t="s">
        <v>443</v>
      </c>
      <c r="L249" t="s">
        <v>245</v>
      </c>
      <c r="M249" t="s">
        <v>246</v>
      </c>
      <c r="N249" t="s">
        <v>247</v>
      </c>
      <c r="O249">
        <v>41671</v>
      </c>
      <c r="P249">
        <v>13.64</v>
      </c>
      <c r="Q249">
        <v>20.98</v>
      </c>
      <c r="R249">
        <f t="shared" si="19"/>
        <v>7.34</v>
      </c>
      <c r="S249">
        <v>31</v>
      </c>
      <c r="T249">
        <f t="shared" si="20"/>
        <v>650.38</v>
      </c>
      <c r="U249">
        <v>0.09</v>
      </c>
      <c r="V249">
        <f t="shared" si="21"/>
        <v>58.534199999999998</v>
      </c>
      <c r="W249">
        <f t="shared" si="22"/>
        <v>591.84580000000005</v>
      </c>
      <c r="X249">
        <v>1.49</v>
      </c>
      <c r="Y249">
        <f t="shared" si="23"/>
        <v>593.33580000000006</v>
      </c>
    </row>
    <row r="250" spans="1:25" x14ac:dyDescent="0.25">
      <c r="A250" t="s">
        <v>929</v>
      </c>
      <c r="B250">
        <v>41669</v>
      </c>
      <c r="C250" t="str">
        <f t="shared" si="18"/>
        <v>2014</v>
      </c>
      <c r="D250" t="s">
        <v>930</v>
      </c>
      <c r="E250" t="s">
        <v>643</v>
      </c>
      <c r="F250" t="s">
        <v>257</v>
      </c>
      <c r="G250" t="s">
        <v>258</v>
      </c>
      <c r="H250" t="s">
        <v>293</v>
      </c>
      <c r="I250" t="s">
        <v>342</v>
      </c>
      <c r="J250" t="s">
        <v>304</v>
      </c>
      <c r="K250" t="s">
        <v>485</v>
      </c>
      <c r="L250" t="s">
        <v>245</v>
      </c>
      <c r="M250" t="s">
        <v>253</v>
      </c>
      <c r="N250" t="s">
        <v>247</v>
      </c>
      <c r="O250">
        <v>41671</v>
      </c>
      <c r="P250">
        <v>3.48</v>
      </c>
      <c r="Q250">
        <v>5.43</v>
      </c>
      <c r="R250">
        <f t="shared" si="19"/>
        <v>1.9499999999999997</v>
      </c>
      <c r="S250">
        <v>2</v>
      </c>
      <c r="T250">
        <f t="shared" si="20"/>
        <v>10.86</v>
      </c>
      <c r="U250">
        <v>0.1</v>
      </c>
      <c r="V250">
        <f t="shared" si="21"/>
        <v>1.0860000000000001</v>
      </c>
      <c r="W250">
        <f t="shared" si="22"/>
        <v>9.7739999999999991</v>
      </c>
      <c r="X250">
        <v>0.95</v>
      </c>
      <c r="Y250">
        <f t="shared" si="23"/>
        <v>10.723999999999998</v>
      </c>
    </row>
    <row r="251" spans="1:25" x14ac:dyDescent="0.25">
      <c r="A251" t="s">
        <v>931</v>
      </c>
      <c r="B251">
        <v>41672</v>
      </c>
      <c r="C251" t="str">
        <f t="shared" si="18"/>
        <v>2014</v>
      </c>
      <c r="D251" t="s">
        <v>932</v>
      </c>
      <c r="E251" t="s">
        <v>637</v>
      </c>
      <c r="F251" t="s">
        <v>239</v>
      </c>
      <c r="G251" t="s">
        <v>240</v>
      </c>
      <c r="H251" t="s">
        <v>293</v>
      </c>
      <c r="I251" t="s">
        <v>251</v>
      </c>
      <c r="J251" t="s">
        <v>279</v>
      </c>
      <c r="K251" t="s">
        <v>472</v>
      </c>
      <c r="L251" t="s">
        <v>245</v>
      </c>
      <c r="M251" t="s">
        <v>246</v>
      </c>
      <c r="N251" t="s">
        <v>247</v>
      </c>
      <c r="O251">
        <v>41677</v>
      </c>
      <c r="P251">
        <v>2.25</v>
      </c>
      <c r="Q251">
        <v>3.69</v>
      </c>
      <c r="R251">
        <f t="shared" si="19"/>
        <v>1.44</v>
      </c>
      <c r="S251">
        <v>20</v>
      </c>
      <c r="T251">
        <f t="shared" si="20"/>
        <v>73.8</v>
      </c>
      <c r="U251">
        <v>0.08</v>
      </c>
      <c r="V251">
        <f t="shared" si="21"/>
        <v>5.9039999999999999</v>
      </c>
      <c r="W251">
        <f t="shared" si="22"/>
        <v>67.896000000000001</v>
      </c>
      <c r="X251">
        <v>2.5</v>
      </c>
      <c r="Y251">
        <f t="shared" si="23"/>
        <v>70.396000000000001</v>
      </c>
    </row>
    <row r="252" spans="1:25" x14ac:dyDescent="0.25">
      <c r="A252" t="s">
        <v>933</v>
      </c>
      <c r="B252">
        <v>41673</v>
      </c>
      <c r="C252" t="str">
        <f t="shared" si="18"/>
        <v>2014</v>
      </c>
      <c r="D252" t="s">
        <v>934</v>
      </c>
      <c r="E252" t="s">
        <v>620</v>
      </c>
      <c r="F252" t="s">
        <v>257</v>
      </c>
      <c r="G252" t="s">
        <v>258</v>
      </c>
      <c r="H252" t="s">
        <v>293</v>
      </c>
      <c r="I252" t="s">
        <v>275</v>
      </c>
      <c r="J252" t="s">
        <v>261</v>
      </c>
      <c r="K252" t="s">
        <v>586</v>
      </c>
      <c r="L252" t="s">
        <v>268</v>
      </c>
      <c r="M252" t="s">
        <v>246</v>
      </c>
      <c r="N252" t="s">
        <v>247</v>
      </c>
      <c r="O252">
        <v>41674</v>
      </c>
      <c r="P252">
        <v>54.52</v>
      </c>
      <c r="Q252">
        <v>100.97</v>
      </c>
      <c r="R252">
        <f t="shared" si="19"/>
        <v>46.449999999999996</v>
      </c>
      <c r="S252">
        <v>15</v>
      </c>
      <c r="T252">
        <f t="shared" si="20"/>
        <v>1514.55</v>
      </c>
      <c r="U252">
        <v>0.08</v>
      </c>
      <c r="V252">
        <f t="shared" si="21"/>
        <v>121.164</v>
      </c>
      <c r="W252">
        <f t="shared" si="22"/>
        <v>1393.386</v>
      </c>
      <c r="X252">
        <v>7.18</v>
      </c>
      <c r="Y252">
        <f t="shared" si="23"/>
        <v>1400.566</v>
      </c>
    </row>
    <row r="253" spans="1:25" x14ac:dyDescent="0.25">
      <c r="A253" t="s">
        <v>935</v>
      </c>
      <c r="B253">
        <v>41675</v>
      </c>
      <c r="C253" t="str">
        <f t="shared" si="18"/>
        <v>2014</v>
      </c>
      <c r="D253" t="s">
        <v>805</v>
      </c>
      <c r="E253" t="s">
        <v>806</v>
      </c>
      <c r="F253" t="s">
        <v>257</v>
      </c>
      <c r="G253" t="s">
        <v>258</v>
      </c>
      <c r="H253" t="s">
        <v>293</v>
      </c>
      <c r="I253" t="s">
        <v>299</v>
      </c>
      <c r="J253" t="s">
        <v>304</v>
      </c>
      <c r="K253" t="s">
        <v>594</v>
      </c>
      <c r="L253" t="s">
        <v>268</v>
      </c>
      <c r="M253" t="s">
        <v>269</v>
      </c>
      <c r="N253" t="s">
        <v>270</v>
      </c>
      <c r="O253">
        <v>41676</v>
      </c>
      <c r="P253">
        <v>278.99</v>
      </c>
      <c r="Q253">
        <v>449.99</v>
      </c>
      <c r="R253">
        <f t="shared" si="19"/>
        <v>171</v>
      </c>
      <c r="S253">
        <v>39</v>
      </c>
      <c r="T253">
        <f t="shared" si="20"/>
        <v>17549.61</v>
      </c>
      <c r="U253">
        <v>0.08</v>
      </c>
      <c r="V253">
        <f t="shared" si="21"/>
        <v>1403.9688000000001</v>
      </c>
      <c r="W253">
        <f t="shared" si="22"/>
        <v>16145.6412</v>
      </c>
      <c r="X253">
        <v>49</v>
      </c>
      <c r="Y253">
        <f t="shared" si="23"/>
        <v>16194.6412</v>
      </c>
    </row>
    <row r="254" spans="1:25" x14ac:dyDescent="0.25">
      <c r="A254" t="s">
        <v>936</v>
      </c>
      <c r="B254">
        <v>41677</v>
      </c>
      <c r="C254" t="str">
        <f t="shared" si="18"/>
        <v>2014</v>
      </c>
      <c r="D254" t="s">
        <v>937</v>
      </c>
      <c r="E254" t="s">
        <v>938</v>
      </c>
      <c r="F254" t="s">
        <v>239</v>
      </c>
      <c r="G254" t="s">
        <v>240</v>
      </c>
      <c r="H254" t="s">
        <v>259</v>
      </c>
      <c r="I254" t="s">
        <v>242</v>
      </c>
      <c r="J254" t="s">
        <v>279</v>
      </c>
      <c r="K254" t="s">
        <v>939</v>
      </c>
      <c r="L254" t="s">
        <v>268</v>
      </c>
      <c r="M254" t="s">
        <v>647</v>
      </c>
      <c r="N254" t="s">
        <v>247</v>
      </c>
      <c r="O254">
        <v>41686</v>
      </c>
      <c r="P254">
        <v>377.99</v>
      </c>
      <c r="Q254">
        <v>599.99</v>
      </c>
      <c r="R254">
        <f t="shared" si="19"/>
        <v>222</v>
      </c>
      <c r="S254">
        <v>48</v>
      </c>
      <c r="T254">
        <f t="shared" si="20"/>
        <v>28799.52</v>
      </c>
      <c r="U254">
        <v>0.08</v>
      </c>
      <c r="V254">
        <f t="shared" si="21"/>
        <v>2303.9616000000001</v>
      </c>
      <c r="W254">
        <f t="shared" si="22"/>
        <v>26495.558400000002</v>
      </c>
      <c r="X254">
        <v>24.49</v>
      </c>
      <c r="Y254">
        <f t="shared" si="23"/>
        <v>26520.048400000003</v>
      </c>
    </row>
    <row r="255" spans="1:25" x14ac:dyDescent="0.25">
      <c r="A255" t="s">
        <v>940</v>
      </c>
      <c r="B255">
        <v>41677</v>
      </c>
      <c r="C255" t="str">
        <f t="shared" si="18"/>
        <v>2014</v>
      </c>
      <c r="D255" t="s">
        <v>937</v>
      </c>
      <c r="E255" t="s">
        <v>938</v>
      </c>
      <c r="F255" t="s">
        <v>239</v>
      </c>
      <c r="G255" t="s">
        <v>240</v>
      </c>
      <c r="H255" t="s">
        <v>259</v>
      </c>
      <c r="I255" t="s">
        <v>242</v>
      </c>
      <c r="J255" t="s">
        <v>279</v>
      </c>
      <c r="K255" t="s">
        <v>941</v>
      </c>
      <c r="L255" t="s">
        <v>245</v>
      </c>
      <c r="M255" t="s">
        <v>253</v>
      </c>
      <c r="N255" t="s">
        <v>263</v>
      </c>
      <c r="O255">
        <v>41682</v>
      </c>
      <c r="P255">
        <v>2.59</v>
      </c>
      <c r="Q255">
        <v>3.98</v>
      </c>
      <c r="R255">
        <f t="shared" si="19"/>
        <v>1.3900000000000001</v>
      </c>
      <c r="S255">
        <v>11</v>
      </c>
      <c r="T255">
        <f t="shared" si="20"/>
        <v>43.78</v>
      </c>
      <c r="U255">
        <v>0.1</v>
      </c>
      <c r="V255">
        <f t="shared" si="21"/>
        <v>4.3780000000000001</v>
      </c>
      <c r="W255">
        <f t="shared" si="22"/>
        <v>39.402000000000001</v>
      </c>
      <c r="X255">
        <v>2.97</v>
      </c>
      <c r="Y255">
        <f t="shared" si="23"/>
        <v>42.372</v>
      </c>
    </row>
    <row r="256" spans="1:25" x14ac:dyDescent="0.25">
      <c r="A256" t="s">
        <v>942</v>
      </c>
      <c r="B256">
        <v>41679</v>
      </c>
      <c r="C256" t="str">
        <f t="shared" si="18"/>
        <v>2014</v>
      </c>
      <c r="D256" t="s">
        <v>943</v>
      </c>
      <c r="E256" t="s">
        <v>944</v>
      </c>
      <c r="F256" t="s">
        <v>257</v>
      </c>
      <c r="G256" t="s">
        <v>258</v>
      </c>
      <c r="H256" t="s">
        <v>259</v>
      </c>
      <c r="I256" t="s">
        <v>333</v>
      </c>
      <c r="J256" t="s">
        <v>279</v>
      </c>
      <c r="K256" t="s">
        <v>634</v>
      </c>
      <c r="L256" t="s">
        <v>245</v>
      </c>
      <c r="M256" t="s">
        <v>246</v>
      </c>
      <c r="N256" t="s">
        <v>247</v>
      </c>
      <c r="O256">
        <v>41683</v>
      </c>
      <c r="P256">
        <v>2.2599999999999998</v>
      </c>
      <c r="Q256">
        <v>3.58</v>
      </c>
      <c r="R256">
        <f t="shared" si="19"/>
        <v>1.3200000000000003</v>
      </c>
      <c r="S256">
        <v>42</v>
      </c>
      <c r="T256">
        <f t="shared" si="20"/>
        <v>150.36000000000001</v>
      </c>
      <c r="U256">
        <v>0.01</v>
      </c>
      <c r="V256">
        <f t="shared" si="21"/>
        <v>1.5036000000000003</v>
      </c>
      <c r="W256">
        <f t="shared" si="22"/>
        <v>148.85640000000001</v>
      </c>
      <c r="X256">
        <v>5.47</v>
      </c>
      <c r="Y256">
        <f t="shared" si="23"/>
        <v>154.32640000000001</v>
      </c>
    </row>
    <row r="257" spans="1:25" x14ac:dyDescent="0.25">
      <c r="A257" t="s">
        <v>945</v>
      </c>
      <c r="B257">
        <v>41680</v>
      </c>
      <c r="C257" t="str">
        <f t="shared" si="18"/>
        <v>2014</v>
      </c>
      <c r="D257" t="s">
        <v>946</v>
      </c>
      <c r="E257" t="s">
        <v>420</v>
      </c>
      <c r="F257" t="s">
        <v>239</v>
      </c>
      <c r="G257" t="s">
        <v>240</v>
      </c>
      <c r="H257" t="s">
        <v>293</v>
      </c>
      <c r="I257" t="s">
        <v>251</v>
      </c>
      <c r="J257" t="s">
        <v>261</v>
      </c>
      <c r="K257" t="s">
        <v>413</v>
      </c>
      <c r="L257" t="s">
        <v>268</v>
      </c>
      <c r="M257" t="s">
        <v>414</v>
      </c>
      <c r="N257" t="s">
        <v>247</v>
      </c>
      <c r="O257">
        <v>41681</v>
      </c>
      <c r="P257">
        <v>8.82</v>
      </c>
      <c r="Q257">
        <v>20.99</v>
      </c>
      <c r="R257">
        <f t="shared" si="19"/>
        <v>12.169999999999998</v>
      </c>
      <c r="S257">
        <v>42</v>
      </c>
      <c r="T257">
        <f t="shared" si="20"/>
        <v>881.57999999999993</v>
      </c>
      <c r="U257">
        <v>7.0000000000000007E-2</v>
      </c>
      <c r="V257">
        <f t="shared" si="21"/>
        <v>61.710599999999999</v>
      </c>
      <c r="W257">
        <f t="shared" si="22"/>
        <v>819.86939999999993</v>
      </c>
      <c r="X257">
        <v>4.8099999999999996</v>
      </c>
      <c r="Y257">
        <f t="shared" si="23"/>
        <v>824.67939999999987</v>
      </c>
    </row>
    <row r="258" spans="1:25" x14ac:dyDescent="0.25">
      <c r="A258" t="s">
        <v>947</v>
      </c>
      <c r="B258">
        <v>41680</v>
      </c>
      <c r="C258" t="str">
        <f t="shared" si="18"/>
        <v>2014</v>
      </c>
      <c r="D258" t="s">
        <v>948</v>
      </c>
      <c r="E258" t="s">
        <v>795</v>
      </c>
      <c r="F258" t="s">
        <v>257</v>
      </c>
      <c r="G258" t="s">
        <v>258</v>
      </c>
      <c r="H258" t="s">
        <v>274</v>
      </c>
      <c r="I258" t="s">
        <v>372</v>
      </c>
      <c r="J258" t="s">
        <v>279</v>
      </c>
      <c r="K258" t="s">
        <v>949</v>
      </c>
      <c r="L258" t="s">
        <v>245</v>
      </c>
      <c r="M258" t="s">
        <v>246</v>
      </c>
      <c r="N258" t="s">
        <v>263</v>
      </c>
      <c r="O258">
        <v>41682</v>
      </c>
      <c r="P258">
        <v>52.07</v>
      </c>
      <c r="Q258">
        <v>83.98</v>
      </c>
      <c r="R258">
        <f t="shared" si="19"/>
        <v>31.910000000000004</v>
      </c>
      <c r="S258">
        <v>9</v>
      </c>
      <c r="T258">
        <f t="shared" si="20"/>
        <v>755.82</v>
      </c>
      <c r="U258">
        <v>0.05</v>
      </c>
      <c r="V258">
        <f t="shared" si="21"/>
        <v>37.791000000000004</v>
      </c>
      <c r="W258">
        <f t="shared" si="22"/>
        <v>718.029</v>
      </c>
      <c r="X258">
        <v>5.01</v>
      </c>
      <c r="Y258">
        <f t="shared" si="23"/>
        <v>723.03899999999999</v>
      </c>
    </row>
    <row r="259" spans="1:25" x14ac:dyDescent="0.25">
      <c r="A259" t="s">
        <v>950</v>
      </c>
      <c r="B259">
        <v>41682</v>
      </c>
      <c r="C259" t="str">
        <f t="shared" si="18"/>
        <v>2014</v>
      </c>
      <c r="D259" t="s">
        <v>951</v>
      </c>
      <c r="E259" t="s">
        <v>424</v>
      </c>
      <c r="F259" t="s">
        <v>257</v>
      </c>
      <c r="G259" t="s">
        <v>258</v>
      </c>
      <c r="H259" t="s">
        <v>241</v>
      </c>
      <c r="I259" t="s">
        <v>299</v>
      </c>
      <c r="J259" t="s">
        <v>243</v>
      </c>
      <c r="K259" t="s">
        <v>594</v>
      </c>
      <c r="L259" t="s">
        <v>268</v>
      </c>
      <c r="M259" t="s">
        <v>647</v>
      </c>
      <c r="N259" t="s">
        <v>247</v>
      </c>
      <c r="O259">
        <v>41683</v>
      </c>
      <c r="P259">
        <v>216</v>
      </c>
      <c r="Q259">
        <v>449.99</v>
      </c>
      <c r="R259">
        <f t="shared" si="19"/>
        <v>233.99</v>
      </c>
      <c r="S259">
        <v>5</v>
      </c>
      <c r="T259">
        <f t="shared" si="20"/>
        <v>2249.9499999999998</v>
      </c>
      <c r="U259">
        <v>0.02</v>
      </c>
      <c r="V259">
        <f t="shared" si="21"/>
        <v>44.998999999999995</v>
      </c>
      <c r="W259">
        <f t="shared" si="22"/>
        <v>2204.951</v>
      </c>
      <c r="X259">
        <v>24.49</v>
      </c>
      <c r="Y259">
        <f t="shared" si="23"/>
        <v>2229.4409999999998</v>
      </c>
    </row>
    <row r="260" spans="1:25" x14ac:dyDescent="0.25">
      <c r="A260" t="s">
        <v>952</v>
      </c>
      <c r="B260">
        <v>41683</v>
      </c>
      <c r="C260" t="str">
        <f t="shared" si="18"/>
        <v>2014</v>
      </c>
      <c r="D260" t="s">
        <v>516</v>
      </c>
      <c r="E260" t="s">
        <v>256</v>
      </c>
      <c r="F260" t="s">
        <v>257</v>
      </c>
      <c r="G260" t="s">
        <v>258</v>
      </c>
      <c r="H260" t="s">
        <v>274</v>
      </c>
      <c r="I260" t="s">
        <v>260</v>
      </c>
      <c r="J260" t="s">
        <v>243</v>
      </c>
      <c r="K260" t="s">
        <v>953</v>
      </c>
      <c r="L260" t="s">
        <v>245</v>
      </c>
      <c r="M260" t="s">
        <v>253</v>
      </c>
      <c r="N260" t="s">
        <v>247</v>
      </c>
      <c r="O260">
        <v>41683</v>
      </c>
      <c r="P260">
        <v>2.16</v>
      </c>
      <c r="Q260">
        <v>3.85</v>
      </c>
      <c r="R260">
        <f t="shared" si="19"/>
        <v>1.69</v>
      </c>
      <c r="S260">
        <v>31</v>
      </c>
      <c r="T260">
        <f t="shared" si="20"/>
        <v>119.35000000000001</v>
      </c>
      <c r="U260">
        <v>0.09</v>
      </c>
      <c r="V260">
        <f t="shared" si="21"/>
        <v>10.7415</v>
      </c>
      <c r="W260">
        <f t="shared" si="22"/>
        <v>108.60850000000001</v>
      </c>
      <c r="X260">
        <v>0.7</v>
      </c>
      <c r="Y260">
        <f t="shared" si="23"/>
        <v>109.30850000000001</v>
      </c>
    </row>
    <row r="261" spans="1:25" x14ac:dyDescent="0.25">
      <c r="A261" t="s">
        <v>954</v>
      </c>
      <c r="B261">
        <v>41685</v>
      </c>
      <c r="C261" t="str">
        <f t="shared" si="18"/>
        <v>2014</v>
      </c>
      <c r="D261" t="s">
        <v>955</v>
      </c>
      <c r="E261" t="s">
        <v>522</v>
      </c>
      <c r="F261" t="s">
        <v>239</v>
      </c>
      <c r="G261" t="s">
        <v>240</v>
      </c>
      <c r="H261" t="s">
        <v>241</v>
      </c>
      <c r="I261" t="s">
        <v>251</v>
      </c>
      <c r="J261" t="s">
        <v>304</v>
      </c>
      <c r="K261" t="s">
        <v>956</v>
      </c>
      <c r="L261" t="s">
        <v>245</v>
      </c>
      <c r="M261" t="s">
        <v>253</v>
      </c>
      <c r="N261" t="s">
        <v>247</v>
      </c>
      <c r="O261">
        <v>41686</v>
      </c>
      <c r="P261">
        <v>1.1499999999999999</v>
      </c>
      <c r="Q261">
        <v>2.67</v>
      </c>
      <c r="R261">
        <f t="shared" si="19"/>
        <v>1.52</v>
      </c>
      <c r="S261">
        <v>19</v>
      </c>
      <c r="T261">
        <f t="shared" si="20"/>
        <v>50.73</v>
      </c>
      <c r="U261">
        <v>0.03</v>
      </c>
      <c r="V261">
        <f t="shared" si="21"/>
        <v>1.5218999999999998</v>
      </c>
      <c r="W261">
        <f t="shared" si="22"/>
        <v>49.208099999999995</v>
      </c>
      <c r="X261">
        <v>0.86</v>
      </c>
      <c r="Y261">
        <f t="shared" si="23"/>
        <v>50.068099999999994</v>
      </c>
    </row>
    <row r="262" spans="1:25" x14ac:dyDescent="0.25">
      <c r="A262" t="s">
        <v>957</v>
      </c>
      <c r="B262">
        <v>41685</v>
      </c>
      <c r="C262" t="str">
        <f t="shared" ref="C262:C325" si="24">TEXT(B262,"yyyy")</f>
        <v>2014</v>
      </c>
      <c r="D262" t="s">
        <v>958</v>
      </c>
      <c r="E262" t="s">
        <v>727</v>
      </c>
      <c r="F262" t="s">
        <v>257</v>
      </c>
      <c r="G262" t="s">
        <v>258</v>
      </c>
      <c r="H262" t="s">
        <v>259</v>
      </c>
      <c r="I262" t="s">
        <v>333</v>
      </c>
      <c r="J262" t="s">
        <v>279</v>
      </c>
      <c r="K262" t="s">
        <v>959</v>
      </c>
      <c r="L262" t="s">
        <v>245</v>
      </c>
      <c r="M262" t="s">
        <v>253</v>
      </c>
      <c r="N262" t="s">
        <v>263</v>
      </c>
      <c r="O262">
        <v>41690</v>
      </c>
      <c r="P262">
        <v>1.57</v>
      </c>
      <c r="Q262">
        <v>3.28</v>
      </c>
      <c r="R262">
        <f t="shared" ref="R262:R325" si="25">Q262-P262</f>
        <v>1.7099999999999997</v>
      </c>
      <c r="S262">
        <v>44</v>
      </c>
      <c r="T262">
        <f t="shared" ref="T262:T325" si="26">Q262*S262</f>
        <v>144.32</v>
      </c>
      <c r="U262">
        <v>0</v>
      </c>
      <c r="V262">
        <f t="shared" ref="V262:V325" si="27">T262*U262</f>
        <v>0</v>
      </c>
      <c r="W262">
        <f t="shared" ref="W262:W325" si="28">T262-V262</f>
        <v>144.32</v>
      </c>
      <c r="X262">
        <v>0.98</v>
      </c>
      <c r="Y262">
        <f t="shared" ref="Y262:Y325" si="29">W262+X262</f>
        <v>145.29999999999998</v>
      </c>
    </row>
    <row r="263" spans="1:25" x14ac:dyDescent="0.25">
      <c r="A263" t="s">
        <v>960</v>
      </c>
      <c r="B263">
        <v>41686</v>
      </c>
      <c r="C263" t="str">
        <f t="shared" si="24"/>
        <v>2014</v>
      </c>
      <c r="D263" t="s">
        <v>961</v>
      </c>
      <c r="E263" t="s">
        <v>303</v>
      </c>
      <c r="F263" t="s">
        <v>239</v>
      </c>
      <c r="G263" t="s">
        <v>240</v>
      </c>
      <c r="H263" t="s">
        <v>259</v>
      </c>
      <c r="I263" t="s">
        <v>242</v>
      </c>
      <c r="J263" t="s">
        <v>243</v>
      </c>
      <c r="K263" t="s">
        <v>413</v>
      </c>
      <c r="L263" t="s">
        <v>268</v>
      </c>
      <c r="M263" t="s">
        <v>414</v>
      </c>
      <c r="N263" t="s">
        <v>247</v>
      </c>
      <c r="O263">
        <v>41688</v>
      </c>
      <c r="P263">
        <v>8.82</v>
      </c>
      <c r="Q263">
        <v>20.99</v>
      </c>
      <c r="R263">
        <f t="shared" si="25"/>
        <v>12.169999999999998</v>
      </c>
      <c r="S263">
        <v>24</v>
      </c>
      <c r="T263">
        <f t="shared" si="26"/>
        <v>503.76</v>
      </c>
      <c r="U263">
        <v>0.01</v>
      </c>
      <c r="V263">
        <f t="shared" si="27"/>
        <v>5.0376000000000003</v>
      </c>
      <c r="W263">
        <f t="shared" si="28"/>
        <v>498.72239999999999</v>
      </c>
      <c r="X263">
        <v>4.8099999999999996</v>
      </c>
      <c r="Y263">
        <f t="shared" si="29"/>
        <v>503.5324</v>
      </c>
    </row>
    <row r="264" spans="1:25" x14ac:dyDescent="0.25">
      <c r="A264" t="s">
        <v>962</v>
      </c>
      <c r="B264">
        <v>41692</v>
      </c>
      <c r="C264" t="str">
        <f t="shared" si="24"/>
        <v>2014</v>
      </c>
      <c r="D264" t="s">
        <v>757</v>
      </c>
      <c r="E264" t="s">
        <v>250</v>
      </c>
      <c r="F264" t="s">
        <v>257</v>
      </c>
      <c r="G264" t="s">
        <v>258</v>
      </c>
      <c r="H264" t="s">
        <v>259</v>
      </c>
      <c r="I264" t="s">
        <v>342</v>
      </c>
      <c r="J264" t="s">
        <v>261</v>
      </c>
      <c r="K264" t="s">
        <v>963</v>
      </c>
      <c r="L264" t="s">
        <v>245</v>
      </c>
      <c r="M264" t="s">
        <v>323</v>
      </c>
      <c r="N264" t="s">
        <v>247</v>
      </c>
      <c r="O264">
        <v>41693</v>
      </c>
      <c r="P264">
        <v>4.1900000000000004</v>
      </c>
      <c r="Q264">
        <v>10.23</v>
      </c>
      <c r="R264">
        <f t="shared" si="25"/>
        <v>6.04</v>
      </c>
      <c r="S264">
        <v>9</v>
      </c>
      <c r="T264">
        <f t="shared" si="26"/>
        <v>92.070000000000007</v>
      </c>
      <c r="U264">
        <v>7.0000000000000007E-2</v>
      </c>
      <c r="V264">
        <f t="shared" si="27"/>
        <v>6.4449000000000014</v>
      </c>
      <c r="W264">
        <f t="shared" si="28"/>
        <v>85.625100000000003</v>
      </c>
      <c r="X264">
        <v>4.68</v>
      </c>
      <c r="Y264">
        <f t="shared" si="29"/>
        <v>90.30510000000001</v>
      </c>
    </row>
    <row r="265" spans="1:25" x14ac:dyDescent="0.25">
      <c r="A265" t="s">
        <v>964</v>
      </c>
      <c r="B265">
        <v>41692</v>
      </c>
      <c r="C265" t="str">
        <f t="shared" si="24"/>
        <v>2014</v>
      </c>
      <c r="D265" t="s">
        <v>965</v>
      </c>
      <c r="E265" t="s">
        <v>633</v>
      </c>
      <c r="F265" t="s">
        <v>239</v>
      </c>
      <c r="G265" t="s">
        <v>240</v>
      </c>
      <c r="H265" t="s">
        <v>274</v>
      </c>
      <c r="I265" t="s">
        <v>242</v>
      </c>
      <c r="J265" t="s">
        <v>243</v>
      </c>
      <c r="K265" t="s">
        <v>656</v>
      </c>
      <c r="L265" t="s">
        <v>245</v>
      </c>
      <c r="M265" t="s">
        <v>253</v>
      </c>
      <c r="N265" t="s">
        <v>247</v>
      </c>
      <c r="O265">
        <v>41693</v>
      </c>
      <c r="P265">
        <v>0.93</v>
      </c>
      <c r="Q265">
        <v>1.48</v>
      </c>
      <c r="R265">
        <f t="shared" si="25"/>
        <v>0.54999999999999993</v>
      </c>
      <c r="S265">
        <v>46</v>
      </c>
      <c r="T265">
        <f t="shared" si="26"/>
        <v>68.08</v>
      </c>
      <c r="U265">
        <v>0</v>
      </c>
      <c r="V265">
        <f t="shared" si="27"/>
        <v>0</v>
      </c>
      <c r="W265">
        <f t="shared" si="28"/>
        <v>68.08</v>
      </c>
      <c r="X265">
        <v>0.7</v>
      </c>
      <c r="Y265">
        <f t="shared" si="29"/>
        <v>68.78</v>
      </c>
    </row>
    <row r="266" spans="1:25" x14ac:dyDescent="0.25">
      <c r="A266" t="s">
        <v>966</v>
      </c>
      <c r="B266">
        <v>41692</v>
      </c>
      <c r="C266" t="str">
        <f t="shared" si="24"/>
        <v>2014</v>
      </c>
      <c r="D266" t="s">
        <v>705</v>
      </c>
      <c r="E266" t="s">
        <v>706</v>
      </c>
      <c r="F266" t="s">
        <v>257</v>
      </c>
      <c r="G266" t="s">
        <v>258</v>
      </c>
      <c r="H266" t="s">
        <v>259</v>
      </c>
      <c r="I266" t="s">
        <v>299</v>
      </c>
      <c r="J266" t="s">
        <v>243</v>
      </c>
      <c r="K266" t="s">
        <v>567</v>
      </c>
      <c r="L266" t="s">
        <v>245</v>
      </c>
      <c r="M266" t="s">
        <v>246</v>
      </c>
      <c r="N266" t="s">
        <v>247</v>
      </c>
      <c r="O266">
        <v>41693</v>
      </c>
      <c r="P266">
        <v>21.56</v>
      </c>
      <c r="Q266">
        <v>35.94</v>
      </c>
      <c r="R266">
        <f t="shared" si="25"/>
        <v>14.379999999999999</v>
      </c>
      <c r="S266">
        <v>13</v>
      </c>
      <c r="T266">
        <f t="shared" si="26"/>
        <v>467.21999999999997</v>
      </c>
      <c r="U266">
        <v>0.03</v>
      </c>
      <c r="V266">
        <f t="shared" si="27"/>
        <v>14.016599999999999</v>
      </c>
      <c r="W266">
        <f t="shared" si="28"/>
        <v>453.20339999999999</v>
      </c>
      <c r="X266">
        <v>6.66</v>
      </c>
      <c r="Y266">
        <f t="shared" si="29"/>
        <v>459.86340000000001</v>
      </c>
    </row>
    <row r="267" spans="1:25" x14ac:dyDescent="0.25">
      <c r="A267" t="s">
        <v>967</v>
      </c>
      <c r="B267">
        <v>41693</v>
      </c>
      <c r="C267" t="str">
        <f t="shared" si="24"/>
        <v>2014</v>
      </c>
      <c r="D267" t="s">
        <v>968</v>
      </c>
      <c r="E267" t="s">
        <v>238</v>
      </c>
      <c r="F267" t="s">
        <v>239</v>
      </c>
      <c r="G267" t="s">
        <v>240</v>
      </c>
      <c r="H267" t="s">
        <v>293</v>
      </c>
      <c r="I267" t="s">
        <v>242</v>
      </c>
      <c r="J267" t="s">
        <v>304</v>
      </c>
      <c r="K267" t="s">
        <v>714</v>
      </c>
      <c r="L267" t="s">
        <v>268</v>
      </c>
      <c r="M267" t="s">
        <v>246</v>
      </c>
      <c r="N267" t="s">
        <v>247</v>
      </c>
      <c r="O267">
        <v>41696</v>
      </c>
      <c r="P267">
        <v>42.11</v>
      </c>
      <c r="Q267">
        <v>80.98</v>
      </c>
      <c r="R267">
        <f t="shared" si="25"/>
        <v>38.870000000000005</v>
      </c>
      <c r="S267">
        <v>45</v>
      </c>
      <c r="T267">
        <f t="shared" si="26"/>
        <v>3644.1000000000004</v>
      </c>
      <c r="U267">
        <v>0</v>
      </c>
      <c r="V267">
        <f t="shared" si="27"/>
        <v>0</v>
      </c>
      <c r="W267">
        <f t="shared" si="28"/>
        <v>3644.1000000000004</v>
      </c>
      <c r="X267">
        <v>7.18</v>
      </c>
      <c r="Y267">
        <f t="shared" si="29"/>
        <v>3651.28</v>
      </c>
    </row>
    <row r="268" spans="1:25" x14ac:dyDescent="0.25">
      <c r="A268" t="s">
        <v>969</v>
      </c>
      <c r="B268">
        <v>41694</v>
      </c>
      <c r="C268" t="str">
        <f t="shared" si="24"/>
        <v>2014</v>
      </c>
      <c r="D268" t="s">
        <v>970</v>
      </c>
      <c r="E268" t="s">
        <v>971</v>
      </c>
      <c r="F268" t="s">
        <v>257</v>
      </c>
      <c r="G268" t="s">
        <v>258</v>
      </c>
      <c r="H268" t="s">
        <v>293</v>
      </c>
      <c r="I268" t="s">
        <v>299</v>
      </c>
      <c r="J268" t="s">
        <v>261</v>
      </c>
      <c r="K268" t="s">
        <v>570</v>
      </c>
      <c r="L268" t="s">
        <v>245</v>
      </c>
      <c r="M268" t="s">
        <v>246</v>
      </c>
      <c r="N268" t="s">
        <v>247</v>
      </c>
      <c r="O268">
        <v>41695</v>
      </c>
      <c r="P268">
        <v>2.74</v>
      </c>
      <c r="Q268">
        <v>4.49</v>
      </c>
      <c r="R268">
        <f t="shared" si="25"/>
        <v>1.75</v>
      </c>
      <c r="S268">
        <v>6</v>
      </c>
      <c r="T268">
        <f t="shared" si="26"/>
        <v>26.94</v>
      </c>
      <c r="U268">
        <v>0.03</v>
      </c>
      <c r="V268">
        <f t="shared" si="27"/>
        <v>0.80820000000000003</v>
      </c>
      <c r="W268">
        <f t="shared" si="28"/>
        <v>26.131800000000002</v>
      </c>
      <c r="X268">
        <v>1.49</v>
      </c>
      <c r="Y268">
        <f t="shared" si="29"/>
        <v>27.6218</v>
      </c>
    </row>
    <row r="269" spans="1:25" x14ac:dyDescent="0.25">
      <c r="A269" t="s">
        <v>972</v>
      </c>
      <c r="B269">
        <v>41694</v>
      </c>
      <c r="C269" t="str">
        <f t="shared" si="24"/>
        <v>2014</v>
      </c>
      <c r="D269" t="s">
        <v>973</v>
      </c>
      <c r="E269" t="s">
        <v>346</v>
      </c>
      <c r="F269" t="s">
        <v>257</v>
      </c>
      <c r="G269" t="s">
        <v>258</v>
      </c>
      <c r="H269" t="s">
        <v>293</v>
      </c>
      <c r="I269" t="s">
        <v>309</v>
      </c>
      <c r="J269" t="s">
        <v>294</v>
      </c>
      <c r="K269" t="s">
        <v>360</v>
      </c>
      <c r="L269" t="s">
        <v>245</v>
      </c>
      <c r="M269" t="s">
        <v>253</v>
      </c>
      <c r="N269" t="s">
        <v>247</v>
      </c>
      <c r="O269">
        <v>41696</v>
      </c>
      <c r="P269">
        <v>2.52</v>
      </c>
      <c r="Q269">
        <v>4</v>
      </c>
      <c r="R269">
        <f t="shared" si="25"/>
        <v>1.48</v>
      </c>
      <c r="S269">
        <v>33</v>
      </c>
      <c r="T269">
        <f t="shared" si="26"/>
        <v>132</v>
      </c>
      <c r="U269">
        <v>0.08</v>
      </c>
      <c r="V269">
        <f t="shared" si="27"/>
        <v>10.56</v>
      </c>
      <c r="W269">
        <f t="shared" si="28"/>
        <v>121.44</v>
      </c>
      <c r="X269">
        <v>1.3</v>
      </c>
      <c r="Y269">
        <f t="shared" si="29"/>
        <v>122.74</v>
      </c>
    </row>
    <row r="270" spans="1:25" x14ac:dyDescent="0.25">
      <c r="A270" t="s">
        <v>974</v>
      </c>
      <c r="B270">
        <v>41695</v>
      </c>
      <c r="C270" t="str">
        <f t="shared" si="24"/>
        <v>2014</v>
      </c>
      <c r="D270" t="s">
        <v>975</v>
      </c>
      <c r="E270" t="s">
        <v>856</v>
      </c>
      <c r="F270" t="s">
        <v>239</v>
      </c>
      <c r="G270" t="s">
        <v>240</v>
      </c>
      <c r="H270" t="s">
        <v>293</v>
      </c>
      <c r="I270" t="s">
        <v>251</v>
      </c>
      <c r="J270" t="s">
        <v>294</v>
      </c>
      <c r="K270" t="s">
        <v>959</v>
      </c>
      <c r="L270" t="s">
        <v>245</v>
      </c>
      <c r="M270" t="s">
        <v>253</v>
      </c>
      <c r="N270" t="s">
        <v>247</v>
      </c>
      <c r="O270">
        <v>41696</v>
      </c>
      <c r="P270">
        <v>1.57</v>
      </c>
      <c r="Q270">
        <v>3.28</v>
      </c>
      <c r="R270">
        <f t="shared" si="25"/>
        <v>1.7099999999999997</v>
      </c>
      <c r="S270">
        <v>26</v>
      </c>
      <c r="T270">
        <f t="shared" si="26"/>
        <v>85.28</v>
      </c>
      <c r="U270">
        <v>0.08</v>
      </c>
      <c r="V270">
        <f t="shared" si="27"/>
        <v>6.8224</v>
      </c>
      <c r="W270">
        <f t="shared" si="28"/>
        <v>78.457599999999999</v>
      </c>
      <c r="X270">
        <v>0.98</v>
      </c>
      <c r="Y270">
        <f t="shared" si="29"/>
        <v>79.437600000000003</v>
      </c>
    </row>
    <row r="271" spans="1:25" x14ac:dyDescent="0.25">
      <c r="A271" t="s">
        <v>976</v>
      </c>
      <c r="B271">
        <v>41695</v>
      </c>
      <c r="C271" t="str">
        <f t="shared" si="24"/>
        <v>2014</v>
      </c>
      <c r="D271" t="s">
        <v>846</v>
      </c>
      <c r="E271" t="s">
        <v>396</v>
      </c>
      <c r="F271" t="s">
        <v>257</v>
      </c>
      <c r="G271" t="s">
        <v>258</v>
      </c>
      <c r="H271" t="s">
        <v>241</v>
      </c>
      <c r="I271" t="s">
        <v>372</v>
      </c>
      <c r="J271" t="s">
        <v>261</v>
      </c>
      <c r="K271" t="s">
        <v>399</v>
      </c>
      <c r="L271" t="s">
        <v>245</v>
      </c>
      <c r="M271" t="s">
        <v>253</v>
      </c>
      <c r="N271" t="s">
        <v>247</v>
      </c>
      <c r="O271">
        <v>41697</v>
      </c>
      <c r="P271">
        <v>3.47</v>
      </c>
      <c r="Q271">
        <v>6.68</v>
      </c>
      <c r="R271">
        <f t="shared" si="25"/>
        <v>3.2099999999999995</v>
      </c>
      <c r="S271">
        <v>33</v>
      </c>
      <c r="T271">
        <f t="shared" si="26"/>
        <v>220.44</v>
      </c>
      <c r="U271">
        <v>0.03</v>
      </c>
      <c r="V271">
        <f t="shared" si="27"/>
        <v>6.6132</v>
      </c>
      <c r="W271">
        <f t="shared" si="28"/>
        <v>213.82679999999999</v>
      </c>
      <c r="X271">
        <v>1.5</v>
      </c>
      <c r="Y271">
        <f t="shared" si="29"/>
        <v>215.32679999999999</v>
      </c>
    </row>
    <row r="272" spans="1:25" x14ac:dyDescent="0.25">
      <c r="A272" t="s">
        <v>977</v>
      </c>
      <c r="B272">
        <v>41698</v>
      </c>
      <c r="C272" t="str">
        <f t="shared" si="24"/>
        <v>2014</v>
      </c>
      <c r="D272" t="s">
        <v>978</v>
      </c>
      <c r="E272" t="s">
        <v>402</v>
      </c>
      <c r="F272" t="s">
        <v>257</v>
      </c>
      <c r="G272" t="s">
        <v>258</v>
      </c>
      <c r="H272" t="s">
        <v>293</v>
      </c>
      <c r="I272" t="s">
        <v>333</v>
      </c>
      <c r="J272" t="s">
        <v>304</v>
      </c>
      <c r="K272" t="s">
        <v>276</v>
      </c>
      <c r="L272" t="s">
        <v>245</v>
      </c>
      <c r="M272" t="s">
        <v>253</v>
      </c>
      <c r="N272" t="s">
        <v>247</v>
      </c>
      <c r="O272">
        <v>41699</v>
      </c>
      <c r="P272">
        <v>0.9</v>
      </c>
      <c r="Q272">
        <v>2.1</v>
      </c>
      <c r="R272">
        <f t="shared" si="25"/>
        <v>1.2000000000000002</v>
      </c>
      <c r="S272">
        <v>21</v>
      </c>
      <c r="T272">
        <f t="shared" si="26"/>
        <v>44.1</v>
      </c>
      <c r="U272">
        <v>0.04</v>
      </c>
      <c r="V272">
        <f t="shared" si="27"/>
        <v>1.764</v>
      </c>
      <c r="W272">
        <f t="shared" si="28"/>
        <v>42.335999999999999</v>
      </c>
      <c r="X272">
        <v>0.7</v>
      </c>
      <c r="Y272">
        <f t="shared" si="29"/>
        <v>43.036000000000001</v>
      </c>
    </row>
    <row r="273" spans="1:25" x14ac:dyDescent="0.25">
      <c r="A273" t="s">
        <v>979</v>
      </c>
      <c r="B273">
        <v>41700</v>
      </c>
      <c r="C273" t="str">
        <f t="shared" si="24"/>
        <v>2014</v>
      </c>
      <c r="D273" t="s">
        <v>980</v>
      </c>
      <c r="E273" t="s">
        <v>928</v>
      </c>
      <c r="F273" t="s">
        <v>257</v>
      </c>
      <c r="G273" t="s">
        <v>258</v>
      </c>
      <c r="H273" t="s">
        <v>241</v>
      </c>
      <c r="I273" t="s">
        <v>284</v>
      </c>
      <c r="J273" t="s">
        <v>304</v>
      </c>
      <c r="K273" t="s">
        <v>644</v>
      </c>
      <c r="L273" t="s">
        <v>245</v>
      </c>
      <c r="M273" t="s">
        <v>246</v>
      </c>
      <c r="N273" t="s">
        <v>247</v>
      </c>
      <c r="O273">
        <v>41701</v>
      </c>
      <c r="P273">
        <v>18.38</v>
      </c>
      <c r="Q273">
        <v>29.17</v>
      </c>
      <c r="R273">
        <f t="shared" si="25"/>
        <v>10.790000000000003</v>
      </c>
      <c r="S273">
        <v>1</v>
      </c>
      <c r="T273">
        <f t="shared" si="26"/>
        <v>29.17</v>
      </c>
      <c r="U273">
        <v>0.02</v>
      </c>
      <c r="V273">
        <f t="shared" si="27"/>
        <v>0.58340000000000003</v>
      </c>
      <c r="W273">
        <f t="shared" si="28"/>
        <v>28.586600000000001</v>
      </c>
      <c r="X273">
        <v>6.27</v>
      </c>
      <c r="Y273">
        <f t="shared" si="29"/>
        <v>34.8566</v>
      </c>
    </row>
    <row r="274" spans="1:25" x14ac:dyDescent="0.25">
      <c r="A274" t="s">
        <v>981</v>
      </c>
      <c r="B274">
        <v>41704</v>
      </c>
      <c r="C274" t="str">
        <f t="shared" si="24"/>
        <v>2014</v>
      </c>
      <c r="D274" t="s">
        <v>982</v>
      </c>
      <c r="E274" t="s">
        <v>367</v>
      </c>
      <c r="F274" t="s">
        <v>239</v>
      </c>
      <c r="G274" t="s">
        <v>240</v>
      </c>
      <c r="H274" t="s">
        <v>293</v>
      </c>
      <c r="I274" t="s">
        <v>251</v>
      </c>
      <c r="J274" t="s">
        <v>261</v>
      </c>
      <c r="K274" t="s">
        <v>607</v>
      </c>
      <c r="L274" t="s">
        <v>245</v>
      </c>
      <c r="M274" t="s">
        <v>246</v>
      </c>
      <c r="N274" t="s">
        <v>247</v>
      </c>
      <c r="O274">
        <v>41705</v>
      </c>
      <c r="P274">
        <v>4.46</v>
      </c>
      <c r="Q274">
        <v>10.89</v>
      </c>
      <c r="R274">
        <f t="shared" si="25"/>
        <v>6.4300000000000006</v>
      </c>
      <c r="S274">
        <v>32</v>
      </c>
      <c r="T274">
        <f t="shared" si="26"/>
        <v>348.48</v>
      </c>
      <c r="U274">
        <v>0.1</v>
      </c>
      <c r="V274">
        <f t="shared" si="27"/>
        <v>34.848000000000006</v>
      </c>
      <c r="W274">
        <f t="shared" si="28"/>
        <v>313.63200000000001</v>
      </c>
      <c r="X274">
        <v>4.5</v>
      </c>
      <c r="Y274">
        <f t="shared" si="29"/>
        <v>318.13200000000001</v>
      </c>
    </row>
    <row r="275" spans="1:25" x14ac:dyDescent="0.25">
      <c r="A275" t="s">
        <v>983</v>
      </c>
      <c r="B275">
        <v>41708</v>
      </c>
      <c r="C275" t="str">
        <f t="shared" si="24"/>
        <v>2014</v>
      </c>
      <c r="D275" t="s">
        <v>984</v>
      </c>
      <c r="E275" t="s">
        <v>928</v>
      </c>
      <c r="F275" t="s">
        <v>257</v>
      </c>
      <c r="G275" t="s">
        <v>258</v>
      </c>
      <c r="H275" t="s">
        <v>259</v>
      </c>
      <c r="I275" t="s">
        <v>284</v>
      </c>
      <c r="J275" t="s">
        <v>294</v>
      </c>
      <c r="K275" t="s">
        <v>617</v>
      </c>
      <c r="L275" t="s">
        <v>245</v>
      </c>
      <c r="M275" t="s">
        <v>246</v>
      </c>
      <c r="N275" t="s">
        <v>247</v>
      </c>
      <c r="O275">
        <v>41709</v>
      </c>
      <c r="P275">
        <v>1.94</v>
      </c>
      <c r="Q275">
        <v>3.08</v>
      </c>
      <c r="R275">
        <f t="shared" si="25"/>
        <v>1.1400000000000001</v>
      </c>
      <c r="S275">
        <v>1</v>
      </c>
      <c r="T275">
        <f t="shared" si="26"/>
        <v>3.08</v>
      </c>
      <c r="U275">
        <v>0.08</v>
      </c>
      <c r="V275">
        <f t="shared" si="27"/>
        <v>0.24640000000000001</v>
      </c>
      <c r="W275">
        <f t="shared" si="28"/>
        <v>2.8336000000000001</v>
      </c>
      <c r="X275">
        <v>0.99</v>
      </c>
      <c r="Y275">
        <f t="shared" si="29"/>
        <v>3.8235999999999999</v>
      </c>
    </row>
    <row r="276" spans="1:25" x14ac:dyDescent="0.25">
      <c r="A276" t="s">
        <v>985</v>
      </c>
      <c r="B276">
        <v>41709</v>
      </c>
      <c r="C276" t="str">
        <f t="shared" si="24"/>
        <v>2014</v>
      </c>
      <c r="D276" t="s">
        <v>477</v>
      </c>
      <c r="E276" t="s">
        <v>478</v>
      </c>
      <c r="F276" t="s">
        <v>257</v>
      </c>
      <c r="G276" t="s">
        <v>258</v>
      </c>
      <c r="H276" t="s">
        <v>259</v>
      </c>
      <c r="I276" t="s">
        <v>275</v>
      </c>
      <c r="J276" t="s">
        <v>304</v>
      </c>
      <c r="K276" t="s">
        <v>986</v>
      </c>
      <c r="L276" t="s">
        <v>245</v>
      </c>
      <c r="M276" t="s">
        <v>246</v>
      </c>
      <c r="N276" t="s">
        <v>247</v>
      </c>
      <c r="O276">
        <v>41710</v>
      </c>
      <c r="P276">
        <v>52.04</v>
      </c>
      <c r="Q276">
        <v>83.93</v>
      </c>
      <c r="R276">
        <f t="shared" si="25"/>
        <v>31.890000000000008</v>
      </c>
      <c r="S276">
        <v>50</v>
      </c>
      <c r="T276">
        <f t="shared" si="26"/>
        <v>4196.5</v>
      </c>
      <c r="U276">
        <v>0.1</v>
      </c>
      <c r="V276">
        <f t="shared" si="27"/>
        <v>419.65000000000003</v>
      </c>
      <c r="W276">
        <f t="shared" si="28"/>
        <v>3776.85</v>
      </c>
      <c r="X276">
        <v>19.989999999999998</v>
      </c>
      <c r="Y276">
        <f t="shared" si="29"/>
        <v>3796.8399999999997</v>
      </c>
    </row>
    <row r="277" spans="1:25" x14ac:dyDescent="0.25">
      <c r="A277" t="s">
        <v>987</v>
      </c>
      <c r="B277">
        <v>41710</v>
      </c>
      <c r="C277" t="str">
        <f t="shared" si="24"/>
        <v>2014</v>
      </c>
      <c r="D277" t="s">
        <v>988</v>
      </c>
      <c r="E277" t="s">
        <v>989</v>
      </c>
      <c r="F277" t="s">
        <v>448</v>
      </c>
      <c r="G277" t="s">
        <v>449</v>
      </c>
      <c r="H277" t="s">
        <v>241</v>
      </c>
      <c r="I277" t="s">
        <v>299</v>
      </c>
      <c r="J277" t="s">
        <v>243</v>
      </c>
      <c r="K277" t="s">
        <v>482</v>
      </c>
      <c r="L277" t="s">
        <v>268</v>
      </c>
      <c r="M277" t="s">
        <v>246</v>
      </c>
      <c r="N277" t="s">
        <v>263</v>
      </c>
      <c r="O277">
        <v>41711</v>
      </c>
      <c r="P277">
        <v>60.59</v>
      </c>
      <c r="Q277">
        <v>100.98</v>
      </c>
      <c r="R277">
        <f t="shared" si="25"/>
        <v>40.39</v>
      </c>
      <c r="S277">
        <v>5</v>
      </c>
      <c r="T277">
        <f t="shared" si="26"/>
        <v>504.90000000000003</v>
      </c>
      <c r="U277">
        <v>0.02</v>
      </c>
      <c r="V277">
        <f t="shared" si="27"/>
        <v>10.098000000000001</v>
      </c>
      <c r="W277">
        <f t="shared" si="28"/>
        <v>494.80200000000002</v>
      </c>
      <c r="X277">
        <v>7.18</v>
      </c>
      <c r="Y277">
        <f t="shared" si="29"/>
        <v>501.98200000000003</v>
      </c>
    </row>
    <row r="278" spans="1:25" x14ac:dyDescent="0.25">
      <c r="A278" t="s">
        <v>990</v>
      </c>
      <c r="B278">
        <v>41711</v>
      </c>
      <c r="C278" t="str">
        <f t="shared" si="24"/>
        <v>2014</v>
      </c>
      <c r="D278" t="s">
        <v>946</v>
      </c>
      <c r="E278" t="s">
        <v>420</v>
      </c>
      <c r="F278" t="s">
        <v>239</v>
      </c>
      <c r="G278" t="s">
        <v>240</v>
      </c>
      <c r="H278" t="s">
        <v>259</v>
      </c>
      <c r="I278" t="s">
        <v>251</v>
      </c>
      <c r="J278" t="s">
        <v>279</v>
      </c>
      <c r="K278" t="s">
        <v>435</v>
      </c>
      <c r="L278" t="s">
        <v>245</v>
      </c>
      <c r="M278" t="s">
        <v>253</v>
      </c>
      <c r="N278" t="s">
        <v>247</v>
      </c>
      <c r="O278">
        <v>41711</v>
      </c>
      <c r="P278">
        <v>3.75</v>
      </c>
      <c r="Q278">
        <v>7.08</v>
      </c>
      <c r="R278">
        <f t="shared" si="25"/>
        <v>3.33</v>
      </c>
      <c r="S278">
        <v>34</v>
      </c>
      <c r="T278">
        <f t="shared" si="26"/>
        <v>240.72</v>
      </c>
      <c r="U278">
        <v>0.03</v>
      </c>
      <c r="V278">
        <f t="shared" si="27"/>
        <v>7.2215999999999996</v>
      </c>
      <c r="W278">
        <f t="shared" si="28"/>
        <v>233.4984</v>
      </c>
      <c r="X278">
        <v>2.35</v>
      </c>
      <c r="Y278">
        <f t="shared" si="29"/>
        <v>235.8484</v>
      </c>
    </row>
    <row r="279" spans="1:25" x14ac:dyDescent="0.25">
      <c r="A279" t="s">
        <v>991</v>
      </c>
      <c r="B279">
        <v>41713</v>
      </c>
      <c r="C279" t="str">
        <f t="shared" si="24"/>
        <v>2014</v>
      </c>
      <c r="D279" t="s">
        <v>291</v>
      </c>
      <c r="E279" t="s">
        <v>292</v>
      </c>
      <c r="F279" t="s">
        <v>257</v>
      </c>
      <c r="G279" t="s">
        <v>258</v>
      </c>
      <c r="H279" t="s">
        <v>293</v>
      </c>
      <c r="I279" t="s">
        <v>260</v>
      </c>
      <c r="J279" t="s">
        <v>261</v>
      </c>
      <c r="K279" t="s">
        <v>653</v>
      </c>
      <c r="L279" t="s">
        <v>245</v>
      </c>
      <c r="M279" t="s">
        <v>246</v>
      </c>
      <c r="N279" t="s">
        <v>247</v>
      </c>
      <c r="O279">
        <v>41713</v>
      </c>
      <c r="P279">
        <v>3.5</v>
      </c>
      <c r="Q279">
        <v>5.74</v>
      </c>
      <c r="R279">
        <f t="shared" si="25"/>
        <v>2.2400000000000002</v>
      </c>
      <c r="S279">
        <v>45</v>
      </c>
      <c r="T279">
        <f t="shared" si="26"/>
        <v>258.3</v>
      </c>
      <c r="U279">
        <v>0</v>
      </c>
      <c r="V279">
        <f t="shared" si="27"/>
        <v>0</v>
      </c>
      <c r="W279">
        <f t="shared" si="28"/>
        <v>258.3</v>
      </c>
      <c r="X279">
        <v>5.01</v>
      </c>
      <c r="Y279">
        <f t="shared" si="29"/>
        <v>263.31</v>
      </c>
    </row>
    <row r="280" spans="1:25" x14ac:dyDescent="0.25">
      <c r="A280" t="s">
        <v>992</v>
      </c>
      <c r="B280">
        <v>41715</v>
      </c>
      <c r="C280" t="str">
        <f t="shared" si="24"/>
        <v>2014</v>
      </c>
      <c r="D280" t="s">
        <v>993</v>
      </c>
      <c r="E280" t="s">
        <v>782</v>
      </c>
      <c r="F280" t="s">
        <v>257</v>
      </c>
      <c r="G280" t="s">
        <v>258</v>
      </c>
      <c r="H280" t="s">
        <v>241</v>
      </c>
      <c r="I280" t="s">
        <v>381</v>
      </c>
      <c r="J280" t="s">
        <v>261</v>
      </c>
      <c r="K280" t="s">
        <v>280</v>
      </c>
      <c r="L280" t="s">
        <v>245</v>
      </c>
      <c r="M280" t="s">
        <v>253</v>
      </c>
      <c r="N280" t="s">
        <v>247</v>
      </c>
      <c r="O280">
        <v>41716</v>
      </c>
      <c r="P280">
        <v>1.0900000000000001</v>
      </c>
      <c r="Q280">
        <v>2.6</v>
      </c>
      <c r="R280">
        <f t="shared" si="25"/>
        <v>1.51</v>
      </c>
      <c r="S280">
        <v>43</v>
      </c>
      <c r="T280">
        <f t="shared" si="26"/>
        <v>111.8</v>
      </c>
      <c r="U280">
        <v>0.01</v>
      </c>
      <c r="V280">
        <f t="shared" si="27"/>
        <v>1.1180000000000001</v>
      </c>
      <c r="W280">
        <f t="shared" si="28"/>
        <v>110.682</v>
      </c>
      <c r="X280">
        <v>2.4</v>
      </c>
      <c r="Y280">
        <f t="shared" si="29"/>
        <v>113.08200000000001</v>
      </c>
    </row>
    <row r="281" spans="1:25" x14ac:dyDescent="0.25">
      <c r="A281" t="s">
        <v>994</v>
      </c>
      <c r="B281">
        <v>41715</v>
      </c>
      <c r="C281" t="str">
        <f t="shared" si="24"/>
        <v>2014</v>
      </c>
      <c r="D281" t="s">
        <v>995</v>
      </c>
      <c r="E281" t="s">
        <v>767</v>
      </c>
      <c r="F281" t="s">
        <v>257</v>
      </c>
      <c r="G281" t="s">
        <v>258</v>
      </c>
      <c r="H281" t="s">
        <v>259</v>
      </c>
      <c r="I281" t="s">
        <v>260</v>
      </c>
      <c r="J281" t="s">
        <v>294</v>
      </c>
      <c r="K281" t="s">
        <v>479</v>
      </c>
      <c r="L281" t="s">
        <v>245</v>
      </c>
      <c r="M281" t="s">
        <v>246</v>
      </c>
      <c r="N281" t="s">
        <v>247</v>
      </c>
      <c r="O281">
        <v>41716</v>
      </c>
      <c r="P281">
        <v>8.92</v>
      </c>
      <c r="Q281">
        <v>29.74</v>
      </c>
      <c r="R281">
        <f t="shared" si="25"/>
        <v>20.82</v>
      </c>
      <c r="S281">
        <v>25</v>
      </c>
      <c r="T281">
        <f t="shared" si="26"/>
        <v>743.5</v>
      </c>
      <c r="U281">
        <v>0</v>
      </c>
      <c r="V281">
        <f t="shared" si="27"/>
        <v>0</v>
      </c>
      <c r="W281">
        <f t="shared" si="28"/>
        <v>743.5</v>
      </c>
      <c r="X281">
        <v>6.64</v>
      </c>
      <c r="Y281">
        <f t="shared" si="29"/>
        <v>750.14</v>
      </c>
    </row>
    <row r="282" spans="1:25" x14ac:dyDescent="0.25">
      <c r="A282" t="s">
        <v>996</v>
      </c>
      <c r="B282">
        <v>41715</v>
      </c>
      <c r="C282" t="str">
        <f t="shared" si="24"/>
        <v>2014</v>
      </c>
      <c r="D282" t="s">
        <v>997</v>
      </c>
      <c r="E282" t="s">
        <v>376</v>
      </c>
      <c r="F282" t="s">
        <v>239</v>
      </c>
      <c r="G282" t="s">
        <v>240</v>
      </c>
      <c r="H282" t="s">
        <v>293</v>
      </c>
      <c r="I282" t="s">
        <v>242</v>
      </c>
      <c r="J282" t="s">
        <v>294</v>
      </c>
      <c r="K282" t="s">
        <v>998</v>
      </c>
      <c r="L282" t="s">
        <v>245</v>
      </c>
      <c r="M282" t="s">
        <v>246</v>
      </c>
      <c r="N282" t="s">
        <v>247</v>
      </c>
      <c r="O282">
        <v>41716</v>
      </c>
      <c r="P282">
        <v>21.97</v>
      </c>
      <c r="Q282">
        <v>35.44</v>
      </c>
      <c r="R282">
        <f t="shared" si="25"/>
        <v>13.469999999999999</v>
      </c>
      <c r="S282">
        <v>21</v>
      </c>
      <c r="T282">
        <f t="shared" si="26"/>
        <v>744.24</v>
      </c>
      <c r="U282">
        <v>0</v>
      </c>
      <c r="V282">
        <f t="shared" si="27"/>
        <v>0</v>
      </c>
      <c r="W282">
        <f t="shared" si="28"/>
        <v>744.24</v>
      </c>
      <c r="X282">
        <v>4.92</v>
      </c>
      <c r="Y282">
        <f t="shared" si="29"/>
        <v>749.16</v>
      </c>
    </row>
    <row r="283" spans="1:25" x14ac:dyDescent="0.25">
      <c r="A283" t="s">
        <v>999</v>
      </c>
      <c r="B283">
        <v>41717</v>
      </c>
      <c r="C283" t="str">
        <f t="shared" si="24"/>
        <v>2014</v>
      </c>
      <c r="D283" t="s">
        <v>1000</v>
      </c>
      <c r="E283" t="s">
        <v>1001</v>
      </c>
      <c r="F283" t="s">
        <v>239</v>
      </c>
      <c r="G283" t="s">
        <v>240</v>
      </c>
      <c r="H283" t="s">
        <v>293</v>
      </c>
      <c r="I283" t="s">
        <v>251</v>
      </c>
      <c r="J283" t="s">
        <v>261</v>
      </c>
      <c r="K283" t="s">
        <v>634</v>
      </c>
      <c r="L283" t="s">
        <v>245</v>
      </c>
      <c r="M283" t="s">
        <v>246</v>
      </c>
      <c r="N283" t="s">
        <v>247</v>
      </c>
      <c r="O283">
        <v>41719</v>
      </c>
      <c r="P283">
        <v>2.2599999999999998</v>
      </c>
      <c r="Q283">
        <v>3.58</v>
      </c>
      <c r="R283">
        <f t="shared" si="25"/>
        <v>1.3200000000000003</v>
      </c>
      <c r="S283">
        <v>39</v>
      </c>
      <c r="T283">
        <f t="shared" si="26"/>
        <v>139.62</v>
      </c>
      <c r="U283">
        <v>0</v>
      </c>
      <c r="V283">
        <f t="shared" si="27"/>
        <v>0</v>
      </c>
      <c r="W283">
        <f t="shared" si="28"/>
        <v>139.62</v>
      </c>
      <c r="X283">
        <v>5.47</v>
      </c>
      <c r="Y283">
        <f t="shared" si="29"/>
        <v>145.09</v>
      </c>
    </row>
    <row r="284" spans="1:25" x14ac:dyDescent="0.25">
      <c r="A284" t="s">
        <v>1002</v>
      </c>
      <c r="B284">
        <v>41719</v>
      </c>
      <c r="C284" t="str">
        <f t="shared" si="24"/>
        <v>2014</v>
      </c>
      <c r="D284" t="s">
        <v>1003</v>
      </c>
      <c r="E284" t="s">
        <v>795</v>
      </c>
      <c r="F284" t="s">
        <v>257</v>
      </c>
      <c r="G284" t="s">
        <v>258</v>
      </c>
      <c r="H284" t="s">
        <v>241</v>
      </c>
      <c r="I284" t="s">
        <v>372</v>
      </c>
      <c r="J284" t="s">
        <v>279</v>
      </c>
      <c r="K284" t="s">
        <v>617</v>
      </c>
      <c r="L284" t="s">
        <v>245</v>
      </c>
      <c r="M284" t="s">
        <v>246</v>
      </c>
      <c r="N284" t="s">
        <v>247</v>
      </c>
      <c r="O284">
        <v>41724</v>
      </c>
      <c r="P284">
        <v>1.94</v>
      </c>
      <c r="Q284">
        <v>3.08</v>
      </c>
      <c r="R284">
        <f t="shared" si="25"/>
        <v>1.1400000000000001</v>
      </c>
      <c r="S284">
        <v>5</v>
      </c>
      <c r="T284">
        <f t="shared" si="26"/>
        <v>15.4</v>
      </c>
      <c r="U284">
        <v>0.06</v>
      </c>
      <c r="V284">
        <f t="shared" si="27"/>
        <v>0.92399999999999993</v>
      </c>
      <c r="W284">
        <f t="shared" si="28"/>
        <v>14.476000000000001</v>
      </c>
      <c r="X284">
        <v>0.99</v>
      </c>
      <c r="Y284">
        <f t="shared" si="29"/>
        <v>15.466000000000001</v>
      </c>
    </row>
    <row r="285" spans="1:25" x14ac:dyDescent="0.25">
      <c r="A285" t="s">
        <v>1004</v>
      </c>
      <c r="B285">
        <v>41726</v>
      </c>
      <c r="C285" t="str">
        <f t="shared" si="24"/>
        <v>2014</v>
      </c>
      <c r="D285" t="s">
        <v>890</v>
      </c>
      <c r="E285" t="s">
        <v>380</v>
      </c>
      <c r="F285" t="s">
        <v>257</v>
      </c>
      <c r="G285" t="s">
        <v>258</v>
      </c>
      <c r="H285" t="s">
        <v>293</v>
      </c>
      <c r="I285" t="s">
        <v>381</v>
      </c>
      <c r="J285" t="s">
        <v>243</v>
      </c>
      <c r="K285" t="s">
        <v>779</v>
      </c>
      <c r="L285" t="s">
        <v>245</v>
      </c>
      <c r="M285" t="s">
        <v>246</v>
      </c>
      <c r="N285" t="s">
        <v>247</v>
      </c>
      <c r="O285">
        <v>41726</v>
      </c>
      <c r="P285">
        <v>11.04</v>
      </c>
      <c r="Q285">
        <v>16.98</v>
      </c>
      <c r="R285">
        <f t="shared" si="25"/>
        <v>5.9400000000000013</v>
      </c>
      <c r="S285">
        <v>31</v>
      </c>
      <c r="T285">
        <f t="shared" si="26"/>
        <v>526.38</v>
      </c>
      <c r="U285">
        <v>0.03</v>
      </c>
      <c r="V285">
        <f t="shared" si="27"/>
        <v>15.791399999999999</v>
      </c>
      <c r="W285">
        <f t="shared" si="28"/>
        <v>510.58859999999999</v>
      </c>
      <c r="X285">
        <v>12.39</v>
      </c>
      <c r="Y285">
        <f t="shared" si="29"/>
        <v>522.97860000000003</v>
      </c>
    </row>
    <row r="286" spans="1:25" x14ac:dyDescent="0.25">
      <c r="A286" t="s">
        <v>1005</v>
      </c>
      <c r="B286">
        <v>41727</v>
      </c>
      <c r="C286" t="str">
        <f t="shared" si="24"/>
        <v>2014</v>
      </c>
      <c r="D286" t="s">
        <v>1006</v>
      </c>
      <c r="E286" t="s">
        <v>745</v>
      </c>
      <c r="F286" t="s">
        <v>257</v>
      </c>
      <c r="G286" t="s">
        <v>258</v>
      </c>
      <c r="H286" t="s">
        <v>274</v>
      </c>
      <c r="I286" t="s">
        <v>372</v>
      </c>
      <c r="J286" t="s">
        <v>294</v>
      </c>
      <c r="K286" t="s">
        <v>776</v>
      </c>
      <c r="L286" t="s">
        <v>245</v>
      </c>
      <c r="M286" t="s">
        <v>246</v>
      </c>
      <c r="N286" t="s">
        <v>247</v>
      </c>
      <c r="O286">
        <v>41728</v>
      </c>
      <c r="P286">
        <v>4.53</v>
      </c>
      <c r="Q286">
        <v>7.3</v>
      </c>
      <c r="R286">
        <f t="shared" si="25"/>
        <v>2.7699999999999996</v>
      </c>
      <c r="S286">
        <v>18</v>
      </c>
      <c r="T286">
        <f t="shared" si="26"/>
        <v>131.4</v>
      </c>
      <c r="U286">
        <v>0.05</v>
      </c>
      <c r="V286">
        <f t="shared" si="27"/>
        <v>6.57</v>
      </c>
      <c r="W286">
        <f t="shared" si="28"/>
        <v>124.83000000000001</v>
      </c>
      <c r="X286">
        <v>7.72</v>
      </c>
      <c r="Y286">
        <f t="shared" si="29"/>
        <v>132.55000000000001</v>
      </c>
    </row>
    <row r="287" spans="1:25" x14ac:dyDescent="0.25">
      <c r="A287" t="s">
        <v>1007</v>
      </c>
      <c r="B287">
        <v>41729</v>
      </c>
      <c r="C287" t="str">
        <f t="shared" si="24"/>
        <v>2014</v>
      </c>
      <c r="D287" t="s">
        <v>1008</v>
      </c>
      <c r="E287" t="s">
        <v>709</v>
      </c>
      <c r="F287" t="s">
        <v>257</v>
      </c>
      <c r="G287" t="s">
        <v>258</v>
      </c>
      <c r="H287" t="s">
        <v>241</v>
      </c>
      <c r="I287" t="s">
        <v>275</v>
      </c>
      <c r="J287" t="s">
        <v>294</v>
      </c>
      <c r="K287" t="s">
        <v>572</v>
      </c>
      <c r="L287" t="s">
        <v>245</v>
      </c>
      <c r="M287" t="s">
        <v>253</v>
      </c>
      <c r="N287" t="s">
        <v>247</v>
      </c>
      <c r="O287">
        <v>41729</v>
      </c>
      <c r="P287">
        <v>4.37</v>
      </c>
      <c r="Q287">
        <v>9.11</v>
      </c>
      <c r="R287">
        <f t="shared" si="25"/>
        <v>4.7399999999999993</v>
      </c>
      <c r="S287">
        <v>1</v>
      </c>
      <c r="T287">
        <f t="shared" si="26"/>
        <v>9.11</v>
      </c>
      <c r="U287">
        <v>0.1</v>
      </c>
      <c r="V287">
        <f t="shared" si="27"/>
        <v>0.91100000000000003</v>
      </c>
      <c r="W287">
        <f t="shared" si="28"/>
        <v>8.1989999999999998</v>
      </c>
      <c r="X287">
        <v>2.25</v>
      </c>
      <c r="Y287">
        <f t="shared" si="29"/>
        <v>10.449</v>
      </c>
    </row>
    <row r="288" spans="1:25" x14ac:dyDescent="0.25">
      <c r="A288" t="s">
        <v>1009</v>
      </c>
      <c r="B288">
        <v>41730</v>
      </c>
      <c r="C288" t="str">
        <f t="shared" si="24"/>
        <v>2014</v>
      </c>
      <c r="D288" t="s">
        <v>893</v>
      </c>
      <c r="E288" t="s">
        <v>507</v>
      </c>
      <c r="F288" t="s">
        <v>257</v>
      </c>
      <c r="G288" t="s">
        <v>258</v>
      </c>
      <c r="H288" t="s">
        <v>274</v>
      </c>
      <c r="I288" t="s">
        <v>342</v>
      </c>
      <c r="J288" t="s">
        <v>261</v>
      </c>
      <c r="K288" t="s">
        <v>786</v>
      </c>
      <c r="L288" t="s">
        <v>245</v>
      </c>
      <c r="M288" t="s">
        <v>323</v>
      </c>
      <c r="N288" t="s">
        <v>247</v>
      </c>
      <c r="O288">
        <v>41731</v>
      </c>
      <c r="P288">
        <v>16.8</v>
      </c>
      <c r="Q288">
        <v>40.97</v>
      </c>
      <c r="R288">
        <f t="shared" si="25"/>
        <v>24.169999999999998</v>
      </c>
      <c r="S288">
        <v>44</v>
      </c>
      <c r="T288">
        <f t="shared" si="26"/>
        <v>1802.6799999999998</v>
      </c>
      <c r="U288">
        <v>0.08</v>
      </c>
      <c r="V288">
        <f t="shared" si="27"/>
        <v>144.21439999999998</v>
      </c>
      <c r="W288">
        <f t="shared" si="28"/>
        <v>1658.4655999999998</v>
      </c>
      <c r="X288">
        <v>8.99</v>
      </c>
      <c r="Y288">
        <f t="shared" si="29"/>
        <v>1667.4555999999998</v>
      </c>
    </row>
    <row r="289" spans="1:25" x14ac:dyDescent="0.25">
      <c r="A289" t="s">
        <v>1010</v>
      </c>
      <c r="B289">
        <v>41731</v>
      </c>
      <c r="C289" t="str">
        <f t="shared" si="24"/>
        <v>2014</v>
      </c>
      <c r="D289" t="s">
        <v>366</v>
      </c>
      <c r="E289" t="s">
        <v>367</v>
      </c>
      <c r="F289" t="s">
        <v>239</v>
      </c>
      <c r="G289" t="s">
        <v>240</v>
      </c>
      <c r="H289" t="s">
        <v>259</v>
      </c>
      <c r="I289" t="s">
        <v>251</v>
      </c>
      <c r="J289" t="s">
        <v>304</v>
      </c>
      <c r="K289" t="s">
        <v>1011</v>
      </c>
      <c r="L289" t="s">
        <v>245</v>
      </c>
      <c r="M289" t="s">
        <v>246</v>
      </c>
      <c r="N289" t="s">
        <v>247</v>
      </c>
      <c r="O289">
        <v>41733</v>
      </c>
      <c r="P289">
        <v>7.13</v>
      </c>
      <c r="Q289">
        <v>20.98</v>
      </c>
      <c r="R289">
        <f t="shared" si="25"/>
        <v>13.850000000000001</v>
      </c>
      <c r="S289">
        <v>39</v>
      </c>
      <c r="T289">
        <f t="shared" si="26"/>
        <v>818.22</v>
      </c>
      <c r="U289">
        <v>0.04</v>
      </c>
      <c r="V289">
        <f t="shared" si="27"/>
        <v>32.7288</v>
      </c>
      <c r="W289">
        <f t="shared" si="28"/>
        <v>785.49120000000005</v>
      </c>
      <c r="X289">
        <v>5.42</v>
      </c>
      <c r="Y289">
        <f t="shared" si="29"/>
        <v>790.91120000000001</v>
      </c>
    </row>
    <row r="290" spans="1:25" x14ac:dyDescent="0.25">
      <c r="A290" t="s">
        <v>1012</v>
      </c>
      <c r="B290">
        <v>41731</v>
      </c>
      <c r="C290" t="str">
        <f t="shared" si="24"/>
        <v>2014</v>
      </c>
      <c r="D290" t="s">
        <v>1013</v>
      </c>
      <c r="E290" t="s">
        <v>1014</v>
      </c>
      <c r="F290" t="s">
        <v>257</v>
      </c>
      <c r="G290" t="s">
        <v>258</v>
      </c>
      <c r="H290" t="s">
        <v>274</v>
      </c>
      <c r="I290" t="s">
        <v>492</v>
      </c>
      <c r="J290" t="s">
        <v>261</v>
      </c>
      <c r="K290" t="s">
        <v>638</v>
      </c>
      <c r="L290" t="s">
        <v>245</v>
      </c>
      <c r="M290" t="s">
        <v>323</v>
      </c>
      <c r="N290" t="s">
        <v>247</v>
      </c>
      <c r="O290">
        <v>41733</v>
      </c>
      <c r="P290">
        <v>1.46</v>
      </c>
      <c r="Q290">
        <v>3.57</v>
      </c>
      <c r="R290">
        <f t="shared" si="25"/>
        <v>2.11</v>
      </c>
      <c r="S290">
        <v>41</v>
      </c>
      <c r="T290">
        <f t="shared" si="26"/>
        <v>146.37</v>
      </c>
      <c r="U290">
        <v>0.03</v>
      </c>
      <c r="V290">
        <f t="shared" si="27"/>
        <v>4.3910999999999998</v>
      </c>
      <c r="W290">
        <f t="shared" si="28"/>
        <v>141.97890000000001</v>
      </c>
      <c r="X290">
        <v>4.17</v>
      </c>
      <c r="Y290">
        <f t="shared" si="29"/>
        <v>146.1489</v>
      </c>
    </row>
    <row r="291" spans="1:25" x14ac:dyDescent="0.25">
      <c r="A291" t="s">
        <v>1015</v>
      </c>
      <c r="B291">
        <v>41732</v>
      </c>
      <c r="C291" t="str">
        <f t="shared" si="24"/>
        <v>2014</v>
      </c>
      <c r="D291" t="s">
        <v>623</v>
      </c>
      <c r="E291" t="s">
        <v>1016</v>
      </c>
      <c r="F291" t="s">
        <v>257</v>
      </c>
      <c r="G291" t="s">
        <v>258</v>
      </c>
      <c r="H291" t="s">
        <v>274</v>
      </c>
      <c r="I291" t="s">
        <v>504</v>
      </c>
      <c r="J291" t="s">
        <v>304</v>
      </c>
      <c r="K291" t="s">
        <v>1017</v>
      </c>
      <c r="L291" t="s">
        <v>245</v>
      </c>
      <c r="M291" t="s">
        <v>253</v>
      </c>
      <c r="N291" t="s">
        <v>247</v>
      </c>
      <c r="O291">
        <v>41734</v>
      </c>
      <c r="P291">
        <v>2.13</v>
      </c>
      <c r="Q291">
        <v>3.49</v>
      </c>
      <c r="R291">
        <f t="shared" si="25"/>
        <v>1.3600000000000003</v>
      </c>
      <c r="S291">
        <v>46</v>
      </c>
      <c r="T291">
        <f t="shared" si="26"/>
        <v>160.54000000000002</v>
      </c>
      <c r="U291">
        <v>0.01</v>
      </c>
      <c r="V291">
        <f t="shared" si="27"/>
        <v>1.6054000000000002</v>
      </c>
      <c r="W291">
        <f t="shared" si="28"/>
        <v>158.93460000000002</v>
      </c>
      <c r="X291">
        <v>0.76</v>
      </c>
      <c r="Y291">
        <f t="shared" si="29"/>
        <v>159.69460000000001</v>
      </c>
    </row>
    <row r="292" spans="1:25" x14ac:dyDescent="0.25">
      <c r="A292" t="s">
        <v>1018</v>
      </c>
      <c r="B292">
        <v>41733</v>
      </c>
      <c r="C292" t="str">
        <f t="shared" si="24"/>
        <v>2014</v>
      </c>
      <c r="D292" t="s">
        <v>611</v>
      </c>
      <c r="E292" t="s">
        <v>612</v>
      </c>
      <c r="F292" t="s">
        <v>239</v>
      </c>
      <c r="G292" t="s">
        <v>240</v>
      </c>
      <c r="H292" t="s">
        <v>293</v>
      </c>
      <c r="I292" t="s">
        <v>242</v>
      </c>
      <c r="J292" t="s">
        <v>294</v>
      </c>
      <c r="K292" t="s">
        <v>460</v>
      </c>
      <c r="L292" t="s">
        <v>245</v>
      </c>
      <c r="M292" t="s">
        <v>246</v>
      </c>
      <c r="N292" t="s">
        <v>247</v>
      </c>
      <c r="O292">
        <v>41734</v>
      </c>
      <c r="P292">
        <v>3.84</v>
      </c>
      <c r="Q292">
        <v>6.3</v>
      </c>
      <c r="R292">
        <f t="shared" si="25"/>
        <v>2.46</v>
      </c>
      <c r="S292">
        <v>18</v>
      </c>
      <c r="T292">
        <f t="shared" si="26"/>
        <v>113.39999999999999</v>
      </c>
      <c r="U292">
        <v>0.1</v>
      </c>
      <c r="V292">
        <f t="shared" si="27"/>
        <v>11.34</v>
      </c>
      <c r="W292">
        <f t="shared" si="28"/>
        <v>102.05999999999999</v>
      </c>
      <c r="X292">
        <v>0.5</v>
      </c>
      <c r="Y292">
        <f t="shared" si="29"/>
        <v>102.55999999999999</v>
      </c>
    </row>
    <row r="293" spans="1:25" x14ac:dyDescent="0.25">
      <c r="A293" t="s">
        <v>1019</v>
      </c>
      <c r="B293">
        <v>41735</v>
      </c>
      <c r="C293" t="str">
        <f t="shared" si="24"/>
        <v>2014</v>
      </c>
      <c r="D293" t="s">
        <v>1020</v>
      </c>
      <c r="E293" t="s">
        <v>1014</v>
      </c>
      <c r="F293" t="s">
        <v>257</v>
      </c>
      <c r="G293" t="s">
        <v>258</v>
      </c>
      <c r="H293" t="s">
        <v>259</v>
      </c>
      <c r="I293" t="s">
        <v>492</v>
      </c>
      <c r="J293" t="s">
        <v>279</v>
      </c>
      <c r="K293" t="s">
        <v>1021</v>
      </c>
      <c r="L293" t="s">
        <v>245</v>
      </c>
      <c r="M293" t="s">
        <v>253</v>
      </c>
      <c r="N293" t="s">
        <v>247</v>
      </c>
      <c r="O293">
        <v>41740</v>
      </c>
      <c r="P293">
        <v>1.05</v>
      </c>
      <c r="Q293">
        <v>1.95</v>
      </c>
      <c r="R293">
        <f t="shared" si="25"/>
        <v>0.89999999999999991</v>
      </c>
      <c r="S293">
        <v>31</v>
      </c>
      <c r="T293">
        <f t="shared" si="26"/>
        <v>60.449999999999996</v>
      </c>
      <c r="U293">
        <v>0.02</v>
      </c>
      <c r="V293">
        <f t="shared" si="27"/>
        <v>1.2089999999999999</v>
      </c>
      <c r="W293">
        <f t="shared" si="28"/>
        <v>59.240999999999993</v>
      </c>
      <c r="X293">
        <v>1.63</v>
      </c>
      <c r="Y293">
        <f t="shared" si="29"/>
        <v>60.870999999999995</v>
      </c>
    </row>
    <row r="294" spans="1:25" x14ac:dyDescent="0.25">
      <c r="A294" t="s">
        <v>1022</v>
      </c>
      <c r="B294">
        <v>41736</v>
      </c>
      <c r="C294" t="str">
        <f t="shared" si="24"/>
        <v>2014</v>
      </c>
      <c r="D294" t="s">
        <v>1023</v>
      </c>
      <c r="E294" t="s">
        <v>356</v>
      </c>
      <c r="F294" t="s">
        <v>239</v>
      </c>
      <c r="G294" t="s">
        <v>240</v>
      </c>
      <c r="H294" t="s">
        <v>259</v>
      </c>
      <c r="I294" t="s">
        <v>251</v>
      </c>
      <c r="J294" t="s">
        <v>261</v>
      </c>
      <c r="K294" t="s">
        <v>582</v>
      </c>
      <c r="L294" t="s">
        <v>245</v>
      </c>
      <c r="M294" t="s">
        <v>253</v>
      </c>
      <c r="N294" t="s">
        <v>247</v>
      </c>
      <c r="O294">
        <v>41736</v>
      </c>
      <c r="P294">
        <v>0.24</v>
      </c>
      <c r="Q294">
        <v>1.26</v>
      </c>
      <c r="R294">
        <f t="shared" si="25"/>
        <v>1.02</v>
      </c>
      <c r="S294">
        <v>35</v>
      </c>
      <c r="T294">
        <f t="shared" si="26"/>
        <v>44.1</v>
      </c>
      <c r="U294">
        <v>0.09</v>
      </c>
      <c r="V294">
        <f t="shared" si="27"/>
        <v>3.9689999999999999</v>
      </c>
      <c r="W294">
        <f t="shared" si="28"/>
        <v>40.131</v>
      </c>
      <c r="X294">
        <v>0.7</v>
      </c>
      <c r="Y294">
        <f t="shared" si="29"/>
        <v>40.831000000000003</v>
      </c>
    </row>
    <row r="295" spans="1:25" x14ac:dyDescent="0.25">
      <c r="A295" t="s">
        <v>1024</v>
      </c>
      <c r="B295">
        <v>41736</v>
      </c>
      <c r="C295" t="str">
        <f t="shared" si="24"/>
        <v>2014</v>
      </c>
      <c r="D295" t="s">
        <v>744</v>
      </c>
      <c r="E295" t="s">
        <v>745</v>
      </c>
      <c r="F295" t="s">
        <v>257</v>
      </c>
      <c r="G295" t="s">
        <v>258</v>
      </c>
      <c r="H295" t="s">
        <v>241</v>
      </c>
      <c r="I295" t="s">
        <v>372</v>
      </c>
      <c r="J295" t="s">
        <v>294</v>
      </c>
      <c r="K295" t="s">
        <v>1025</v>
      </c>
      <c r="L295" t="s">
        <v>268</v>
      </c>
      <c r="M295" t="s">
        <v>269</v>
      </c>
      <c r="N295" t="s">
        <v>270</v>
      </c>
      <c r="O295">
        <v>41736</v>
      </c>
      <c r="P295">
        <v>315.61</v>
      </c>
      <c r="Q295">
        <v>500.97</v>
      </c>
      <c r="R295">
        <f t="shared" si="25"/>
        <v>185.36</v>
      </c>
      <c r="S295">
        <v>31</v>
      </c>
      <c r="T295">
        <f t="shared" si="26"/>
        <v>15530.070000000002</v>
      </c>
      <c r="U295">
        <v>0.06</v>
      </c>
      <c r="V295">
        <f t="shared" si="27"/>
        <v>931.80420000000004</v>
      </c>
      <c r="W295">
        <f t="shared" si="28"/>
        <v>14598.265800000001</v>
      </c>
      <c r="X295">
        <v>69.3</v>
      </c>
      <c r="Y295">
        <f t="shared" si="29"/>
        <v>14667.5658</v>
      </c>
    </row>
    <row r="296" spans="1:25" x14ac:dyDescent="0.25">
      <c r="A296" t="s">
        <v>1026</v>
      </c>
      <c r="B296">
        <v>41736</v>
      </c>
      <c r="C296" t="str">
        <f t="shared" si="24"/>
        <v>2014</v>
      </c>
      <c r="D296" t="s">
        <v>1027</v>
      </c>
      <c r="E296" t="s">
        <v>727</v>
      </c>
      <c r="F296" t="s">
        <v>257</v>
      </c>
      <c r="G296" t="s">
        <v>258</v>
      </c>
      <c r="H296" t="s">
        <v>259</v>
      </c>
      <c r="I296" t="s">
        <v>333</v>
      </c>
      <c r="J296" t="s">
        <v>304</v>
      </c>
      <c r="K296" t="s">
        <v>939</v>
      </c>
      <c r="L296" t="s">
        <v>268</v>
      </c>
      <c r="M296" t="s">
        <v>647</v>
      </c>
      <c r="N296" t="s">
        <v>247</v>
      </c>
      <c r="O296">
        <v>41738</v>
      </c>
      <c r="P296">
        <v>377.99</v>
      </c>
      <c r="Q296">
        <v>599.99</v>
      </c>
      <c r="R296">
        <f t="shared" si="25"/>
        <v>222</v>
      </c>
      <c r="S296">
        <v>30</v>
      </c>
      <c r="T296">
        <f t="shared" si="26"/>
        <v>17999.7</v>
      </c>
      <c r="U296">
        <v>0.09</v>
      </c>
      <c r="V296">
        <f t="shared" si="27"/>
        <v>1619.973</v>
      </c>
      <c r="W296">
        <f t="shared" si="28"/>
        <v>16379.727000000001</v>
      </c>
      <c r="X296">
        <v>24.49</v>
      </c>
      <c r="Y296">
        <f t="shared" si="29"/>
        <v>16404.217000000001</v>
      </c>
    </row>
    <row r="297" spans="1:25" x14ac:dyDescent="0.25">
      <c r="A297" t="s">
        <v>1028</v>
      </c>
      <c r="B297">
        <v>41740</v>
      </c>
      <c r="C297" t="str">
        <f t="shared" si="24"/>
        <v>2014</v>
      </c>
      <c r="D297" t="s">
        <v>1029</v>
      </c>
      <c r="E297" t="s">
        <v>463</v>
      </c>
      <c r="F297" t="s">
        <v>257</v>
      </c>
      <c r="G297" t="s">
        <v>258</v>
      </c>
      <c r="H297" t="s">
        <v>293</v>
      </c>
      <c r="I297" t="s">
        <v>333</v>
      </c>
      <c r="J297" t="s">
        <v>304</v>
      </c>
      <c r="K297" t="s">
        <v>280</v>
      </c>
      <c r="L297" t="s">
        <v>245</v>
      </c>
      <c r="M297" t="s">
        <v>253</v>
      </c>
      <c r="N297" t="s">
        <v>247</v>
      </c>
      <c r="O297">
        <v>41741</v>
      </c>
      <c r="P297">
        <v>1.0900000000000001</v>
      </c>
      <c r="Q297">
        <v>2.6</v>
      </c>
      <c r="R297">
        <f t="shared" si="25"/>
        <v>1.51</v>
      </c>
      <c r="S297">
        <v>2</v>
      </c>
      <c r="T297">
        <f t="shared" si="26"/>
        <v>5.2</v>
      </c>
      <c r="U297">
        <v>0.03</v>
      </c>
      <c r="V297">
        <f t="shared" si="27"/>
        <v>0.156</v>
      </c>
      <c r="W297">
        <f t="shared" si="28"/>
        <v>5.0440000000000005</v>
      </c>
      <c r="X297">
        <v>2.4</v>
      </c>
      <c r="Y297">
        <f t="shared" si="29"/>
        <v>7.4440000000000008</v>
      </c>
    </row>
    <row r="298" spans="1:25" x14ac:dyDescent="0.25">
      <c r="A298" t="s">
        <v>1030</v>
      </c>
      <c r="B298">
        <v>41744</v>
      </c>
      <c r="C298" t="str">
        <f t="shared" si="24"/>
        <v>2014</v>
      </c>
      <c r="D298" t="s">
        <v>1031</v>
      </c>
      <c r="E298" t="s">
        <v>312</v>
      </c>
      <c r="F298" t="s">
        <v>257</v>
      </c>
      <c r="G298" t="s">
        <v>258</v>
      </c>
      <c r="H298" t="s">
        <v>259</v>
      </c>
      <c r="I298" t="s">
        <v>284</v>
      </c>
      <c r="J298" t="s">
        <v>243</v>
      </c>
      <c r="K298" t="s">
        <v>598</v>
      </c>
      <c r="L298" t="s">
        <v>268</v>
      </c>
      <c r="M298" t="s">
        <v>246</v>
      </c>
      <c r="N298" t="s">
        <v>247</v>
      </c>
      <c r="O298">
        <v>41745</v>
      </c>
      <c r="P298">
        <v>6.51</v>
      </c>
      <c r="Q298">
        <v>30.98</v>
      </c>
      <c r="R298">
        <f t="shared" si="25"/>
        <v>24.47</v>
      </c>
      <c r="S298">
        <v>36</v>
      </c>
      <c r="T298">
        <f t="shared" si="26"/>
        <v>1115.28</v>
      </c>
      <c r="U298">
        <v>0</v>
      </c>
      <c r="V298">
        <f t="shared" si="27"/>
        <v>0</v>
      </c>
      <c r="W298">
        <f t="shared" si="28"/>
        <v>1115.28</v>
      </c>
      <c r="X298">
        <v>6.5</v>
      </c>
      <c r="Y298">
        <f t="shared" si="29"/>
        <v>1121.78</v>
      </c>
    </row>
    <row r="299" spans="1:25" x14ac:dyDescent="0.25">
      <c r="A299" t="s">
        <v>1032</v>
      </c>
      <c r="B299">
        <v>41746</v>
      </c>
      <c r="C299" t="str">
        <f t="shared" si="24"/>
        <v>2014</v>
      </c>
      <c r="D299" t="s">
        <v>1033</v>
      </c>
      <c r="E299" t="s">
        <v>376</v>
      </c>
      <c r="F299" t="s">
        <v>239</v>
      </c>
      <c r="G299" t="s">
        <v>240</v>
      </c>
      <c r="H299" t="s">
        <v>274</v>
      </c>
      <c r="I299" t="s">
        <v>242</v>
      </c>
      <c r="J299" t="s">
        <v>243</v>
      </c>
      <c r="K299" t="s">
        <v>329</v>
      </c>
      <c r="L299" t="s">
        <v>245</v>
      </c>
      <c r="M299" t="s">
        <v>246</v>
      </c>
      <c r="N299" t="s">
        <v>247</v>
      </c>
      <c r="O299">
        <v>41748</v>
      </c>
      <c r="P299">
        <v>4.59</v>
      </c>
      <c r="Q299">
        <v>7.28</v>
      </c>
      <c r="R299">
        <f t="shared" si="25"/>
        <v>2.6900000000000004</v>
      </c>
      <c r="S299">
        <v>11</v>
      </c>
      <c r="T299">
        <f t="shared" si="26"/>
        <v>80.08</v>
      </c>
      <c r="U299">
        <v>7.0000000000000007E-2</v>
      </c>
      <c r="V299">
        <f t="shared" si="27"/>
        <v>5.6056000000000008</v>
      </c>
      <c r="W299">
        <f t="shared" si="28"/>
        <v>74.474400000000003</v>
      </c>
      <c r="X299">
        <v>11.15</v>
      </c>
      <c r="Y299">
        <f t="shared" si="29"/>
        <v>85.624400000000009</v>
      </c>
    </row>
    <row r="300" spans="1:25" x14ac:dyDescent="0.25">
      <c r="A300" t="s">
        <v>1034</v>
      </c>
      <c r="B300">
        <v>41746</v>
      </c>
      <c r="C300" t="str">
        <f t="shared" si="24"/>
        <v>2014</v>
      </c>
      <c r="D300" t="s">
        <v>1035</v>
      </c>
      <c r="E300" t="s">
        <v>938</v>
      </c>
      <c r="F300" t="s">
        <v>239</v>
      </c>
      <c r="G300" t="s">
        <v>240</v>
      </c>
      <c r="H300" t="s">
        <v>241</v>
      </c>
      <c r="I300" t="s">
        <v>242</v>
      </c>
      <c r="J300" t="s">
        <v>304</v>
      </c>
      <c r="K300" t="s">
        <v>963</v>
      </c>
      <c r="L300" t="s">
        <v>245</v>
      </c>
      <c r="M300" t="s">
        <v>323</v>
      </c>
      <c r="N300" t="s">
        <v>247</v>
      </c>
      <c r="O300">
        <v>41747</v>
      </c>
      <c r="P300">
        <v>4.1900000000000004</v>
      </c>
      <c r="Q300">
        <v>10.23</v>
      </c>
      <c r="R300">
        <f t="shared" si="25"/>
        <v>6.04</v>
      </c>
      <c r="S300">
        <v>22</v>
      </c>
      <c r="T300">
        <f t="shared" si="26"/>
        <v>225.06</v>
      </c>
      <c r="U300">
        <v>7.0000000000000007E-2</v>
      </c>
      <c r="V300">
        <f t="shared" si="27"/>
        <v>15.754200000000001</v>
      </c>
      <c r="W300">
        <f t="shared" si="28"/>
        <v>209.3058</v>
      </c>
      <c r="X300">
        <v>4.68</v>
      </c>
      <c r="Y300">
        <f t="shared" si="29"/>
        <v>213.98580000000001</v>
      </c>
    </row>
    <row r="301" spans="1:25" x14ac:dyDescent="0.25">
      <c r="A301" t="s">
        <v>1036</v>
      </c>
      <c r="B301">
        <v>41746</v>
      </c>
      <c r="C301" t="str">
        <f t="shared" si="24"/>
        <v>2014</v>
      </c>
      <c r="D301" t="s">
        <v>1037</v>
      </c>
      <c r="E301" t="s">
        <v>1038</v>
      </c>
      <c r="F301" t="s">
        <v>257</v>
      </c>
      <c r="G301" t="s">
        <v>258</v>
      </c>
      <c r="H301" t="s">
        <v>293</v>
      </c>
      <c r="I301" t="s">
        <v>321</v>
      </c>
      <c r="J301" t="s">
        <v>261</v>
      </c>
      <c r="K301" t="s">
        <v>322</v>
      </c>
      <c r="L301" t="s">
        <v>245</v>
      </c>
      <c r="M301" t="s">
        <v>323</v>
      </c>
      <c r="N301" t="s">
        <v>263</v>
      </c>
      <c r="O301">
        <v>41747</v>
      </c>
      <c r="P301">
        <v>3.42</v>
      </c>
      <c r="Q301">
        <v>8.34</v>
      </c>
      <c r="R301">
        <f t="shared" si="25"/>
        <v>4.92</v>
      </c>
      <c r="S301">
        <v>16</v>
      </c>
      <c r="T301">
        <f t="shared" si="26"/>
        <v>133.44</v>
      </c>
      <c r="U301">
        <v>0.04</v>
      </c>
      <c r="V301">
        <f t="shared" si="27"/>
        <v>5.3376000000000001</v>
      </c>
      <c r="W301">
        <f t="shared" si="28"/>
        <v>128.10239999999999</v>
      </c>
      <c r="X301">
        <v>2.64</v>
      </c>
      <c r="Y301">
        <f t="shared" si="29"/>
        <v>130.74239999999998</v>
      </c>
    </row>
    <row r="302" spans="1:25" x14ac:dyDescent="0.25">
      <c r="A302" t="s">
        <v>1039</v>
      </c>
      <c r="B302">
        <v>41761</v>
      </c>
      <c r="C302" t="str">
        <f t="shared" si="24"/>
        <v>2014</v>
      </c>
      <c r="D302" t="s">
        <v>1040</v>
      </c>
      <c r="E302" t="s">
        <v>1041</v>
      </c>
      <c r="F302" t="s">
        <v>257</v>
      </c>
      <c r="G302" t="s">
        <v>258</v>
      </c>
      <c r="H302" t="s">
        <v>274</v>
      </c>
      <c r="I302" t="s">
        <v>372</v>
      </c>
      <c r="J302" t="s">
        <v>279</v>
      </c>
      <c r="K302" t="s">
        <v>1042</v>
      </c>
      <c r="L302" t="s">
        <v>245</v>
      </c>
      <c r="M302" t="s">
        <v>246</v>
      </c>
      <c r="N302" t="s">
        <v>247</v>
      </c>
      <c r="O302">
        <v>41763</v>
      </c>
      <c r="P302">
        <v>84.22</v>
      </c>
      <c r="Q302">
        <v>210.55</v>
      </c>
      <c r="R302">
        <f t="shared" si="25"/>
        <v>126.33000000000001</v>
      </c>
      <c r="S302">
        <v>32</v>
      </c>
      <c r="T302">
        <f t="shared" si="26"/>
        <v>6737.6</v>
      </c>
      <c r="U302">
        <v>0.1</v>
      </c>
      <c r="V302">
        <f t="shared" si="27"/>
        <v>673.7600000000001</v>
      </c>
      <c r="W302">
        <f t="shared" si="28"/>
        <v>6063.84</v>
      </c>
      <c r="X302">
        <v>9.99</v>
      </c>
      <c r="Y302">
        <f t="shared" si="29"/>
        <v>6073.83</v>
      </c>
    </row>
    <row r="303" spans="1:25" x14ac:dyDescent="0.25">
      <c r="A303" t="s">
        <v>1043</v>
      </c>
      <c r="B303">
        <v>41761</v>
      </c>
      <c r="C303" t="str">
        <f t="shared" si="24"/>
        <v>2014</v>
      </c>
      <c r="D303" t="s">
        <v>1044</v>
      </c>
      <c r="E303" t="s">
        <v>511</v>
      </c>
      <c r="F303" t="s">
        <v>257</v>
      </c>
      <c r="G303" t="s">
        <v>258</v>
      </c>
      <c r="H303" t="s">
        <v>259</v>
      </c>
      <c r="I303" t="s">
        <v>381</v>
      </c>
      <c r="J303" t="s">
        <v>294</v>
      </c>
      <c r="K303" t="s">
        <v>1011</v>
      </c>
      <c r="L303" t="s">
        <v>245</v>
      </c>
      <c r="M303" t="s">
        <v>246</v>
      </c>
      <c r="N303" t="s">
        <v>263</v>
      </c>
      <c r="O303">
        <v>41762</v>
      </c>
      <c r="P303">
        <v>7.13</v>
      </c>
      <c r="Q303">
        <v>20.98</v>
      </c>
      <c r="R303">
        <f t="shared" si="25"/>
        <v>13.850000000000001</v>
      </c>
      <c r="S303">
        <v>14</v>
      </c>
      <c r="T303">
        <f t="shared" si="26"/>
        <v>293.72000000000003</v>
      </c>
      <c r="U303">
        <v>0.1</v>
      </c>
      <c r="V303">
        <f t="shared" si="27"/>
        <v>29.372000000000003</v>
      </c>
      <c r="W303">
        <f t="shared" si="28"/>
        <v>264.34800000000001</v>
      </c>
      <c r="X303">
        <v>5.42</v>
      </c>
      <c r="Y303">
        <f t="shared" si="29"/>
        <v>269.76800000000003</v>
      </c>
    </row>
    <row r="304" spans="1:25" x14ac:dyDescent="0.25">
      <c r="A304" t="s">
        <v>1045</v>
      </c>
      <c r="B304">
        <v>41761</v>
      </c>
      <c r="C304" t="str">
        <f t="shared" si="24"/>
        <v>2014</v>
      </c>
      <c r="D304" t="s">
        <v>1046</v>
      </c>
      <c r="E304" t="s">
        <v>432</v>
      </c>
      <c r="F304" t="s">
        <v>257</v>
      </c>
      <c r="G304" t="s">
        <v>258</v>
      </c>
      <c r="H304" t="s">
        <v>241</v>
      </c>
      <c r="I304" t="s">
        <v>333</v>
      </c>
      <c r="J304" t="s">
        <v>261</v>
      </c>
      <c r="K304" t="s">
        <v>468</v>
      </c>
      <c r="L304" t="s">
        <v>245</v>
      </c>
      <c r="M304" t="s">
        <v>253</v>
      </c>
      <c r="N304" t="s">
        <v>247</v>
      </c>
      <c r="O304">
        <v>41762</v>
      </c>
      <c r="P304">
        <v>2.29</v>
      </c>
      <c r="Q304">
        <v>3.58</v>
      </c>
      <c r="R304">
        <f t="shared" si="25"/>
        <v>1.29</v>
      </c>
      <c r="S304">
        <v>15</v>
      </c>
      <c r="T304">
        <f t="shared" si="26"/>
        <v>53.7</v>
      </c>
      <c r="U304">
        <v>0.05</v>
      </c>
      <c r="V304">
        <f t="shared" si="27"/>
        <v>2.6850000000000005</v>
      </c>
      <c r="W304">
        <f t="shared" si="28"/>
        <v>51.015000000000001</v>
      </c>
      <c r="X304">
        <v>1.63</v>
      </c>
      <c r="Y304">
        <f t="shared" si="29"/>
        <v>52.645000000000003</v>
      </c>
    </row>
    <row r="305" spans="1:25" x14ac:dyDescent="0.25">
      <c r="A305" t="s">
        <v>1047</v>
      </c>
      <c r="B305">
        <v>41762</v>
      </c>
      <c r="C305" t="str">
        <f t="shared" si="24"/>
        <v>2014</v>
      </c>
      <c r="D305" t="s">
        <v>655</v>
      </c>
      <c r="E305" t="s">
        <v>612</v>
      </c>
      <c r="F305" t="s">
        <v>239</v>
      </c>
      <c r="G305" t="s">
        <v>240</v>
      </c>
      <c r="H305" t="s">
        <v>241</v>
      </c>
      <c r="I305" t="s">
        <v>242</v>
      </c>
      <c r="J305" t="s">
        <v>279</v>
      </c>
      <c r="K305" t="s">
        <v>578</v>
      </c>
      <c r="L305" t="s">
        <v>245</v>
      </c>
      <c r="M305" t="s">
        <v>253</v>
      </c>
      <c r="N305" t="s">
        <v>247</v>
      </c>
      <c r="O305">
        <v>41766</v>
      </c>
      <c r="P305">
        <v>1.31</v>
      </c>
      <c r="Q305">
        <v>2.84</v>
      </c>
      <c r="R305">
        <f t="shared" si="25"/>
        <v>1.5299999999999998</v>
      </c>
      <c r="S305">
        <v>48</v>
      </c>
      <c r="T305">
        <f t="shared" si="26"/>
        <v>136.32</v>
      </c>
      <c r="U305">
        <v>0.1</v>
      </c>
      <c r="V305">
        <f t="shared" si="27"/>
        <v>13.632</v>
      </c>
      <c r="W305">
        <f t="shared" si="28"/>
        <v>122.68799999999999</v>
      </c>
      <c r="X305">
        <v>0.93</v>
      </c>
      <c r="Y305">
        <f t="shared" si="29"/>
        <v>123.61799999999999</v>
      </c>
    </row>
    <row r="306" spans="1:25" x14ac:dyDescent="0.25">
      <c r="A306" t="s">
        <v>1048</v>
      </c>
      <c r="B306">
        <v>41765</v>
      </c>
      <c r="C306" t="str">
        <f t="shared" si="24"/>
        <v>2014</v>
      </c>
      <c r="D306" t="s">
        <v>1049</v>
      </c>
      <c r="E306" t="s">
        <v>558</v>
      </c>
      <c r="F306" t="s">
        <v>257</v>
      </c>
      <c r="G306" t="s">
        <v>258</v>
      </c>
      <c r="H306" t="s">
        <v>241</v>
      </c>
      <c r="I306" t="s">
        <v>333</v>
      </c>
      <c r="J306" t="s">
        <v>294</v>
      </c>
      <c r="K306" t="s">
        <v>634</v>
      </c>
      <c r="L306" t="s">
        <v>245</v>
      </c>
      <c r="M306" t="s">
        <v>246</v>
      </c>
      <c r="N306" t="s">
        <v>247</v>
      </c>
      <c r="O306">
        <v>41767</v>
      </c>
      <c r="P306">
        <v>2.2599999999999998</v>
      </c>
      <c r="Q306">
        <v>3.58</v>
      </c>
      <c r="R306">
        <f t="shared" si="25"/>
        <v>1.3200000000000003</v>
      </c>
      <c r="S306">
        <v>25</v>
      </c>
      <c r="T306">
        <f t="shared" si="26"/>
        <v>89.5</v>
      </c>
      <c r="U306">
        <v>0</v>
      </c>
      <c r="V306">
        <f t="shared" si="27"/>
        <v>0</v>
      </c>
      <c r="W306">
        <f t="shared" si="28"/>
        <v>89.5</v>
      </c>
      <c r="X306">
        <v>5.47</v>
      </c>
      <c r="Y306">
        <f t="shared" si="29"/>
        <v>94.97</v>
      </c>
    </row>
    <row r="307" spans="1:25" x14ac:dyDescent="0.25">
      <c r="A307" t="s">
        <v>1050</v>
      </c>
      <c r="B307">
        <v>41765</v>
      </c>
      <c r="C307" t="str">
        <f t="shared" si="24"/>
        <v>2014</v>
      </c>
      <c r="D307" t="s">
        <v>1049</v>
      </c>
      <c r="E307" t="s">
        <v>558</v>
      </c>
      <c r="F307" t="s">
        <v>257</v>
      </c>
      <c r="G307" t="s">
        <v>258</v>
      </c>
      <c r="H307" t="s">
        <v>241</v>
      </c>
      <c r="I307" t="s">
        <v>333</v>
      </c>
      <c r="J307" t="s">
        <v>294</v>
      </c>
      <c r="K307" t="s">
        <v>1051</v>
      </c>
      <c r="L307" t="s">
        <v>245</v>
      </c>
      <c r="M307" t="s">
        <v>253</v>
      </c>
      <c r="N307" t="s">
        <v>247</v>
      </c>
      <c r="O307">
        <v>41767</v>
      </c>
      <c r="P307">
        <v>0.87</v>
      </c>
      <c r="Q307">
        <v>1.81</v>
      </c>
      <c r="R307">
        <f t="shared" si="25"/>
        <v>0.94000000000000006</v>
      </c>
      <c r="S307">
        <v>45</v>
      </c>
      <c r="T307">
        <f t="shared" si="26"/>
        <v>81.45</v>
      </c>
      <c r="U307">
        <v>0.08</v>
      </c>
      <c r="V307">
        <f t="shared" si="27"/>
        <v>6.516</v>
      </c>
      <c r="W307">
        <f t="shared" si="28"/>
        <v>74.933999999999997</v>
      </c>
      <c r="X307">
        <v>0.75</v>
      </c>
      <c r="Y307">
        <f t="shared" si="29"/>
        <v>75.683999999999997</v>
      </c>
    </row>
    <row r="308" spans="1:25" x14ac:dyDescent="0.25">
      <c r="A308" t="s">
        <v>1052</v>
      </c>
      <c r="B308">
        <v>41767</v>
      </c>
      <c r="C308" t="str">
        <f t="shared" si="24"/>
        <v>2014</v>
      </c>
      <c r="D308" t="s">
        <v>1053</v>
      </c>
      <c r="E308" t="s">
        <v>1054</v>
      </c>
      <c r="F308" t="s">
        <v>448</v>
      </c>
      <c r="G308" t="s">
        <v>449</v>
      </c>
      <c r="H308" t="s">
        <v>259</v>
      </c>
      <c r="I308" t="s">
        <v>299</v>
      </c>
      <c r="J308" t="s">
        <v>279</v>
      </c>
      <c r="K308" t="s">
        <v>656</v>
      </c>
      <c r="L308" t="s">
        <v>245</v>
      </c>
      <c r="M308" t="s">
        <v>253</v>
      </c>
      <c r="N308" t="s">
        <v>247</v>
      </c>
      <c r="O308">
        <v>41772</v>
      </c>
      <c r="P308">
        <v>0.93</v>
      </c>
      <c r="Q308">
        <v>1.48</v>
      </c>
      <c r="R308">
        <f t="shared" si="25"/>
        <v>0.54999999999999993</v>
      </c>
      <c r="S308">
        <v>33</v>
      </c>
      <c r="T308">
        <f t="shared" si="26"/>
        <v>48.839999999999996</v>
      </c>
      <c r="U308">
        <v>7.0000000000000007E-2</v>
      </c>
      <c r="V308">
        <f t="shared" si="27"/>
        <v>3.4188000000000001</v>
      </c>
      <c r="W308">
        <f t="shared" si="28"/>
        <v>45.421199999999999</v>
      </c>
      <c r="X308">
        <v>0.7</v>
      </c>
      <c r="Y308">
        <f t="shared" si="29"/>
        <v>46.121200000000002</v>
      </c>
    </row>
    <row r="309" spans="1:25" x14ac:dyDescent="0.25">
      <c r="A309" t="s">
        <v>1055</v>
      </c>
      <c r="B309">
        <v>41767</v>
      </c>
      <c r="C309" t="str">
        <f t="shared" si="24"/>
        <v>2014</v>
      </c>
      <c r="D309" t="s">
        <v>1056</v>
      </c>
      <c r="E309" t="s">
        <v>467</v>
      </c>
      <c r="F309" t="s">
        <v>257</v>
      </c>
      <c r="G309" t="s">
        <v>258</v>
      </c>
      <c r="H309" t="s">
        <v>259</v>
      </c>
      <c r="I309" t="s">
        <v>342</v>
      </c>
      <c r="J309" t="s">
        <v>279</v>
      </c>
      <c r="K309" t="s">
        <v>543</v>
      </c>
      <c r="L309" t="s">
        <v>245</v>
      </c>
      <c r="M309" t="s">
        <v>246</v>
      </c>
      <c r="N309" t="s">
        <v>247</v>
      </c>
      <c r="O309">
        <v>41771</v>
      </c>
      <c r="P309">
        <v>1.33</v>
      </c>
      <c r="Q309">
        <v>2.08</v>
      </c>
      <c r="R309">
        <f t="shared" si="25"/>
        <v>0.75</v>
      </c>
      <c r="S309">
        <v>40</v>
      </c>
      <c r="T309">
        <f t="shared" si="26"/>
        <v>83.2</v>
      </c>
      <c r="U309">
        <v>0</v>
      </c>
      <c r="V309">
        <f t="shared" si="27"/>
        <v>0</v>
      </c>
      <c r="W309">
        <f t="shared" si="28"/>
        <v>83.2</v>
      </c>
      <c r="X309">
        <v>1.49</v>
      </c>
      <c r="Y309">
        <f t="shared" si="29"/>
        <v>84.69</v>
      </c>
    </row>
    <row r="310" spans="1:25" x14ac:dyDescent="0.25">
      <c r="A310" t="s">
        <v>1057</v>
      </c>
      <c r="B310">
        <v>41768</v>
      </c>
      <c r="C310" t="str">
        <f t="shared" si="24"/>
        <v>2014</v>
      </c>
      <c r="D310" t="s">
        <v>1058</v>
      </c>
      <c r="E310" t="s">
        <v>938</v>
      </c>
      <c r="F310" t="s">
        <v>239</v>
      </c>
      <c r="G310" t="s">
        <v>240</v>
      </c>
      <c r="H310" t="s">
        <v>259</v>
      </c>
      <c r="I310" t="s">
        <v>242</v>
      </c>
      <c r="J310" t="s">
        <v>261</v>
      </c>
      <c r="K310" t="s">
        <v>668</v>
      </c>
      <c r="L310" t="s">
        <v>440</v>
      </c>
      <c r="M310" t="s">
        <v>647</v>
      </c>
      <c r="N310" t="s">
        <v>247</v>
      </c>
      <c r="O310">
        <v>41769</v>
      </c>
      <c r="P310">
        <v>56.16</v>
      </c>
      <c r="Q310">
        <v>136.97999999999999</v>
      </c>
      <c r="R310">
        <f t="shared" si="25"/>
        <v>80.819999999999993</v>
      </c>
      <c r="S310">
        <v>44</v>
      </c>
      <c r="T310">
        <f t="shared" si="26"/>
        <v>6027.12</v>
      </c>
      <c r="U310">
        <v>0.08</v>
      </c>
      <c r="V310">
        <f t="shared" si="27"/>
        <v>482.1696</v>
      </c>
      <c r="W310">
        <f t="shared" si="28"/>
        <v>5544.9503999999997</v>
      </c>
      <c r="X310">
        <v>24.49</v>
      </c>
      <c r="Y310">
        <f t="shared" si="29"/>
        <v>5569.4403999999995</v>
      </c>
    </row>
    <row r="311" spans="1:25" x14ac:dyDescent="0.25">
      <c r="A311" t="s">
        <v>1059</v>
      </c>
      <c r="B311">
        <v>41770</v>
      </c>
      <c r="C311" t="str">
        <f t="shared" si="24"/>
        <v>2014</v>
      </c>
      <c r="D311" t="s">
        <v>535</v>
      </c>
      <c r="E311" t="s">
        <v>536</v>
      </c>
      <c r="F311" t="s">
        <v>448</v>
      </c>
      <c r="G311" t="s">
        <v>449</v>
      </c>
      <c r="H311" t="s">
        <v>259</v>
      </c>
      <c r="I311" t="s">
        <v>333</v>
      </c>
      <c r="J311" t="s">
        <v>304</v>
      </c>
      <c r="K311" t="s">
        <v>803</v>
      </c>
      <c r="L311" t="s">
        <v>245</v>
      </c>
      <c r="M311" t="s">
        <v>253</v>
      </c>
      <c r="N311" t="s">
        <v>247</v>
      </c>
      <c r="O311">
        <v>41771</v>
      </c>
      <c r="P311">
        <v>5.22</v>
      </c>
      <c r="Q311">
        <v>9.85</v>
      </c>
      <c r="R311">
        <f t="shared" si="25"/>
        <v>4.63</v>
      </c>
      <c r="S311">
        <v>20</v>
      </c>
      <c r="T311">
        <f t="shared" si="26"/>
        <v>197</v>
      </c>
      <c r="U311">
        <v>0.06</v>
      </c>
      <c r="V311">
        <f t="shared" si="27"/>
        <v>11.82</v>
      </c>
      <c r="W311">
        <f t="shared" si="28"/>
        <v>185.18</v>
      </c>
      <c r="X311">
        <v>4.82</v>
      </c>
      <c r="Y311">
        <f t="shared" si="29"/>
        <v>190</v>
      </c>
    </row>
    <row r="312" spans="1:25" x14ac:dyDescent="0.25">
      <c r="A312" t="s">
        <v>1060</v>
      </c>
      <c r="B312">
        <v>41772</v>
      </c>
      <c r="C312" t="str">
        <f t="shared" si="24"/>
        <v>2014</v>
      </c>
      <c r="D312" t="s">
        <v>667</v>
      </c>
      <c r="E312" t="s">
        <v>341</v>
      </c>
      <c r="F312" t="s">
        <v>257</v>
      </c>
      <c r="G312" t="s">
        <v>258</v>
      </c>
      <c r="H312" t="s">
        <v>241</v>
      </c>
      <c r="I312" t="s">
        <v>342</v>
      </c>
      <c r="J312" t="s">
        <v>294</v>
      </c>
      <c r="K312" t="s">
        <v>1061</v>
      </c>
      <c r="L312" t="s">
        <v>245</v>
      </c>
      <c r="M312" t="s">
        <v>246</v>
      </c>
      <c r="N312" t="s">
        <v>247</v>
      </c>
      <c r="O312">
        <v>41773</v>
      </c>
      <c r="P312">
        <v>2.76</v>
      </c>
      <c r="Q312">
        <v>4.38</v>
      </c>
      <c r="R312">
        <f t="shared" si="25"/>
        <v>1.62</v>
      </c>
      <c r="S312">
        <v>29</v>
      </c>
      <c r="T312">
        <f t="shared" si="26"/>
        <v>127.02</v>
      </c>
      <c r="U312">
        <v>0.08</v>
      </c>
      <c r="V312">
        <f t="shared" si="27"/>
        <v>10.1616</v>
      </c>
      <c r="W312">
        <f t="shared" si="28"/>
        <v>116.85839999999999</v>
      </c>
      <c r="X312">
        <v>6.21</v>
      </c>
      <c r="Y312">
        <f t="shared" si="29"/>
        <v>123.06839999999998</v>
      </c>
    </row>
    <row r="313" spans="1:25" x14ac:dyDescent="0.25">
      <c r="A313" t="s">
        <v>1062</v>
      </c>
      <c r="B313">
        <v>41774</v>
      </c>
      <c r="C313" t="str">
        <f t="shared" si="24"/>
        <v>2014</v>
      </c>
      <c r="D313" t="s">
        <v>605</v>
      </c>
      <c r="E313" t="s">
        <v>606</v>
      </c>
      <c r="F313" t="s">
        <v>448</v>
      </c>
      <c r="G313" t="s">
        <v>449</v>
      </c>
      <c r="H313" t="s">
        <v>274</v>
      </c>
      <c r="I313" t="s">
        <v>284</v>
      </c>
      <c r="J313" t="s">
        <v>304</v>
      </c>
      <c r="K313" t="s">
        <v>617</v>
      </c>
      <c r="L313" t="s">
        <v>245</v>
      </c>
      <c r="M313" t="s">
        <v>246</v>
      </c>
      <c r="N313" t="s">
        <v>247</v>
      </c>
      <c r="O313">
        <v>41775</v>
      </c>
      <c r="P313">
        <v>1.94</v>
      </c>
      <c r="Q313">
        <v>3.08</v>
      </c>
      <c r="R313">
        <f t="shared" si="25"/>
        <v>1.1400000000000001</v>
      </c>
      <c r="S313">
        <v>9</v>
      </c>
      <c r="T313">
        <f t="shared" si="26"/>
        <v>27.72</v>
      </c>
      <c r="U313">
        <v>0.01</v>
      </c>
      <c r="V313">
        <f t="shared" si="27"/>
        <v>0.2772</v>
      </c>
      <c r="W313">
        <f t="shared" si="28"/>
        <v>27.442799999999998</v>
      </c>
      <c r="X313">
        <v>0.99</v>
      </c>
      <c r="Y313">
        <f t="shared" si="29"/>
        <v>28.432799999999997</v>
      </c>
    </row>
    <row r="314" spans="1:25" x14ac:dyDescent="0.25">
      <c r="A314" t="s">
        <v>1063</v>
      </c>
      <c r="B314">
        <v>41776</v>
      </c>
      <c r="C314" t="str">
        <f t="shared" si="24"/>
        <v>2014</v>
      </c>
      <c r="D314" t="s">
        <v>497</v>
      </c>
      <c r="E314" t="s">
        <v>346</v>
      </c>
      <c r="F314" t="s">
        <v>257</v>
      </c>
      <c r="G314" t="s">
        <v>258</v>
      </c>
      <c r="H314" t="s">
        <v>293</v>
      </c>
      <c r="I314" t="s">
        <v>309</v>
      </c>
      <c r="J314" t="s">
        <v>294</v>
      </c>
      <c r="K314" t="s">
        <v>676</v>
      </c>
      <c r="L314" t="s">
        <v>245</v>
      </c>
      <c r="M314" t="s">
        <v>323</v>
      </c>
      <c r="N314" t="s">
        <v>247</v>
      </c>
      <c r="O314">
        <v>41777</v>
      </c>
      <c r="P314">
        <v>5.19</v>
      </c>
      <c r="Q314">
        <v>12.98</v>
      </c>
      <c r="R314">
        <f t="shared" si="25"/>
        <v>7.79</v>
      </c>
      <c r="S314">
        <v>20</v>
      </c>
      <c r="T314">
        <f t="shared" si="26"/>
        <v>259.60000000000002</v>
      </c>
      <c r="U314">
        <v>0.04</v>
      </c>
      <c r="V314">
        <f t="shared" si="27"/>
        <v>10.384</v>
      </c>
      <c r="W314">
        <f t="shared" si="28"/>
        <v>249.21600000000001</v>
      </c>
      <c r="X314">
        <v>3.14</v>
      </c>
      <c r="Y314">
        <f t="shared" si="29"/>
        <v>252.35599999999999</v>
      </c>
    </row>
    <row r="315" spans="1:25" x14ac:dyDescent="0.25">
      <c r="A315" t="s">
        <v>1064</v>
      </c>
      <c r="B315">
        <v>41778</v>
      </c>
      <c r="C315" t="str">
        <f t="shared" si="24"/>
        <v>2014</v>
      </c>
      <c r="D315" t="s">
        <v>1065</v>
      </c>
      <c r="E315" t="s">
        <v>1001</v>
      </c>
      <c r="F315" t="s">
        <v>239</v>
      </c>
      <c r="G315" t="s">
        <v>240</v>
      </c>
      <c r="H315" t="s">
        <v>274</v>
      </c>
      <c r="I315" t="s">
        <v>251</v>
      </c>
      <c r="J315" t="s">
        <v>304</v>
      </c>
      <c r="K315" t="s">
        <v>439</v>
      </c>
      <c r="L315" t="s">
        <v>440</v>
      </c>
      <c r="M315" t="s">
        <v>323</v>
      </c>
      <c r="N315" t="s">
        <v>263</v>
      </c>
      <c r="O315">
        <v>41779</v>
      </c>
      <c r="P315">
        <v>5.5</v>
      </c>
      <c r="Q315">
        <v>12.22</v>
      </c>
      <c r="R315">
        <f t="shared" si="25"/>
        <v>6.7200000000000006</v>
      </c>
      <c r="S315">
        <v>18</v>
      </c>
      <c r="T315">
        <f t="shared" si="26"/>
        <v>219.96</v>
      </c>
      <c r="U315">
        <v>0.04</v>
      </c>
      <c r="V315">
        <f t="shared" si="27"/>
        <v>8.7984000000000009</v>
      </c>
      <c r="W315">
        <f t="shared" si="28"/>
        <v>211.16160000000002</v>
      </c>
      <c r="X315">
        <v>2.85</v>
      </c>
      <c r="Y315">
        <f t="shared" si="29"/>
        <v>214.01160000000002</v>
      </c>
    </row>
    <row r="316" spans="1:25" x14ac:dyDescent="0.25">
      <c r="A316" t="s">
        <v>1066</v>
      </c>
      <c r="B316">
        <v>41778</v>
      </c>
      <c r="C316" t="str">
        <f t="shared" si="24"/>
        <v>2014</v>
      </c>
      <c r="D316" t="s">
        <v>1067</v>
      </c>
      <c r="E316" t="s">
        <v>438</v>
      </c>
      <c r="F316" t="s">
        <v>257</v>
      </c>
      <c r="G316" t="s">
        <v>258</v>
      </c>
      <c r="H316" t="s">
        <v>259</v>
      </c>
      <c r="I316" t="s">
        <v>309</v>
      </c>
      <c r="J316" t="s">
        <v>279</v>
      </c>
      <c r="K316" t="s">
        <v>888</v>
      </c>
      <c r="L316" t="s">
        <v>245</v>
      </c>
      <c r="M316" t="s">
        <v>253</v>
      </c>
      <c r="N316" t="s">
        <v>263</v>
      </c>
      <c r="O316">
        <v>41783</v>
      </c>
      <c r="P316">
        <v>2.31</v>
      </c>
      <c r="Q316">
        <v>3.78</v>
      </c>
      <c r="R316">
        <f t="shared" si="25"/>
        <v>1.4699999999999998</v>
      </c>
      <c r="S316">
        <v>15</v>
      </c>
      <c r="T316">
        <f t="shared" si="26"/>
        <v>56.699999999999996</v>
      </c>
      <c r="U316">
        <v>0.03</v>
      </c>
      <c r="V316">
        <f t="shared" si="27"/>
        <v>1.7009999999999998</v>
      </c>
      <c r="W316">
        <f t="shared" si="28"/>
        <v>54.998999999999995</v>
      </c>
      <c r="X316">
        <v>0.71</v>
      </c>
      <c r="Y316">
        <f t="shared" si="29"/>
        <v>55.708999999999996</v>
      </c>
    </row>
    <row r="317" spans="1:25" x14ac:dyDescent="0.25">
      <c r="A317" t="s">
        <v>1068</v>
      </c>
      <c r="B317">
        <v>41784</v>
      </c>
      <c r="C317" t="str">
        <f t="shared" si="24"/>
        <v>2014</v>
      </c>
      <c r="D317" t="s">
        <v>1069</v>
      </c>
      <c r="E317" t="s">
        <v>1070</v>
      </c>
      <c r="F317" t="s">
        <v>257</v>
      </c>
      <c r="G317" t="s">
        <v>258</v>
      </c>
      <c r="H317" t="s">
        <v>293</v>
      </c>
      <c r="I317" t="s">
        <v>504</v>
      </c>
      <c r="J317" t="s">
        <v>279</v>
      </c>
      <c r="K317" t="s">
        <v>594</v>
      </c>
      <c r="L317" t="s">
        <v>268</v>
      </c>
      <c r="M317" t="s">
        <v>269</v>
      </c>
      <c r="N317" t="s">
        <v>270</v>
      </c>
      <c r="O317">
        <v>41788</v>
      </c>
      <c r="P317">
        <v>278.99</v>
      </c>
      <c r="Q317">
        <v>449.99</v>
      </c>
      <c r="R317">
        <f t="shared" si="25"/>
        <v>171</v>
      </c>
      <c r="S317">
        <v>47</v>
      </c>
      <c r="T317">
        <f t="shared" si="26"/>
        <v>21149.53</v>
      </c>
      <c r="U317">
        <v>0.1</v>
      </c>
      <c r="V317">
        <f t="shared" si="27"/>
        <v>2114.953</v>
      </c>
      <c r="W317">
        <f t="shared" si="28"/>
        <v>19034.576999999997</v>
      </c>
      <c r="X317">
        <v>49</v>
      </c>
      <c r="Y317">
        <f t="shared" si="29"/>
        <v>19083.576999999997</v>
      </c>
    </row>
    <row r="318" spans="1:25" x14ac:dyDescent="0.25">
      <c r="A318" t="s">
        <v>1071</v>
      </c>
      <c r="B318">
        <v>41788</v>
      </c>
      <c r="C318" t="str">
        <f t="shared" si="24"/>
        <v>2014</v>
      </c>
      <c r="D318" t="s">
        <v>1072</v>
      </c>
      <c r="E318" t="s">
        <v>463</v>
      </c>
      <c r="F318" t="s">
        <v>257</v>
      </c>
      <c r="G318" t="s">
        <v>258</v>
      </c>
      <c r="H318" t="s">
        <v>259</v>
      </c>
      <c r="I318" t="s">
        <v>333</v>
      </c>
      <c r="J318" t="s">
        <v>279</v>
      </c>
      <c r="K318" t="s">
        <v>377</v>
      </c>
      <c r="L318" t="s">
        <v>268</v>
      </c>
      <c r="M318" t="s">
        <v>246</v>
      </c>
      <c r="N318" t="s">
        <v>247</v>
      </c>
      <c r="O318">
        <v>41792</v>
      </c>
      <c r="P318">
        <v>32.020000000000003</v>
      </c>
      <c r="Q318">
        <v>152.47999999999999</v>
      </c>
      <c r="R318">
        <f t="shared" si="25"/>
        <v>120.45999999999998</v>
      </c>
      <c r="S318">
        <v>49</v>
      </c>
      <c r="T318">
        <f t="shared" si="26"/>
        <v>7471.5199999999995</v>
      </c>
      <c r="U318">
        <v>0.03</v>
      </c>
      <c r="V318">
        <f t="shared" si="27"/>
        <v>224.14559999999997</v>
      </c>
      <c r="W318">
        <f t="shared" si="28"/>
        <v>7247.3743999999997</v>
      </c>
      <c r="X318">
        <v>4</v>
      </c>
      <c r="Y318">
        <f t="shared" si="29"/>
        <v>7251.3743999999997</v>
      </c>
    </row>
    <row r="319" spans="1:25" x14ac:dyDescent="0.25">
      <c r="A319" t="s">
        <v>1073</v>
      </c>
      <c r="B319">
        <v>41788</v>
      </c>
      <c r="C319" t="str">
        <f t="shared" si="24"/>
        <v>2014</v>
      </c>
      <c r="D319" t="s">
        <v>1074</v>
      </c>
      <c r="E319" t="s">
        <v>1075</v>
      </c>
      <c r="F319" t="s">
        <v>257</v>
      </c>
      <c r="G319" t="s">
        <v>258</v>
      </c>
      <c r="H319" t="s">
        <v>259</v>
      </c>
      <c r="I319" t="s">
        <v>299</v>
      </c>
      <c r="J319" t="s">
        <v>243</v>
      </c>
      <c r="K319" t="s">
        <v>421</v>
      </c>
      <c r="L319" t="s">
        <v>245</v>
      </c>
      <c r="M319" t="s">
        <v>246</v>
      </c>
      <c r="N319" t="s">
        <v>247</v>
      </c>
      <c r="O319">
        <v>41788</v>
      </c>
      <c r="P319">
        <v>13.88</v>
      </c>
      <c r="Q319">
        <v>22.38</v>
      </c>
      <c r="R319">
        <f t="shared" si="25"/>
        <v>8.4999999999999982</v>
      </c>
      <c r="S319">
        <v>26</v>
      </c>
      <c r="T319">
        <f t="shared" si="26"/>
        <v>581.88</v>
      </c>
      <c r="U319">
        <v>7.0000000000000007E-2</v>
      </c>
      <c r="V319">
        <f t="shared" si="27"/>
        <v>40.7316</v>
      </c>
      <c r="W319">
        <f t="shared" si="28"/>
        <v>541.14840000000004</v>
      </c>
      <c r="X319">
        <v>15.1</v>
      </c>
      <c r="Y319">
        <f t="shared" si="29"/>
        <v>556.24840000000006</v>
      </c>
    </row>
    <row r="320" spans="1:25" x14ac:dyDescent="0.25">
      <c r="A320" t="s">
        <v>1076</v>
      </c>
      <c r="B320">
        <v>41788</v>
      </c>
      <c r="C320" t="str">
        <f t="shared" si="24"/>
        <v>2014</v>
      </c>
      <c r="D320" t="s">
        <v>1077</v>
      </c>
      <c r="E320" t="s">
        <v>633</v>
      </c>
      <c r="F320" t="s">
        <v>239</v>
      </c>
      <c r="G320" t="s">
        <v>240</v>
      </c>
      <c r="H320" t="s">
        <v>259</v>
      </c>
      <c r="I320" t="s">
        <v>242</v>
      </c>
      <c r="J320" t="s">
        <v>304</v>
      </c>
      <c r="K320" t="s">
        <v>387</v>
      </c>
      <c r="L320" t="s">
        <v>245</v>
      </c>
      <c r="M320" t="s">
        <v>323</v>
      </c>
      <c r="N320" t="s">
        <v>247</v>
      </c>
      <c r="O320">
        <v>41788</v>
      </c>
      <c r="P320">
        <v>4.79</v>
      </c>
      <c r="Q320">
        <v>11.97</v>
      </c>
      <c r="R320">
        <f t="shared" si="25"/>
        <v>7.1800000000000006</v>
      </c>
      <c r="S320">
        <v>46</v>
      </c>
      <c r="T320">
        <f t="shared" si="26"/>
        <v>550.62</v>
      </c>
      <c r="U320">
        <v>7.0000000000000007E-2</v>
      </c>
      <c r="V320">
        <f t="shared" si="27"/>
        <v>38.543400000000005</v>
      </c>
      <c r="W320">
        <f t="shared" si="28"/>
        <v>512.07659999999998</v>
      </c>
      <c r="X320">
        <v>5.81</v>
      </c>
      <c r="Y320">
        <f t="shared" si="29"/>
        <v>517.88659999999993</v>
      </c>
    </row>
    <row r="321" spans="1:25" x14ac:dyDescent="0.25">
      <c r="A321" t="s">
        <v>1078</v>
      </c>
      <c r="B321">
        <v>41792</v>
      </c>
      <c r="C321" t="str">
        <f t="shared" si="24"/>
        <v>2014</v>
      </c>
      <c r="D321" t="s">
        <v>1079</v>
      </c>
      <c r="E321" t="s">
        <v>1080</v>
      </c>
      <c r="F321" t="s">
        <v>239</v>
      </c>
      <c r="G321" t="s">
        <v>240</v>
      </c>
      <c r="H321" t="s">
        <v>259</v>
      </c>
      <c r="I321" t="s">
        <v>251</v>
      </c>
      <c r="J321" t="s">
        <v>261</v>
      </c>
      <c r="K321" t="s">
        <v>413</v>
      </c>
      <c r="L321" t="s">
        <v>268</v>
      </c>
      <c r="M321" t="s">
        <v>414</v>
      </c>
      <c r="N321" t="s">
        <v>247</v>
      </c>
      <c r="O321">
        <v>41794</v>
      </c>
      <c r="P321">
        <v>8.82</v>
      </c>
      <c r="Q321">
        <v>20.99</v>
      </c>
      <c r="R321">
        <f t="shared" si="25"/>
        <v>12.169999999999998</v>
      </c>
      <c r="S321">
        <v>10</v>
      </c>
      <c r="T321">
        <f t="shared" si="26"/>
        <v>209.89999999999998</v>
      </c>
      <c r="U321">
        <v>0</v>
      </c>
      <c r="V321">
        <f t="shared" si="27"/>
        <v>0</v>
      </c>
      <c r="W321">
        <f t="shared" si="28"/>
        <v>209.89999999999998</v>
      </c>
      <c r="X321">
        <v>4.8099999999999996</v>
      </c>
      <c r="Y321">
        <f t="shared" si="29"/>
        <v>214.70999999999998</v>
      </c>
    </row>
    <row r="322" spans="1:25" x14ac:dyDescent="0.25">
      <c r="A322" t="s">
        <v>1081</v>
      </c>
      <c r="B322">
        <v>41793</v>
      </c>
      <c r="C322" t="str">
        <f t="shared" si="24"/>
        <v>2014</v>
      </c>
      <c r="D322" t="s">
        <v>794</v>
      </c>
      <c r="E322" t="s">
        <v>795</v>
      </c>
      <c r="F322" t="s">
        <v>257</v>
      </c>
      <c r="G322" t="s">
        <v>258</v>
      </c>
      <c r="H322" t="s">
        <v>259</v>
      </c>
      <c r="I322" t="s">
        <v>372</v>
      </c>
      <c r="J322" t="s">
        <v>294</v>
      </c>
      <c r="K322" t="s">
        <v>1082</v>
      </c>
      <c r="L322" t="s">
        <v>245</v>
      </c>
      <c r="M322" t="s">
        <v>253</v>
      </c>
      <c r="N322" t="s">
        <v>247</v>
      </c>
      <c r="O322">
        <v>41794</v>
      </c>
      <c r="P322">
        <v>1.0900000000000001</v>
      </c>
      <c r="Q322">
        <v>1.82</v>
      </c>
      <c r="R322">
        <f t="shared" si="25"/>
        <v>0.73</v>
      </c>
      <c r="S322">
        <v>40</v>
      </c>
      <c r="T322">
        <f t="shared" si="26"/>
        <v>72.8</v>
      </c>
      <c r="U322">
        <v>0.1</v>
      </c>
      <c r="V322">
        <f t="shared" si="27"/>
        <v>7.28</v>
      </c>
      <c r="W322">
        <f t="shared" si="28"/>
        <v>65.52</v>
      </c>
      <c r="X322">
        <v>1</v>
      </c>
      <c r="Y322">
        <f t="shared" si="29"/>
        <v>66.52</v>
      </c>
    </row>
    <row r="323" spans="1:25" x14ac:dyDescent="0.25">
      <c r="A323" t="s">
        <v>1083</v>
      </c>
      <c r="B323">
        <v>41793</v>
      </c>
      <c r="C323" t="str">
        <f t="shared" si="24"/>
        <v>2014</v>
      </c>
      <c r="D323" t="s">
        <v>1084</v>
      </c>
      <c r="E323" t="s">
        <v>1085</v>
      </c>
      <c r="F323" t="s">
        <v>448</v>
      </c>
      <c r="G323" t="s">
        <v>449</v>
      </c>
      <c r="H323" t="s">
        <v>293</v>
      </c>
      <c r="I323" t="s">
        <v>333</v>
      </c>
      <c r="J323" t="s">
        <v>243</v>
      </c>
      <c r="K323" t="s">
        <v>435</v>
      </c>
      <c r="L323" t="s">
        <v>245</v>
      </c>
      <c r="M323" t="s">
        <v>253</v>
      </c>
      <c r="N323" t="s">
        <v>247</v>
      </c>
      <c r="O323">
        <v>41795</v>
      </c>
      <c r="P323">
        <v>3.75</v>
      </c>
      <c r="Q323">
        <v>7.08</v>
      </c>
      <c r="R323">
        <f t="shared" si="25"/>
        <v>3.33</v>
      </c>
      <c r="S323">
        <v>45</v>
      </c>
      <c r="T323">
        <f t="shared" si="26"/>
        <v>318.60000000000002</v>
      </c>
      <c r="U323">
        <v>0.06</v>
      </c>
      <c r="V323">
        <f t="shared" si="27"/>
        <v>19.116</v>
      </c>
      <c r="W323">
        <f t="shared" si="28"/>
        <v>299.48400000000004</v>
      </c>
      <c r="X323">
        <v>2.35</v>
      </c>
      <c r="Y323">
        <f t="shared" si="29"/>
        <v>301.83400000000006</v>
      </c>
    </row>
    <row r="324" spans="1:25" x14ac:dyDescent="0.25">
      <c r="A324" t="s">
        <v>1086</v>
      </c>
      <c r="B324">
        <v>41794</v>
      </c>
      <c r="C324" t="str">
        <f t="shared" si="24"/>
        <v>2014</v>
      </c>
      <c r="D324" t="s">
        <v>752</v>
      </c>
      <c r="E324" t="s">
        <v>503</v>
      </c>
      <c r="F324" t="s">
        <v>257</v>
      </c>
      <c r="G324" t="s">
        <v>258</v>
      </c>
      <c r="H324" t="s">
        <v>274</v>
      </c>
      <c r="I324" t="s">
        <v>504</v>
      </c>
      <c r="J324" t="s">
        <v>243</v>
      </c>
      <c r="K324" t="s">
        <v>508</v>
      </c>
      <c r="L324" t="s">
        <v>245</v>
      </c>
      <c r="M324" t="s">
        <v>246</v>
      </c>
      <c r="N324" t="s">
        <v>247</v>
      </c>
      <c r="O324">
        <v>41795</v>
      </c>
      <c r="P324">
        <v>178.83</v>
      </c>
      <c r="Q324">
        <v>415.88</v>
      </c>
      <c r="R324">
        <f t="shared" si="25"/>
        <v>237.04999999999998</v>
      </c>
      <c r="S324">
        <v>43</v>
      </c>
      <c r="T324">
        <f t="shared" si="26"/>
        <v>17882.84</v>
      </c>
      <c r="U324">
        <v>7.0000000000000007E-2</v>
      </c>
      <c r="V324">
        <f t="shared" si="27"/>
        <v>1251.7988</v>
      </c>
      <c r="W324">
        <f t="shared" si="28"/>
        <v>16631.0412</v>
      </c>
      <c r="X324">
        <v>11.37</v>
      </c>
      <c r="Y324">
        <f t="shared" si="29"/>
        <v>16642.411199999999</v>
      </c>
    </row>
    <row r="325" spans="1:25" x14ac:dyDescent="0.25">
      <c r="A325" t="s">
        <v>1087</v>
      </c>
      <c r="B325">
        <v>41794</v>
      </c>
      <c r="C325" t="str">
        <f t="shared" si="24"/>
        <v>2014</v>
      </c>
      <c r="D325" t="s">
        <v>1088</v>
      </c>
      <c r="E325" t="s">
        <v>467</v>
      </c>
      <c r="F325" t="s">
        <v>257</v>
      </c>
      <c r="G325" t="s">
        <v>258</v>
      </c>
      <c r="H325" t="s">
        <v>293</v>
      </c>
      <c r="I325" t="s">
        <v>342</v>
      </c>
      <c r="J325" t="s">
        <v>294</v>
      </c>
      <c r="K325" t="s">
        <v>464</v>
      </c>
      <c r="L325" t="s">
        <v>268</v>
      </c>
      <c r="M325" t="s">
        <v>246</v>
      </c>
      <c r="N325" t="s">
        <v>247</v>
      </c>
      <c r="O325">
        <v>41795</v>
      </c>
      <c r="P325">
        <v>156.5</v>
      </c>
      <c r="Q325">
        <v>300.97000000000003</v>
      </c>
      <c r="R325">
        <f t="shared" si="25"/>
        <v>144.47000000000003</v>
      </c>
      <c r="S325">
        <v>6</v>
      </c>
      <c r="T325">
        <f t="shared" si="26"/>
        <v>1805.8200000000002</v>
      </c>
      <c r="U325">
        <v>0.04</v>
      </c>
      <c r="V325">
        <f t="shared" si="27"/>
        <v>72.232800000000012</v>
      </c>
      <c r="W325">
        <f t="shared" si="28"/>
        <v>1733.5872000000002</v>
      </c>
      <c r="X325">
        <v>7.18</v>
      </c>
      <c r="Y325">
        <f t="shared" si="29"/>
        <v>1740.7672000000002</v>
      </c>
    </row>
    <row r="326" spans="1:25" x14ac:dyDescent="0.25">
      <c r="A326" t="s">
        <v>1089</v>
      </c>
      <c r="B326">
        <v>41795</v>
      </c>
      <c r="C326" t="str">
        <f t="shared" ref="C326:C389" si="30">TEXT(B326,"yyyy")</f>
        <v>2014</v>
      </c>
      <c r="D326" t="s">
        <v>1090</v>
      </c>
      <c r="E326" t="s">
        <v>835</v>
      </c>
      <c r="F326" t="s">
        <v>257</v>
      </c>
      <c r="G326" t="s">
        <v>258</v>
      </c>
      <c r="H326" t="s">
        <v>259</v>
      </c>
      <c r="I326" t="s">
        <v>284</v>
      </c>
      <c r="J326" t="s">
        <v>304</v>
      </c>
      <c r="K326" t="s">
        <v>475</v>
      </c>
      <c r="L326" t="s">
        <v>245</v>
      </c>
      <c r="M326" t="s">
        <v>246</v>
      </c>
      <c r="N326" t="s">
        <v>247</v>
      </c>
      <c r="O326">
        <v>41797</v>
      </c>
      <c r="P326">
        <v>12.39</v>
      </c>
      <c r="Q326">
        <v>19.98</v>
      </c>
      <c r="R326">
        <f t="shared" ref="R326:R389" si="31">Q326-P326</f>
        <v>7.59</v>
      </c>
      <c r="S326">
        <v>10</v>
      </c>
      <c r="T326">
        <f t="shared" ref="T326:T389" si="32">Q326*S326</f>
        <v>199.8</v>
      </c>
      <c r="U326">
        <v>0.1</v>
      </c>
      <c r="V326">
        <f t="shared" ref="V326:V389" si="33">T326*U326</f>
        <v>19.980000000000004</v>
      </c>
      <c r="W326">
        <f t="shared" ref="W326:W389" si="34">T326-V326</f>
        <v>179.82</v>
      </c>
      <c r="X326">
        <v>5.77</v>
      </c>
      <c r="Y326">
        <f t="shared" ref="Y326:Y389" si="35">W326+X326</f>
        <v>185.59</v>
      </c>
    </row>
    <row r="327" spans="1:25" x14ac:dyDescent="0.25">
      <c r="A327" t="s">
        <v>1091</v>
      </c>
      <c r="B327">
        <v>41797</v>
      </c>
      <c r="C327" t="str">
        <f t="shared" si="30"/>
        <v>2014</v>
      </c>
      <c r="D327" t="s">
        <v>1092</v>
      </c>
      <c r="E327" t="s">
        <v>1093</v>
      </c>
      <c r="F327" t="s">
        <v>257</v>
      </c>
      <c r="G327" t="s">
        <v>258</v>
      </c>
      <c r="H327" t="s">
        <v>274</v>
      </c>
      <c r="I327" t="s">
        <v>372</v>
      </c>
      <c r="J327" t="s">
        <v>304</v>
      </c>
      <c r="K327" t="s">
        <v>594</v>
      </c>
      <c r="L327" t="s">
        <v>268</v>
      </c>
      <c r="M327" t="s">
        <v>269</v>
      </c>
      <c r="N327" t="s">
        <v>270</v>
      </c>
      <c r="O327">
        <v>41798</v>
      </c>
      <c r="P327">
        <v>278.99</v>
      </c>
      <c r="Q327">
        <v>449.99</v>
      </c>
      <c r="R327">
        <f t="shared" si="31"/>
        <v>171</v>
      </c>
      <c r="S327">
        <v>5</v>
      </c>
      <c r="T327">
        <f t="shared" si="32"/>
        <v>2249.9499999999998</v>
      </c>
      <c r="U327">
        <v>0.01</v>
      </c>
      <c r="V327">
        <f t="shared" si="33"/>
        <v>22.499499999999998</v>
      </c>
      <c r="W327">
        <f t="shared" si="34"/>
        <v>2227.4504999999999</v>
      </c>
      <c r="X327">
        <v>49</v>
      </c>
      <c r="Y327">
        <f t="shared" si="35"/>
        <v>2276.4504999999999</v>
      </c>
    </row>
    <row r="328" spans="1:25" x14ac:dyDescent="0.25">
      <c r="A328" t="s">
        <v>1094</v>
      </c>
      <c r="B328">
        <v>41798</v>
      </c>
      <c r="C328" t="str">
        <f t="shared" si="30"/>
        <v>2014</v>
      </c>
      <c r="D328" t="s">
        <v>1095</v>
      </c>
      <c r="E328" t="s">
        <v>528</v>
      </c>
      <c r="F328" t="s">
        <v>239</v>
      </c>
      <c r="G328" t="s">
        <v>240</v>
      </c>
      <c r="H328" t="s">
        <v>259</v>
      </c>
      <c r="I328" t="s">
        <v>251</v>
      </c>
      <c r="J328" t="s">
        <v>294</v>
      </c>
      <c r="K328" t="s">
        <v>634</v>
      </c>
      <c r="L328" t="s">
        <v>245</v>
      </c>
      <c r="M328" t="s">
        <v>246</v>
      </c>
      <c r="N328" t="s">
        <v>263</v>
      </c>
      <c r="O328">
        <v>41800</v>
      </c>
      <c r="P328">
        <v>2.2599999999999998</v>
      </c>
      <c r="Q328">
        <v>3.58</v>
      </c>
      <c r="R328">
        <f t="shared" si="31"/>
        <v>1.3200000000000003</v>
      </c>
      <c r="S328">
        <v>44</v>
      </c>
      <c r="T328">
        <f t="shared" si="32"/>
        <v>157.52000000000001</v>
      </c>
      <c r="U328">
        <v>0.06</v>
      </c>
      <c r="V328">
        <f t="shared" si="33"/>
        <v>9.4512</v>
      </c>
      <c r="W328">
        <f t="shared" si="34"/>
        <v>148.06880000000001</v>
      </c>
      <c r="X328">
        <v>5.47</v>
      </c>
      <c r="Y328">
        <f t="shared" si="35"/>
        <v>153.53880000000001</v>
      </c>
    </row>
    <row r="329" spans="1:25" x14ac:dyDescent="0.25">
      <c r="A329" t="s">
        <v>1096</v>
      </c>
      <c r="B329">
        <v>41799</v>
      </c>
      <c r="C329" t="str">
        <f t="shared" si="30"/>
        <v>2014</v>
      </c>
      <c r="D329" t="s">
        <v>474</v>
      </c>
      <c r="E329" t="s">
        <v>320</v>
      </c>
      <c r="F329" t="s">
        <v>448</v>
      </c>
      <c r="G329" t="s">
        <v>449</v>
      </c>
      <c r="H329" t="s">
        <v>293</v>
      </c>
      <c r="I329" t="s">
        <v>381</v>
      </c>
      <c r="J329" t="s">
        <v>243</v>
      </c>
      <c r="K329" t="s">
        <v>836</v>
      </c>
      <c r="L329" t="s">
        <v>440</v>
      </c>
      <c r="M329" t="s">
        <v>323</v>
      </c>
      <c r="N329" t="s">
        <v>247</v>
      </c>
      <c r="O329">
        <v>41799</v>
      </c>
      <c r="P329">
        <v>11.38</v>
      </c>
      <c r="Q329">
        <v>18.649999999999999</v>
      </c>
      <c r="R329">
        <f t="shared" si="31"/>
        <v>7.2699999999999978</v>
      </c>
      <c r="S329">
        <v>18</v>
      </c>
      <c r="T329">
        <f t="shared" si="32"/>
        <v>335.7</v>
      </c>
      <c r="U329">
        <v>0.1</v>
      </c>
      <c r="V329">
        <f t="shared" si="33"/>
        <v>33.57</v>
      </c>
      <c r="W329">
        <f t="shared" si="34"/>
        <v>302.13</v>
      </c>
      <c r="X329">
        <v>3.77</v>
      </c>
      <c r="Y329">
        <f t="shared" si="35"/>
        <v>305.89999999999998</v>
      </c>
    </row>
    <row r="330" spans="1:25" x14ac:dyDescent="0.25">
      <c r="A330" t="s">
        <v>1097</v>
      </c>
      <c r="B330">
        <v>41803</v>
      </c>
      <c r="C330" t="str">
        <f t="shared" si="30"/>
        <v>2014</v>
      </c>
      <c r="D330" t="s">
        <v>1098</v>
      </c>
      <c r="E330" t="s">
        <v>581</v>
      </c>
      <c r="F330" t="s">
        <v>257</v>
      </c>
      <c r="G330" t="s">
        <v>258</v>
      </c>
      <c r="H330" t="s">
        <v>259</v>
      </c>
      <c r="I330" t="s">
        <v>309</v>
      </c>
      <c r="J330" t="s">
        <v>279</v>
      </c>
      <c r="K330" t="s">
        <v>514</v>
      </c>
      <c r="L330" t="s">
        <v>245</v>
      </c>
      <c r="M330" t="s">
        <v>246</v>
      </c>
      <c r="N330" t="s">
        <v>263</v>
      </c>
      <c r="O330">
        <v>41812</v>
      </c>
      <c r="P330">
        <v>19.829999999999998</v>
      </c>
      <c r="Q330">
        <v>30.98</v>
      </c>
      <c r="R330">
        <f t="shared" si="31"/>
        <v>11.150000000000002</v>
      </c>
      <c r="S330">
        <v>46</v>
      </c>
      <c r="T330">
        <f t="shared" si="32"/>
        <v>1425.08</v>
      </c>
      <c r="U330">
        <v>0.04</v>
      </c>
      <c r="V330">
        <f t="shared" si="33"/>
        <v>57.0032</v>
      </c>
      <c r="W330">
        <f t="shared" si="34"/>
        <v>1368.0767999999998</v>
      </c>
      <c r="X330">
        <v>19.510000000000002</v>
      </c>
      <c r="Y330">
        <f t="shared" si="35"/>
        <v>1387.5867999999998</v>
      </c>
    </row>
    <row r="331" spans="1:25" x14ac:dyDescent="0.25">
      <c r="A331" t="s">
        <v>1099</v>
      </c>
      <c r="B331">
        <v>41806</v>
      </c>
      <c r="C331" t="str">
        <f t="shared" si="30"/>
        <v>2014</v>
      </c>
      <c r="D331" t="s">
        <v>951</v>
      </c>
      <c r="E331" t="s">
        <v>424</v>
      </c>
      <c r="F331" t="s">
        <v>257</v>
      </c>
      <c r="G331" t="s">
        <v>258</v>
      </c>
      <c r="H331" t="s">
        <v>241</v>
      </c>
      <c r="I331" t="s">
        <v>299</v>
      </c>
      <c r="J331" t="s">
        <v>279</v>
      </c>
      <c r="K331" t="s">
        <v>349</v>
      </c>
      <c r="L331" t="s">
        <v>245</v>
      </c>
      <c r="M331" t="s">
        <v>246</v>
      </c>
      <c r="N331" t="s">
        <v>247</v>
      </c>
      <c r="O331">
        <v>41811</v>
      </c>
      <c r="P331">
        <v>3.52</v>
      </c>
      <c r="Q331">
        <v>5.68</v>
      </c>
      <c r="R331">
        <f t="shared" si="31"/>
        <v>2.1599999999999997</v>
      </c>
      <c r="S331">
        <v>32</v>
      </c>
      <c r="T331">
        <f t="shared" si="32"/>
        <v>181.76</v>
      </c>
      <c r="U331">
        <v>0.1</v>
      </c>
      <c r="V331">
        <f t="shared" si="33"/>
        <v>18.175999999999998</v>
      </c>
      <c r="W331">
        <f t="shared" si="34"/>
        <v>163.584</v>
      </c>
      <c r="X331">
        <v>1.39</v>
      </c>
      <c r="Y331">
        <f t="shared" si="35"/>
        <v>164.97399999999999</v>
      </c>
    </row>
    <row r="332" spans="1:25" x14ac:dyDescent="0.25">
      <c r="A332" t="s">
        <v>1100</v>
      </c>
      <c r="B332">
        <v>41807</v>
      </c>
      <c r="C332" t="str">
        <f t="shared" si="30"/>
        <v>2014</v>
      </c>
      <c r="D332" t="s">
        <v>345</v>
      </c>
      <c r="E332" t="s">
        <v>346</v>
      </c>
      <c r="F332" t="s">
        <v>257</v>
      </c>
      <c r="G332" t="s">
        <v>258</v>
      </c>
      <c r="H332" t="s">
        <v>241</v>
      </c>
      <c r="I332" t="s">
        <v>309</v>
      </c>
      <c r="J332" t="s">
        <v>304</v>
      </c>
      <c r="K332" t="s">
        <v>453</v>
      </c>
      <c r="L332" t="s">
        <v>245</v>
      </c>
      <c r="M332" t="s">
        <v>246</v>
      </c>
      <c r="N332" t="s">
        <v>247</v>
      </c>
      <c r="O332">
        <v>41808</v>
      </c>
      <c r="P332">
        <v>1.18</v>
      </c>
      <c r="Q332">
        <v>1.88</v>
      </c>
      <c r="R332">
        <f t="shared" si="31"/>
        <v>0.7</v>
      </c>
      <c r="S332">
        <v>19</v>
      </c>
      <c r="T332">
        <f t="shared" si="32"/>
        <v>35.72</v>
      </c>
      <c r="U332">
        <v>7.0000000000000007E-2</v>
      </c>
      <c r="V332">
        <f t="shared" si="33"/>
        <v>2.5004</v>
      </c>
      <c r="W332">
        <f t="shared" si="34"/>
        <v>33.2196</v>
      </c>
      <c r="X332">
        <v>1.49</v>
      </c>
      <c r="Y332">
        <f t="shared" si="35"/>
        <v>34.709600000000002</v>
      </c>
    </row>
    <row r="333" spans="1:25" x14ac:dyDescent="0.25">
      <c r="A333" t="s">
        <v>1101</v>
      </c>
      <c r="B333">
        <v>41808</v>
      </c>
      <c r="C333" t="str">
        <f t="shared" si="30"/>
        <v>2014</v>
      </c>
      <c r="D333" t="s">
        <v>1102</v>
      </c>
      <c r="E333" t="s">
        <v>1103</v>
      </c>
      <c r="F333" t="s">
        <v>448</v>
      </c>
      <c r="G333" t="s">
        <v>449</v>
      </c>
      <c r="H333" t="s">
        <v>259</v>
      </c>
      <c r="I333" t="s">
        <v>284</v>
      </c>
      <c r="J333" t="s">
        <v>243</v>
      </c>
      <c r="K333" t="s">
        <v>262</v>
      </c>
      <c r="L333" t="s">
        <v>245</v>
      </c>
      <c r="M333" t="s">
        <v>253</v>
      </c>
      <c r="N333" t="s">
        <v>247</v>
      </c>
      <c r="O333">
        <v>41808</v>
      </c>
      <c r="P333">
        <v>2.41</v>
      </c>
      <c r="Q333">
        <v>3.71</v>
      </c>
      <c r="R333">
        <f t="shared" si="31"/>
        <v>1.2999999999999998</v>
      </c>
      <c r="S333">
        <v>39</v>
      </c>
      <c r="T333">
        <f t="shared" si="32"/>
        <v>144.69</v>
      </c>
      <c r="U333">
        <v>0.06</v>
      </c>
      <c r="V333">
        <f t="shared" si="33"/>
        <v>8.6814</v>
      </c>
      <c r="W333">
        <f t="shared" si="34"/>
        <v>136.0086</v>
      </c>
      <c r="X333">
        <v>1.93</v>
      </c>
      <c r="Y333">
        <f t="shared" si="35"/>
        <v>137.93860000000001</v>
      </c>
    </row>
    <row r="334" spans="1:25" x14ac:dyDescent="0.25">
      <c r="A334" t="s">
        <v>1104</v>
      </c>
      <c r="B334">
        <v>41808</v>
      </c>
      <c r="C334" t="str">
        <f t="shared" si="30"/>
        <v>2014</v>
      </c>
      <c r="D334" t="s">
        <v>291</v>
      </c>
      <c r="E334" t="s">
        <v>292</v>
      </c>
      <c r="F334" t="s">
        <v>257</v>
      </c>
      <c r="G334" t="s">
        <v>258</v>
      </c>
      <c r="H334" t="s">
        <v>293</v>
      </c>
      <c r="I334" t="s">
        <v>260</v>
      </c>
      <c r="J334" t="s">
        <v>261</v>
      </c>
      <c r="K334" t="s">
        <v>1105</v>
      </c>
      <c r="L334" t="s">
        <v>245</v>
      </c>
      <c r="M334" t="s">
        <v>253</v>
      </c>
      <c r="N334" t="s">
        <v>247</v>
      </c>
      <c r="O334">
        <v>41808</v>
      </c>
      <c r="P334">
        <v>1.88</v>
      </c>
      <c r="Q334">
        <v>3.14</v>
      </c>
      <c r="R334">
        <f t="shared" si="31"/>
        <v>1.2600000000000002</v>
      </c>
      <c r="S334">
        <v>32</v>
      </c>
      <c r="T334">
        <f t="shared" si="32"/>
        <v>100.48</v>
      </c>
      <c r="U334">
        <v>0.03</v>
      </c>
      <c r="V334">
        <f t="shared" si="33"/>
        <v>3.0144000000000002</v>
      </c>
      <c r="W334">
        <f t="shared" si="34"/>
        <v>97.465600000000009</v>
      </c>
      <c r="X334">
        <v>1.1399999999999999</v>
      </c>
      <c r="Y334">
        <f t="shared" si="35"/>
        <v>98.60560000000001</v>
      </c>
    </row>
    <row r="335" spans="1:25" x14ac:dyDescent="0.25">
      <c r="A335" t="s">
        <v>1106</v>
      </c>
      <c r="B335">
        <v>41809</v>
      </c>
      <c r="C335" t="str">
        <f t="shared" si="30"/>
        <v>2014</v>
      </c>
      <c r="D335" t="s">
        <v>1107</v>
      </c>
      <c r="E335" t="s">
        <v>371</v>
      </c>
      <c r="F335" t="s">
        <v>239</v>
      </c>
      <c r="G335" t="s">
        <v>240</v>
      </c>
      <c r="H335" t="s">
        <v>274</v>
      </c>
      <c r="I335" t="s">
        <v>251</v>
      </c>
      <c r="J335" t="s">
        <v>304</v>
      </c>
      <c r="K335" t="s">
        <v>425</v>
      </c>
      <c r="L335" t="s">
        <v>245</v>
      </c>
      <c r="M335" t="s">
        <v>253</v>
      </c>
      <c r="N335" t="s">
        <v>247</v>
      </c>
      <c r="O335">
        <v>41811</v>
      </c>
      <c r="P335">
        <v>21.56</v>
      </c>
      <c r="Q335">
        <v>36.549999999999997</v>
      </c>
      <c r="R335">
        <f t="shared" si="31"/>
        <v>14.989999999999998</v>
      </c>
      <c r="S335">
        <v>48</v>
      </c>
      <c r="T335">
        <f t="shared" si="32"/>
        <v>1754.3999999999999</v>
      </c>
      <c r="U335">
        <v>7.0000000000000007E-2</v>
      </c>
      <c r="V335">
        <f t="shared" si="33"/>
        <v>122.80800000000001</v>
      </c>
      <c r="W335">
        <f t="shared" si="34"/>
        <v>1631.5919999999999</v>
      </c>
      <c r="X335">
        <v>13.89</v>
      </c>
      <c r="Y335">
        <f t="shared" si="35"/>
        <v>1645.482</v>
      </c>
    </row>
    <row r="336" spans="1:25" x14ac:dyDescent="0.25">
      <c r="A336" t="s">
        <v>1108</v>
      </c>
      <c r="B336">
        <v>41809</v>
      </c>
      <c r="C336" t="str">
        <f t="shared" si="30"/>
        <v>2014</v>
      </c>
      <c r="D336" t="s">
        <v>1109</v>
      </c>
      <c r="E336" t="s">
        <v>380</v>
      </c>
      <c r="F336" t="s">
        <v>257</v>
      </c>
      <c r="G336" t="s">
        <v>258</v>
      </c>
      <c r="H336" t="s">
        <v>274</v>
      </c>
      <c r="I336" t="s">
        <v>381</v>
      </c>
      <c r="J336" t="s">
        <v>294</v>
      </c>
      <c r="K336" t="s">
        <v>488</v>
      </c>
      <c r="L336" t="s">
        <v>268</v>
      </c>
      <c r="M336" t="s">
        <v>323</v>
      </c>
      <c r="N336" t="s">
        <v>247</v>
      </c>
      <c r="O336">
        <v>41811</v>
      </c>
      <c r="P336">
        <v>20.18</v>
      </c>
      <c r="Q336">
        <v>35.409999999999997</v>
      </c>
      <c r="R336">
        <f t="shared" si="31"/>
        <v>15.229999999999997</v>
      </c>
      <c r="S336">
        <v>21</v>
      </c>
      <c r="T336">
        <f t="shared" si="32"/>
        <v>743.6099999999999</v>
      </c>
      <c r="U336">
        <v>0.01</v>
      </c>
      <c r="V336">
        <f t="shared" si="33"/>
        <v>7.4360999999999988</v>
      </c>
      <c r="W336">
        <f t="shared" si="34"/>
        <v>736.17389999999989</v>
      </c>
      <c r="X336">
        <v>1.99</v>
      </c>
      <c r="Y336">
        <f t="shared" si="35"/>
        <v>738.1638999999999</v>
      </c>
    </row>
    <row r="337" spans="1:25" x14ac:dyDescent="0.25">
      <c r="A337" t="s">
        <v>1110</v>
      </c>
      <c r="B337">
        <v>41809</v>
      </c>
      <c r="C337" t="str">
        <f t="shared" si="30"/>
        <v>2014</v>
      </c>
      <c r="D337" t="s">
        <v>678</v>
      </c>
      <c r="E337" t="s">
        <v>346</v>
      </c>
      <c r="F337" t="s">
        <v>257</v>
      </c>
      <c r="G337" t="s">
        <v>258</v>
      </c>
      <c r="H337" t="s">
        <v>241</v>
      </c>
      <c r="I337" t="s">
        <v>309</v>
      </c>
      <c r="J337" t="s">
        <v>243</v>
      </c>
      <c r="K337" t="s">
        <v>285</v>
      </c>
      <c r="L337" t="s">
        <v>245</v>
      </c>
      <c r="M337" t="s">
        <v>246</v>
      </c>
      <c r="N337" t="s">
        <v>247</v>
      </c>
      <c r="O337">
        <v>41811</v>
      </c>
      <c r="P337">
        <v>99.39</v>
      </c>
      <c r="Q337">
        <v>162.93</v>
      </c>
      <c r="R337">
        <f t="shared" si="31"/>
        <v>63.540000000000006</v>
      </c>
      <c r="S337">
        <v>16</v>
      </c>
      <c r="T337">
        <f t="shared" si="32"/>
        <v>2606.88</v>
      </c>
      <c r="U337">
        <v>0.1</v>
      </c>
      <c r="V337">
        <f t="shared" si="33"/>
        <v>260.68800000000005</v>
      </c>
      <c r="W337">
        <f t="shared" si="34"/>
        <v>2346.192</v>
      </c>
      <c r="X337">
        <v>19.989999999999998</v>
      </c>
      <c r="Y337">
        <f t="shared" si="35"/>
        <v>2366.1819999999998</v>
      </c>
    </row>
    <row r="338" spans="1:25" x14ac:dyDescent="0.25">
      <c r="A338" t="s">
        <v>1111</v>
      </c>
      <c r="B338">
        <v>41812</v>
      </c>
      <c r="C338" t="str">
        <f t="shared" si="30"/>
        <v>2014</v>
      </c>
      <c r="D338" t="s">
        <v>1112</v>
      </c>
      <c r="E338" t="s">
        <v>1041</v>
      </c>
      <c r="F338" t="s">
        <v>257</v>
      </c>
      <c r="G338" t="s">
        <v>258</v>
      </c>
      <c r="H338" t="s">
        <v>259</v>
      </c>
      <c r="I338" t="s">
        <v>372</v>
      </c>
      <c r="J338" t="s">
        <v>294</v>
      </c>
      <c r="K338" t="s">
        <v>668</v>
      </c>
      <c r="L338" t="s">
        <v>440</v>
      </c>
      <c r="M338" t="s">
        <v>647</v>
      </c>
      <c r="N338" t="s">
        <v>263</v>
      </c>
      <c r="O338">
        <v>41814</v>
      </c>
      <c r="P338">
        <v>56.16</v>
      </c>
      <c r="Q338">
        <v>136.97999999999999</v>
      </c>
      <c r="R338">
        <f t="shared" si="31"/>
        <v>80.819999999999993</v>
      </c>
      <c r="S338">
        <v>17</v>
      </c>
      <c r="T338">
        <f t="shared" si="32"/>
        <v>2328.66</v>
      </c>
      <c r="U338">
        <v>0</v>
      </c>
      <c r="V338">
        <f t="shared" si="33"/>
        <v>0</v>
      </c>
      <c r="W338">
        <f t="shared" si="34"/>
        <v>2328.66</v>
      </c>
      <c r="X338">
        <v>24.49</v>
      </c>
      <c r="Y338">
        <f t="shared" si="35"/>
        <v>2353.1499999999996</v>
      </c>
    </row>
    <row r="339" spans="1:25" x14ac:dyDescent="0.25">
      <c r="A339" t="s">
        <v>1113</v>
      </c>
      <c r="B339">
        <v>41812</v>
      </c>
      <c r="C339" t="str">
        <f t="shared" si="30"/>
        <v>2014</v>
      </c>
      <c r="D339" t="s">
        <v>1114</v>
      </c>
      <c r="E339" t="s">
        <v>1115</v>
      </c>
      <c r="F339" t="s">
        <v>239</v>
      </c>
      <c r="G339" t="s">
        <v>240</v>
      </c>
      <c r="H339" t="s">
        <v>274</v>
      </c>
      <c r="I339" t="s">
        <v>251</v>
      </c>
      <c r="J339" t="s">
        <v>304</v>
      </c>
      <c r="K339" t="s">
        <v>872</v>
      </c>
      <c r="L339" t="s">
        <v>245</v>
      </c>
      <c r="M339" t="s">
        <v>246</v>
      </c>
      <c r="N339" t="s">
        <v>263</v>
      </c>
      <c r="O339">
        <v>41814</v>
      </c>
      <c r="P339">
        <v>3.14</v>
      </c>
      <c r="Q339">
        <v>4.91</v>
      </c>
      <c r="R339">
        <f t="shared" si="31"/>
        <v>1.77</v>
      </c>
      <c r="S339">
        <v>24</v>
      </c>
      <c r="T339">
        <f t="shared" si="32"/>
        <v>117.84</v>
      </c>
      <c r="U339">
        <v>0.01</v>
      </c>
      <c r="V339">
        <f t="shared" si="33"/>
        <v>1.1784000000000001</v>
      </c>
      <c r="W339">
        <f t="shared" si="34"/>
        <v>116.66160000000001</v>
      </c>
      <c r="X339">
        <v>0.5</v>
      </c>
      <c r="Y339">
        <f t="shared" si="35"/>
        <v>117.16160000000001</v>
      </c>
    </row>
    <row r="340" spans="1:25" x14ac:dyDescent="0.25">
      <c r="A340" t="s">
        <v>1116</v>
      </c>
      <c r="B340">
        <v>41813</v>
      </c>
      <c r="C340" t="str">
        <f t="shared" si="30"/>
        <v>2014</v>
      </c>
      <c r="D340" t="s">
        <v>1117</v>
      </c>
      <c r="E340" t="s">
        <v>1118</v>
      </c>
      <c r="F340" t="s">
        <v>257</v>
      </c>
      <c r="G340" t="s">
        <v>258</v>
      </c>
      <c r="H340" t="s">
        <v>241</v>
      </c>
      <c r="I340" t="s">
        <v>284</v>
      </c>
      <c r="J340" t="s">
        <v>304</v>
      </c>
      <c r="K340" t="s">
        <v>1119</v>
      </c>
      <c r="L340" t="s">
        <v>245</v>
      </c>
      <c r="M340" t="s">
        <v>246</v>
      </c>
      <c r="N340" t="s">
        <v>247</v>
      </c>
      <c r="O340">
        <v>41813</v>
      </c>
      <c r="P340">
        <v>1.84</v>
      </c>
      <c r="Q340">
        <v>2.88</v>
      </c>
      <c r="R340">
        <f t="shared" si="31"/>
        <v>1.0399999999999998</v>
      </c>
      <c r="S340">
        <v>8</v>
      </c>
      <c r="T340">
        <f t="shared" si="32"/>
        <v>23.04</v>
      </c>
      <c r="U340">
        <v>7.0000000000000007E-2</v>
      </c>
      <c r="V340">
        <f t="shared" si="33"/>
        <v>1.6128</v>
      </c>
      <c r="W340">
        <f t="shared" si="34"/>
        <v>21.427199999999999</v>
      </c>
      <c r="X340">
        <v>0.99</v>
      </c>
      <c r="Y340">
        <f t="shared" si="35"/>
        <v>22.417199999999998</v>
      </c>
    </row>
    <row r="341" spans="1:25" x14ac:dyDescent="0.25">
      <c r="A341" t="s">
        <v>1120</v>
      </c>
      <c r="B341">
        <v>41815</v>
      </c>
      <c r="C341" t="str">
        <f t="shared" si="30"/>
        <v>2014</v>
      </c>
      <c r="D341" t="s">
        <v>510</v>
      </c>
      <c r="E341" t="s">
        <v>511</v>
      </c>
      <c r="F341" t="s">
        <v>257</v>
      </c>
      <c r="G341" t="s">
        <v>258</v>
      </c>
      <c r="H341" t="s">
        <v>293</v>
      </c>
      <c r="I341" t="s">
        <v>381</v>
      </c>
      <c r="J341" t="s">
        <v>294</v>
      </c>
      <c r="K341" t="s">
        <v>786</v>
      </c>
      <c r="L341" t="s">
        <v>245</v>
      </c>
      <c r="M341" t="s">
        <v>323</v>
      </c>
      <c r="N341" t="s">
        <v>247</v>
      </c>
      <c r="O341">
        <v>41815</v>
      </c>
      <c r="P341">
        <v>16.8</v>
      </c>
      <c r="Q341">
        <v>40.97</v>
      </c>
      <c r="R341">
        <f t="shared" si="31"/>
        <v>24.169999999999998</v>
      </c>
      <c r="S341">
        <v>47</v>
      </c>
      <c r="T341">
        <f t="shared" si="32"/>
        <v>1925.59</v>
      </c>
      <c r="U341">
        <v>0.06</v>
      </c>
      <c r="V341">
        <f t="shared" si="33"/>
        <v>115.5354</v>
      </c>
      <c r="W341">
        <f t="shared" si="34"/>
        <v>1810.0545999999999</v>
      </c>
      <c r="X341">
        <v>8.99</v>
      </c>
      <c r="Y341">
        <f t="shared" si="35"/>
        <v>1819.0445999999999</v>
      </c>
    </row>
    <row r="342" spans="1:25" x14ac:dyDescent="0.25">
      <c r="A342" t="s">
        <v>1121</v>
      </c>
      <c r="B342">
        <v>41817</v>
      </c>
      <c r="C342" t="str">
        <f t="shared" si="30"/>
        <v>2014</v>
      </c>
      <c r="D342" t="s">
        <v>1122</v>
      </c>
      <c r="E342" t="s">
        <v>420</v>
      </c>
      <c r="F342" t="s">
        <v>239</v>
      </c>
      <c r="G342" t="s">
        <v>240</v>
      </c>
      <c r="H342" t="s">
        <v>293</v>
      </c>
      <c r="I342" t="s">
        <v>251</v>
      </c>
      <c r="J342" t="s">
        <v>243</v>
      </c>
      <c r="K342" t="s">
        <v>638</v>
      </c>
      <c r="L342" t="s">
        <v>245</v>
      </c>
      <c r="M342" t="s">
        <v>323</v>
      </c>
      <c r="N342" t="s">
        <v>247</v>
      </c>
      <c r="O342">
        <v>41818</v>
      </c>
      <c r="P342">
        <v>1.46</v>
      </c>
      <c r="Q342">
        <v>3.57</v>
      </c>
      <c r="R342">
        <f t="shared" si="31"/>
        <v>2.11</v>
      </c>
      <c r="S342">
        <v>46</v>
      </c>
      <c r="T342">
        <f t="shared" si="32"/>
        <v>164.22</v>
      </c>
      <c r="U342">
        <v>0.01</v>
      </c>
      <c r="V342">
        <f t="shared" si="33"/>
        <v>1.6422000000000001</v>
      </c>
      <c r="W342">
        <f t="shared" si="34"/>
        <v>162.5778</v>
      </c>
      <c r="X342">
        <v>4.17</v>
      </c>
      <c r="Y342">
        <f t="shared" si="35"/>
        <v>166.74779999999998</v>
      </c>
    </row>
    <row r="343" spans="1:25" x14ac:dyDescent="0.25">
      <c r="A343" t="s">
        <v>1123</v>
      </c>
      <c r="B343">
        <v>41819</v>
      </c>
      <c r="C343" t="str">
        <f t="shared" si="30"/>
        <v>2014</v>
      </c>
      <c r="D343" t="s">
        <v>1124</v>
      </c>
      <c r="E343" t="s">
        <v>789</v>
      </c>
      <c r="F343" t="s">
        <v>257</v>
      </c>
      <c r="G343" t="s">
        <v>258</v>
      </c>
      <c r="H343" t="s">
        <v>241</v>
      </c>
      <c r="I343" t="s">
        <v>309</v>
      </c>
      <c r="J343" t="s">
        <v>294</v>
      </c>
      <c r="K343" t="s">
        <v>776</v>
      </c>
      <c r="L343" t="s">
        <v>245</v>
      </c>
      <c r="M343" t="s">
        <v>246</v>
      </c>
      <c r="N343" t="s">
        <v>247</v>
      </c>
      <c r="O343">
        <v>41820</v>
      </c>
      <c r="P343">
        <v>4.53</v>
      </c>
      <c r="Q343">
        <v>7.3</v>
      </c>
      <c r="R343">
        <f t="shared" si="31"/>
        <v>2.7699999999999996</v>
      </c>
      <c r="S343">
        <v>50</v>
      </c>
      <c r="T343">
        <f t="shared" si="32"/>
        <v>365</v>
      </c>
      <c r="U343">
        <v>0.02</v>
      </c>
      <c r="V343">
        <f t="shared" si="33"/>
        <v>7.3</v>
      </c>
      <c r="W343">
        <f t="shared" si="34"/>
        <v>357.7</v>
      </c>
      <c r="X343">
        <v>7.72</v>
      </c>
      <c r="Y343">
        <f t="shared" si="35"/>
        <v>365.42</v>
      </c>
    </row>
    <row r="344" spans="1:25" x14ac:dyDescent="0.25">
      <c r="A344" t="s">
        <v>1125</v>
      </c>
      <c r="B344">
        <v>41819</v>
      </c>
      <c r="C344" t="str">
        <f t="shared" si="30"/>
        <v>2014</v>
      </c>
      <c r="D344" t="s">
        <v>1124</v>
      </c>
      <c r="E344" t="s">
        <v>789</v>
      </c>
      <c r="F344" t="s">
        <v>257</v>
      </c>
      <c r="G344" t="s">
        <v>258</v>
      </c>
      <c r="H344" t="s">
        <v>241</v>
      </c>
      <c r="I344" t="s">
        <v>309</v>
      </c>
      <c r="J344" t="s">
        <v>294</v>
      </c>
      <c r="K344" t="s">
        <v>1126</v>
      </c>
      <c r="L344" t="s">
        <v>245</v>
      </c>
      <c r="M344" t="s">
        <v>253</v>
      </c>
      <c r="N344" t="s">
        <v>247</v>
      </c>
      <c r="O344">
        <v>41820</v>
      </c>
      <c r="P344">
        <v>1.53</v>
      </c>
      <c r="Q344">
        <v>2.4700000000000002</v>
      </c>
      <c r="R344">
        <f t="shared" si="31"/>
        <v>0.94000000000000017</v>
      </c>
      <c r="S344">
        <v>43</v>
      </c>
      <c r="T344">
        <f t="shared" si="32"/>
        <v>106.21000000000001</v>
      </c>
      <c r="U344">
        <v>0.02</v>
      </c>
      <c r="V344">
        <f t="shared" si="33"/>
        <v>2.1242000000000001</v>
      </c>
      <c r="W344">
        <f t="shared" si="34"/>
        <v>104.08580000000001</v>
      </c>
      <c r="X344">
        <v>1.02</v>
      </c>
      <c r="Y344">
        <f t="shared" si="35"/>
        <v>105.1058</v>
      </c>
    </row>
    <row r="345" spans="1:25" x14ac:dyDescent="0.25">
      <c r="A345" t="s">
        <v>1127</v>
      </c>
      <c r="B345">
        <v>41819</v>
      </c>
      <c r="C345" t="str">
        <f t="shared" si="30"/>
        <v>2014</v>
      </c>
      <c r="D345" t="s">
        <v>1128</v>
      </c>
      <c r="E345" t="s">
        <v>288</v>
      </c>
      <c r="F345" t="s">
        <v>257</v>
      </c>
      <c r="G345" t="s">
        <v>258</v>
      </c>
      <c r="H345" t="s">
        <v>259</v>
      </c>
      <c r="I345" t="s">
        <v>284</v>
      </c>
      <c r="J345" t="s">
        <v>304</v>
      </c>
      <c r="K345" t="s">
        <v>368</v>
      </c>
      <c r="L345" t="s">
        <v>245</v>
      </c>
      <c r="M345" t="s">
        <v>246</v>
      </c>
      <c r="N345" t="s">
        <v>247</v>
      </c>
      <c r="O345">
        <v>41819</v>
      </c>
      <c r="P345">
        <v>1.59</v>
      </c>
      <c r="Q345">
        <v>2.61</v>
      </c>
      <c r="R345">
        <f t="shared" si="31"/>
        <v>1.0199999999999998</v>
      </c>
      <c r="S345">
        <v>44</v>
      </c>
      <c r="T345">
        <f t="shared" si="32"/>
        <v>114.83999999999999</v>
      </c>
      <c r="U345">
        <v>0.09</v>
      </c>
      <c r="V345">
        <f t="shared" si="33"/>
        <v>10.335599999999999</v>
      </c>
      <c r="W345">
        <f t="shared" si="34"/>
        <v>104.50439999999999</v>
      </c>
      <c r="X345">
        <v>0.5</v>
      </c>
      <c r="Y345">
        <f t="shared" si="35"/>
        <v>105.00439999999999</v>
      </c>
    </row>
    <row r="346" spans="1:25" x14ac:dyDescent="0.25">
      <c r="A346" t="s">
        <v>1129</v>
      </c>
      <c r="B346">
        <v>41819</v>
      </c>
      <c r="C346" t="str">
        <f t="shared" si="30"/>
        <v>2014</v>
      </c>
      <c r="D346" t="s">
        <v>386</v>
      </c>
      <c r="E346" t="s">
        <v>266</v>
      </c>
      <c r="F346" t="s">
        <v>239</v>
      </c>
      <c r="G346" t="s">
        <v>240</v>
      </c>
      <c r="H346" t="s">
        <v>259</v>
      </c>
      <c r="I346" t="s">
        <v>242</v>
      </c>
      <c r="J346" t="s">
        <v>294</v>
      </c>
      <c r="K346" t="s">
        <v>1130</v>
      </c>
      <c r="L346" t="s">
        <v>268</v>
      </c>
      <c r="M346" t="s">
        <v>246</v>
      </c>
      <c r="N346" t="s">
        <v>247</v>
      </c>
      <c r="O346">
        <v>41820</v>
      </c>
      <c r="P346">
        <v>14.7</v>
      </c>
      <c r="Q346">
        <v>29.99</v>
      </c>
      <c r="R346">
        <f t="shared" si="31"/>
        <v>15.29</v>
      </c>
      <c r="S346">
        <v>20</v>
      </c>
      <c r="T346">
        <f t="shared" si="32"/>
        <v>599.79999999999995</v>
      </c>
      <c r="U346">
        <v>0</v>
      </c>
      <c r="V346">
        <f t="shared" si="33"/>
        <v>0</v>
      </c>
      <c r="W346">
        <f t="shared" si="34"/>
        <v>599.79999999999995</v>
      </c>
      <c r="X346">
        <v>5.5</v>
      </c>
      <c r="Y346">
        <f t="shared" si="35"/>
        <v>605.29999999999995</v>
      </c>
    </row>
    <row r="347" spans="1:25" x14ac:dyDescent="0.25">
      <c r="A347" t="s">
        <v>1131</v>
      </c>
      <c r="B347">
        <v>41820</v>
      </c>
      <c r="C347" t="str">
        <f t="shared" si="30"/>
        <v>2014</v>
      </c>
      <c r="D347" t="s">
        <v>1132</v>
      </c>
      <c r="E347" t="s">
        <v>1133</v>
      </c>
      <c r="F347" t="s">
        <v>257</v>
      </c>
      <c r="G347" t="s">
        <v>258</v>
      </c>
      <c r="H347" t="s">
        <v>259</v>
      </c>
      <c r="I347" t="s">
        <v>372</v>
      </c>
      <c r="J347" t="s">
        <v>304</v>
      </c>
      <c r="K347" t="s">
        <v>479</v>
      </c>
      <c r="L347" t="s">
        <v>245</v>
      </c>
      <c r="M347" t="s">
        <v>246</v>
      </c>
      <c r="N347" t="s">
        <v>247</v>
      </c>
      <c r="O347">
        <v>41823</v>
      </c>
      <c r="P347">
        <v>8.92</v>
      </c>
      <c r="Q347">
        <v>29.74</v>
      </c>
      <c r="R347">
        <f t="shared" si="31"/>
        <v>20.82</v>
      </c>
      <c r="S347">
        <v>4</v>
      </c>
      <c r="T347">
        <f t="shared" si="32"/>
        <v>118.96</v>
      </c>
      <c r="U347">
        <v>0.05</v>
      </c>
      <c r="V347">
        <f t="shared" si="33"/>
        <v>5.9480000000000004</v>
      </c>
      <c r="W347">
        <f t="shared" si="34"/>
        <v>113.012</v>
      </c>
      <c r="X347">
        <v>6.64</v>
      </c>
      <c r="Y347">
        <f t="shared" si="35"/>
        <v>119.652</v>
      </c>
    </row>
    <row r="348" spans="1:25" x14ac:dyDescent="0.25">
      <c r="A348" t="s">
        <v>1134</v>
      </c>
      <c r="B348">
        <v>41824</v>
      </c>
      <c r="C348" t="str">
        <f t="shared" si="30"/>
        <v>2014</v>
      </c>
      <c r="D348" t="s">
        <v>1135</v>
      </c>
      <c r="E348" t="s">
        <v>528</v>
      </c>
      <c r="F348" t="s">
        <v>239</v>
      </c>
      <c r="G348" t="s">
        <v>240</v>
      </c>
      <c r="H348" t="s">
        <v>274</v>
      </c>
      <c r="I348" t="s">
        <v>251</v>
      </c>
      <c r="J348" t="s">
        <v>243</v>
      </c>
      <c r="K348" t="s">
        <v>698</v>
      </c>
      <c r="L348" t="s">
        <v>245</v>
      </c>
      <c r="M348" t="s">
        <v>253</v>
      </c>
      <c r="N348" t="s">
        <v>247</v>
      </c>
      <c r="O348">
        <v>41826</v>
      </c>
      <c r="P348">
        <v>3.32</v>
      </c>
      <c r="Q348">
        <v>5.18</v>
      </c>
      <c r="R348">
        <f t="shared" si="31"/>
        <v>1.8599999999999999</v>
      </c>
      <c r="S348">
        <v>43</v>
      </c>
      <c r="T348">
        <f t="shared" si="32"/>
        <v>222.73999999999998</v>
      </c>
      <c r="U348">
        <v>0.03</v>
      </c>
      <c r="V348">
        <f t="shared" si="33"/>
        <v>6.682199999999999</v>
      </c>
      <c r="W348">
        <f t="shared" si="34"/>
        <v>216.05779999999999</v>
      </c>
      <c r="X348">
        <v>2.04</v>
      </c>
      <c r="Y348">
        <f t="shared" si="35"/>
        <v>218.09779999999998</v>
      </c>
    </row>
    <row r="349" spans="1:25" x14ac:dyDescent="0.25">
      <c r="A349" t="s">
        <v>1136</v>
      </c>
      <c r="B349">
        <v>41825</v>
      </c>
      <c r="C349" t="str">
        <f t="shared" si="30"/>
        <v>2014</v>
      </c>
      <c r="D349" t="s">
        <v>1137</v>
      </c>
      <c r="E349" t="s">
        <v>709</v>
      </c>
      <c r="F349" t="s">
        <v>257</v>
      </c>
      <c r="G349" t="s">
        <v>258</v>
      </c>
      <c r="H349" t="s">
        <v>274</v>
      </c>
      <c r="I349" t="s">
        <v>275</v>
      </c>
      <c r="J349" t="s">
        <v>261</v>
      </c>
      <c r="K349" t="s">
        <v>1138</v>
      </c>
      <c r="L349" t="s">
        <v>245</v>
      </c>
      <c r="M349" t="s">
        <v>246</v>
      </c>
      <c r="N349" t="s">
        <v>247</v>
      </c>
      <c r="O349">
        <v>41828</v>
      </c>
      <c r="P349">
        <v>1.84</v>
      </c>
      <c r="Q349">
        <v>2.88</v>
      </c>
      <c r="R349">
        <f t="shared" si="31"/>
        <v>1.0399999999999998</v>
      </c>
      <c r="S349">
        <v>47</v>
      </c>
      <c r="T349">
        <f t="shared" si="32"/>
        <v>135.35999999999999</v>
      </c>
      <c r="U349">
        <v>0.03</v>
      </c>
      <c r="V349">
        <f t="shared" si="33"/>
        <v>4.0607999999999995</v>
      </c>
      <c r="W349">
        <f t="shared" si="34"/>
        <v>131.29919999999998</v>
      </c>
      <c r="X349">
        <v>5.33</v>
      </c>
      <c r="Y349">
        <f t="shared" si="35"/>
        <v>136.6292</v>
      </c>
    </row>
    <row r="350" spans="1:25" x14ac:dyDescent="0.25">
      <c r="A350" t="s">
        <v>1139</v>
      </c>
      <c r="B350">
        <v>41831</v>
      </c>
      <c r="C350" t="str">
        <f t="shared" si="30"/>
        <v>2014</v>
      </c>
      <c r="D350" t="s">
        <v>965</v>
      </c>
      <c r="E350" t="s">
        <v>633</v>
      </c>
      <c r="F350" t="s">
        <v>239</v>
      </c>
      <c r="G350" t="s">
        <v>240</v>
      </c>
      <c r="H350" t="s">
        <v>274</v>
      </c>
      <c r="I350" t="s">
        <v>242</v>
      </c>
      <c r="J350" t="s">
        <v>243</v>
      </c>
      <c r="K350" t="s">
        <v>384</v>
      </c>
      <c r="L350" t="s">
        <v>268</v>
      </c>
      <c r="M350" t="s">
        <v>246</v>
      </c>
      <c r="N350" t="s">
        <v>247</v>
      </c>
      <c r="O350">
        <v>41833</v>
      </c>
      <c r="P350">
        <v>8.31</v>
      </c>
      <c r="Q350">
        <v>15.98</v>
      </c>
      <c r="R350">
        <f t="shared" si="31"/>
        <v>7.67</v>
      </c>
      <c r="S350">
        <v>40</v>
      </c>
      <c r="T350">
        <f t="shared" si="32"/>
        <v>639.20000000000005</v>
      </c>
      <c r="U350">
        <v>0.03</v>
      </c>
      <c r="V350">
        <f t="shared" si="33"/>
        <v>19.176000000000002</v>
      </c>
      <c r="W350">
        <f t="shared" si="34"/>
        <v>620.024</v>
      </c>
      <c r="X350">
        <v>6.5</v>
      </c>
      <c r="Y350">
        <f t="shared" si="35"/>
        <v>626.524</v>
      </c>
    </row>
    <row r="351" spans="1:25" x14ac:dyDescent="0.25">
      <c r="A351" t="s">
        <v>1140</v>
      </c>
      <c r="B351">
        <v>41832</v>
      </c>
      <c r="C351" t="str">
        <f t="shared" si="30"/>
        <v>2014</v>
      </c>
      <c r="D351" t="s">
        <v>1141</v>
      </c>
      <c r="E351" t="s">
        <v>575</v>
      </c>
      <c r="F351" t="s">
        <v>257</v>
      </c>
      <c r="G351" t="s">
        <v>258</v>
      </c>
      <c r="H351" t="s">
        <v>274</v>
      </c>
      <c r="I351" t="s">
        <v>381</v>
      </c>
      <c r="J351" t="s">
        <v>304</v>
      </c>
      <c r="K351" t="s">
        <v>1142</v>
      </c>
      <c r="L351" t="s">
        <v>245</v>
      </c>
      <c r="M351" t="s">
        <v>246</v>
      </c>
      <c r="N351" t="s">
        <v>247</v>
      </c>
      <c r="O351">
        <v>41834</v>
      </c>
      <c r="P351">
        <v>1.82</v>
      </c>
      <c r="Q351">
        <v>2.84</v>
      </c>
      <c r="R351">
        <f t="shared" si="31"/>
        <v>1.0199999999999998</v>
      </c>
      <c r="S351">
        <v>19</v>
      </c>
      <c r="T351">
        <f t="shared" si="32"/>
        <v>53.959999999999994</v>
      </c>
      <c r="U351">
        <v>0</v>
      </c>
      <c r="V351">
        <f t="shared" si="33"/>
        <v>0</v>
      </c>
      <c r="W351">
        <f t="shared" si="34"/>
        <v>53.959999999999994</v>
      </c>
      <c r="X351">
        <v>5.44</v>
      </c>
      <c r="Y351">
        <f t="shared" si="35"/>
        <v>59.399999999999991</v>
      </c>
    </row>
    <row r="352" spans="1:25" x14ac:dyDescent="0.25">
      <c r="A352" t="s">
        <v>1143</v>
      </c>
      <c r="B352">
        <v>41835</v>
      </c>
      <c r="C352" t="str">
        <f t="shared" si="30"/>
        <v>2014</v>
      </c>
      <c r="D352" t="s">
        <v>1144</v>
      </c>
      <c r="E352" t="s">
        <v>856</v>
      </c>
      <c r="F352" t="s">
        <v>239</v>
      </c>
      <c r="G352" t="s">
        <v>240</v>
      </c>
      <c r="H352" t="s">
        <v>259</v>
      </c>
      <c r="I352" t="s">
        <v>251</v>
      </c>
      <c r="J352" t="s">
        <v>294</v>
      </c>
      <c r="K352" t="s">
        <v>403</v>
      </c>
      <c r="L352" t="s">
        <v>268</v>
      </c>
      <c r="M352" t="s">
        <v>323</v>
      </c>
      <c r="N352" t="s">
        <v>247</v>
      </c>
      <c r="O352">
        <v>41837</v>
      </c>
      <c r="P352">
        <v>1.87</v>
      </c>
      <c r="Q352">
        <v>8.1199999999999992</v>
      </c>
      <c r="R352">
        <f t="shared" si="31"/>
        <v>6.2499999999999991</v>
      </c>
      <c r="S352">
        <v>4</v>
      </c>
      <c r="T352">
        <f t="shared" si="32"/>
        <v>32.479999999999997</v>
      </c>
      <c r="U352">
        <v>7.0000000000000007E-2</v>
      </c>
      <c r="V352">
        <f t="shared" si="33"/>
        <v>2.2736000000000001</v>
      </c>
      <c r="W352">
        <f t="shared" si="34"/>
        <v>30.206399999999995</v>
      </c>
      <c r="X352">
        <v>2.83</v>
      </c>
      <c r="Y352">
        <f t="shared" si="35"/>
        <v>33.036399999999993</v>
      </c>
    </row>
    <row r="353" spans="1:25" x14ac:dyDescent="0.25">
      <c r="A353" t="s">
        <v>1145</v>
      </c>
      <c r="B353">
        <v>41837</v>
      </c>
      <c r="C353" t="str">
        <f t="shared" si="30"/>
        <v>2014</v>
      </c>
      <c r="D353" t="s">
        <v>605</v>
      </c>
      <c r="E353" t="s">
        <v>606</v>
      </c>
      <c r="F353" t="s">
        <v>448</v>
      </c>
      <c r="G353" t="s">
        <v>449</v>
      </c>
      <c r="H353" t="s">
        <v>293</v>
      </c>
      <c r="I353" t="s">
        <v>284</v>
      </c>
      <c r="J353" t="s">
        <v>243</v>
      </c>
      <c r="K353" t="s">
        <v>1061</v>
      </c>
      <c r="L353" t="s">
        <v>245</v>
      </c>
      <c r="M353" t="s">
        <v>246</v>
      </c>
      <c r="N353" t="s">
        <v>247</v>
      </c>
      <c r="O353">
        <v>41838</v>
      </c>
      <c r="P353">
        <v>2.76</v>
      </c>
      <c r="Q353">
        <v>4.38</v>
      </c>
      <c r="R353">
        <f t="shared" si="31"/>
        <v>1.62</v>
      </c>
      <c r="S353">
        <v>18</v>
      </c>
      <c r="T353">
        <f t="shared" si="32"/>
        <v>78.84</v>
      </c>
      <c r="U353">
        <v>0.03</v>
      </c>
      <c r="V353">
        <f t="shared" si="33"/>
        <v>2.3652000000000002</v>
      </c>
      <c r="W353">
        <f t="shared" si="34"/>
        <v>76.474800000000002</v>
      </c>
      <c r="X353">
        <v>6.21</v>
      </c>
      <c r="Y353">
        <f t="shared" si="35"/>
        <v>82.684799999999996</v>
      </c>
    </row>
    <row r="354" spans="1:25" x14ac:dyDescent="0.25">
      <c r="A354" t="s">
        <v>1146</v>
      </c>
      <c r="B354">
        <v>41838</v>
      </c>
      <c r="C354" t="str">
        <f t="shared" si="30"/>
        <v>2014</v>
      </c>
      <c r="D354" t="s">
        <v>1147</v>
      </c>
      <c r="E354" t="s">
        <v>320</v>
      </c>
      <c r="F354" t="s">
        <v>257</v>
      </c>
      <c r="G354" t="s">
        <v>258</v>
      </c>
      <c r="H354" t="s">
        <v>259</v>
      </c>
      <c r="I354" t="s">
        <v>260</v>
      </c>
      <c r="J354" t="s">
        <v>304</v>
      </c>
      <c r="K354" t="s">
        <v>1119</v>
      </c>
      <c r="L354" t="s">
        <v>245</v>
      </c>
      <c r="M354" t="s">
        <v>246</v>
      </c>
      <c r="N354" t="s">
        <v>247</v>
      </c>
      <c r="O354">
        <v>41839</v>
      </c>
      <c r="P354">
        <v>1.84</v>
      </c>
      <c r="Q354">
        <v>2.88</v>
      </c>
      <c r="R354">
        <f t="shared" si="31"/>
        <v>1.0399999999999998</v>
      </c>
      <c r="S354">
        <v>10</v>
      </c>
      <c r="T354">
        <f t="shared" si="32"/>
        <v>28.799999999999997</v>
      </c>
      <c r="U354">
        <v>0.01</v>
      </c>
      <c r="V354">
        <f t="shared" si="33"/>
        <v>0.28799999999999998</v>
      </c>
      <c r="W354">
        <f t="shared" si="34"/>
        <v>28.511999999999997</v>
      </c>
      <c r="X354">
        <v>0.99</v>
      </c>
      <c r="Y354">
        <f t="shared" si="35"/>
        <v>29.501999999999995</v>
      </c>
    </row>
    <row r="355" spans="1:25" x14ac:dyDescent="0.25">
      <c r="A355" t="s">
        <v>1148</v>
      </c>
      <c r="B355">
        <v>41838</v>
      </c>
      <c r="C355" t="str">
        <f t="shared" si="30"/>
        <v>2014</v>
      </c>
      <c r="D355" t="s">
        <v>1149</v>
      </c>
      <c r="E355" t="s">
        <v>1150</v>
      </c>
      <c r="F355" t="s">
        <v>448</v>
      </c>
      <c r="G355" t="s">
        <v>449</v>
      </c>
      <c r="H355" t="s">
        <v>274</v>
      </c>
      <c r="I355" t="s">
        <v>284</v>
      </c>
      <c r="J355" t="s">
        <v>279</v>
      </c>
      <c r="K355" t="s">
        <v>1151</v>
      </c>
      <c r="L355" t="s">
        <v>245</v>
      </c>
      <c r="M355" t="s">
        <v>253</v>
      </c>
      <c r="N355" t="s">
        <v>247</v>
      </c>
      <c r="O355">
        <v>41840</v>
      </c>
      <c r="P355">
        <v>0.92</v>
      </c>
      <c r="Q355">
        <v>1.81</v>
      </c>
      <c r="R355">
        <f t="shared" si="31"/>
        <v>0.89</v>
      </c>
      <c r="S355">
        <v>8</v>
      </c>
      <c r="T355">
        <f t="shared" si="32"/>
        <v>14.48</v>
      </c>
      <c r="U355">
        <v>0.05</v>
      </c>
      <c r="V355">
        <f t="shared" si="33"/>
        <v>0.72400000000000009</v>
      </c>
      <c r="W355">
        <f t="shared" si="34"/>
        <v>13.756</v>
      </c>
      <c r="X355">
        <v>1.56</v>
      </c>
      <c r="Y355">
        <f t="shared" si="35"/>
        <v>15.316000000000001</v>
      </c>
    </row>
    <row r="356" spans="1:25" x14ac:dyDescent="0.25">
      <c r="A356" t="s">
        <v>1152</v>
      </c>
      <c r="B356">
        <v>41838</v>
      </c>
      <c r="C356" t="str">
        <f t="shared" si="30"/>
        <v>2014</v>
      </c>
      <c r="D356" t="s">
        <v>1149</v>
      </c>
      <c r="E356" t="s">
        <v>1150</v>
      </c>
      <c r="F356" t="s">
        <v>448</v>
      </c>
      <c r="G356" t="s">
        <v>449</v>
      </c>
      <c r="H356" t="s">
        <v>274</v>
      </c>
      <c r="I356" t="s">
        <v>284</v>
      </c>
      <c r="J356" t="s">
        <v>279</v>
      </c>
      <c r="K356" t="s">
        <v>1153</v>
      </c>
      <c r="L356" t="s">
        <v>245</v>
      </c>
      <c r="M356" t="s">
        <v>253</v>
      </c>
      <c r="N356" t="s">
        <v>247</v>
      </c>
      <c r="O356">
        <v>41845</v>
      </c>
      <c r="P356">
        <v>1.9</v>
      </c>
      <c r="Q356">
        <v>3.28</v>
      </c>
      <c r="R356">
        <f t="shared" si="31"/>
        <v>1.38</v>
      </c>
      <c r="S356">
        <v>41</v>
      </c>
      <c r="T356">
        <f t="shared" si="32"/>
        <v>134.47999999999999</v>
      </c>
      <c r="U356">
        <v>0.05</v>
      </c>
      <c r="V356">
        <f t="shared" si="33"/>
        <v>6.7240000000000002</v>
      </c>
      <c r="W356">
        <f t="shared" si="34"/>
        <v>127.75599999999999</v>
      </c>
      <c r="X356">
        <v>1.95</v>
      </c>
      <c r="Y356">
        <f t="shared" si="35"/>
        <v>129.70599999999999</v>
      </c>
    </row>
    <row r="357" spans="1:25" x14ac:dyDescent="0.25">
      <c r="A357" t="s">
        <v>1154</v>
      </c>
      <c r="B357">
        <v>41842</v>
      </c>
      <c r="C357" t="str">
        <f t="shared" si="30"/>
        <v>2014</v>
      </c>
      <c r="D357" t="s">
        <v>1155</v>
      </c>
      <c r="E357" t="s">
        <v>767</v>
      </c>
      <c r="F357" t="s">
        <v>257</v>
      </c>
      <c r="G357" t="s">
        <v>258</v>
      </c>
      <c r="H357" t="s">
        <v>274</v>
      </c>
      <c r="I357" t="s">
        <v>260</v>
      </c>
      <c r="J357" t="s">
        <v>279</v>
      </c>
      <c r="K357" t="s">
        <v>543</v>
      </c>
      <c r="L357" t="s">
        <v>245</v>
      </c>
      <c r="M357" t="s">
        <v>246</v>
      </c>
      <c r="N357" t="s">
        <v>247</v>
      </c>
      <c r="O357">
        <v>41844</v>
      </c>
      <c r="P357">
        <v>1.33</v>
      </c>
      <c r="Q357">
        <v>2.08</v>
      </c>
      <c r="R357">
        <f t="shared" si="31"/>
        <v>0.75</v>
      </c>
      <c r="S357">
        <v>20</v>
      </c>
      <c r="T357">
        <f t="shared" si="32"/>
        <v>41.6</v>
      </c>
      <c r="U357">
        <v>0.04</v>
      </c>
      <c r="V357">
        <f t="shared" si="33"/>
        <v>1.6640000000000001</v>
      </c>
      <c r="W357">
        <f t="shared" si="34"/>
        <v>39.936</v>
      </c>
      <c r="X357">
        <v>1.49</v>
      </c>
      <c r="Y357">
        <f t="shared" si="35"/>
        <v>41.426000000000002</v>
      </c>
    </row>
    <row r="358" spans="1:25" x14ac:dyDescent="0.25">
      <c r="A358" t="s">
        <v>1156</v>
      </c>
      <c r="B358">
        <v>41844</v>
      </c>
      <c r="C358" t="str">
        <f t="shared" si="30"/>
        <v>2014</v>
      </c>
      <c r="D358" t="s">
        <v>1157</v>
      </c>
      <c r="E358" t="s">
        <v>1014</v>
      </c>
      <c r="F358" t="s">
        <v>257</v>
      </c>
      <c r="G358" t="s">
        <v>258</v>
      </c>
      <c r="H358" t="s">
        <v>293</v>
      </c>
      <c r="I358" t="s">
        <v>492</v>
      </c>
      <c r="J358" t="s">
        <v>261</v>
      </c>
      <c r="K358" t="s">
        <v>529</v>
      </c>
      <c r="L358" t="s">
        <v>245</v>
      </c>
      <c r="M358" t="s">
        <v>253</v>
      </c>
      <c r="N358" t="s">
        <v>263</v>
      </c>
      <c r="O358">
        <v>41846</v>
      </c>
      <c r="P358">
        <v>1.6</v>
      </c>
      <c r="Q358">
        <v>2.62</v>
      </c>
      <c r="R358">
        <f t="shared" si="31"/>
        <v>1.02</v>
      </c>
      <c r="S358">
        <v>25</v>
      </c>
      <c r="T358">
        <f t="shared" si="32"/>
        <v>65.5</v>
      </c>
      <c r="U358">
        <v>0.09</v>
      </c>
      <c r="V358">
        <f t="shared" si="33"/>
        <v>5.8949999999999996</v>
      </c>
      <c r="W358">
        <f t="shared" si="34"/>
        <v>59.605000000000004</v>
      </c>
      <c r="X358">
        <v>0.8</v>
      </c>
      <c r="Y358">
        <f t="shared" si="35"/>
        <v>60.405000000000001</v>
      </c>
    </row>
    <row r="359" spans="1:25" x14ac:dyDescent="0.25">
      <c r="A359" t="s">
        <v>1158</v>
      </c>
      <c r="B359">
        <v>41845</v>
      </c>
      <c r="C359" t="str">
        <f t="shared" si="30"/>
        <v>2014</v>
      </c>
      <c r="D359" t="s">
        <v>1159</v>
      </c>
      <c r="E359" t="s">
        <v>376</v>
      </c>
      <c r="F359" t="s">
        <v>239</v>
      </c>
      <c r="G359" t="s">
        <v>240</v>
      </c>
      <c r="H359" t="s">
        <v>241</v>
      </c>
      <c r="I359" t="s">
        <v>242</v>
      </c>
      <c r="J359" t="s">
        <v>279</v>
      </c>
      <c r="K359" t="s">
        <v>555</v>
      </c>
      <c r="L359" t="s">
        <v>245</v>
      </c>
      <c r="M359" t="s">
        <v>246</v>
      </c>
      <c r="N359" t="s">
        <v>247</v>
      </c>
      <c r="O359">
        <v>41847</v>
      </c>
      <c r="P359">
        <v>1.98</v>
      </c>
      <c r="Q359">
        <v>3.15</v>
      </c>
      <c r="R359">
        <f t="shared" si="31"/>
        <v>1.17</v>
      </c>
      <c r="S359">
        <v>46</v>
      </c>
      <c r="T359">
        <f t="shared" si="32"/>
        <v>144.9</v>
      </c>
      <c r="U359">
        <v>0.1</v>
      </c>
      <c r="V359">
        <f t="shared" si="33"/>
        <v>14.490000000000002</v>
      </c>
      <c r="W359">
        <f t="shared" si="34"/>
        <v>130.41</v>
      </c>
      <c r="X359">
        <v>0.49</v>
      </c>
      <c r="Y359">
        <f t="shared" si="35"/>
        <v>130.9</v>
      </c>
    </row>
    <row r="360" spans="1:25" x14ac:dyDescent="0.25">
      <c r="A360" t="s">
        <v>1160</v>
      </c>
      <c r="B360">
        <v>41846</v>
      </c>
      <c r="C360" t="str">
        <f t="shared" si="30"/>
        <v>2014</v>
      </c>
      <c r="D360" t="s">
        <v>1161</v>
      </c>
      <c r="E360" t="s">
        <v>739</v>
      </c>
      <c r="F360" t="s">
        <v>257</v>
      </c>
      <c r="G360" t="s">
        <v>258</v>
      </c>
      <c r="H360" t="s">
        <v>241</v>
      </c>
      <c r="I360" t="s">
        <v>299</v>
      </c>
      <c r="J360" t="s">
        <v>279</v>
      </c>
      <c r="K360" t="s">
        <v>939</v>
      </c>
      <c r="L360" t="s">
        <v>268</v>
      </c>
      <c r="M360" t="s">
        <v>647</v>
      </c>
      <c r="N360" t="s">
        <v>247</v>
      </c>
      <c r="O360">
        <v>41855</v>
      </c>
      <c r="P360">
        <v>377.99</v>
      </c>
      <c r="Q360">
        <v>599.99</v>
      </c>
      <c r="R360">
        <f t="shared" si="31"/>
        <v>222</v>
      </c>
      <c r="S360">
        <v>25</v>
      </c>
      <c r="T360">
        <f t="shared" si="32"/>
        <v>14999.75</v>
      </c>
      <c r="U360">
        <v>7.0000000000000007E-2</v>
      </c>
      <c r="V360">
        <f t="shared" si="33"/>
        <v>1049.9825000000001</v>
      </c>
      <c r="W360">
        <f t="shared" si="34"/>
        <v>13949.7675</v>
      </c>
      <c r="X360">
        <v>24.49</v>
      </c>
      <c r="Y360">
        <f t="shared" si="35"/>
        <v>13974.2575</v>
      </c>
    </row>
    <row r="361" spans="1:25" x14ac:dyDescent="0.25">
      <c r="A361" t="s">
        <v>1162</v>
      </c>
      <c r="B361">
        <v>41846</v>
      </c>
      <c r="C361" t="str">
        <f t="shared" si="30"/>
        <v>2014</v>
      </c>
      <c r="D361" t="s">
        <v>1161</v>
      </c>
      <c r="E361" t="s">
        <v>739</v>
      </c>
      <c r="F361" t="s">
        <v>257</v>
      </c>
      <c r="G361" t="s">
        <v>258</v>
      </c>
      <c r="H361" t="s">
        <v>241</v>
      </c>
      <c r="I361" t="s">
        <v>299</v>
      </c>
      <c r="J361" t="s">
        <v>279</v>
      </c>
      <c r="K361" t="s">
        <v>529</v>
      </c>
      <c r="L361" t="s">
        <v>245</v>
      </c>
      <c r="M361" t="s">
        <v>253</v>
      </c>
      <c r="N361" t="s">
        <v>247</v>
      </c>
      <c r="O361">
        <v>41853</v>
      </c>
      <c r="P361">
        <v>1.6</v>
      </c>
      <c r="Q361">
        <v>2.62</v>
      </c>
      <c r="R361">
        <f t="shared" si="31"/>
        <v>1.02</v>
      </c>
      <c r="S361">
        <v>10</v>
      </c>
      <c r="T361">
        <f t="shared" si="32"/>
        <v>26.200000000000003</v>
      </c>
      <c r="U361">
        <v>0.08</v>
      </c>
      <c r="V361">
        <f t="shared" si="33"/>
        <v>2.0960000000000001</v>
      </c>
      <c r="W361">
        <f t="shared" si="34"/>
        <v>24.104000000000003</v>
      </c>
      <c r="X361">
        <v>0.8</v>
      </c>
      <c r="Y361">
        <f t="shared" si="35"/>
        <v>24.904000000000003</v>
      </c>
    </row>
    <row r="362" spans="1:25" x14ac:dyDescent="0.25">
      <c r="A362" t="s">
        <v>1163</v>
      </c>
      <c r="B362">
        <v>41848</v>
      </c>
      <c r="C362" t="str">
        <f t="shared" si="30"/>
        <v>2014</v>
      </c>
      <c r="D362" t="s">
        <v>1164</v>
      </c>
      <c r="E362" t="s">
        <v>1165</v>
      </c>
      <c r="F362" t="s">
        <v>257</v>
      </c>
      <c r="G362" t="s">
        <v>258</v>
      </c>
      <c r="H362" t="s">
        <v>259</v>
      </c>
      <c r="I362" t="s">
        <v>381</v>
      </c>
      <c r="J362" t="s">
        <v>304</v>
      </c>
      <c r="K362" t="s">
        <v>413</v>
      </c>
      <c r="L362" t="s">
        <v>268</v>
      </c>
      <c r="M362" t="s">
        <v>414</v>
      </c>
      <c r="N362" t="s">
        <v>247</v>
      </c>
      <c r="O362">
        <v>41850</v>
      </c>
      <c r="P362">
        <v>8.82</v>
      </c>
      <c r="Q362">
        <v>20.99</v>
      </c>
      <c r="R362">
        <f t="shared" si="31"/>
        <v>12.169999999999998</v>
      </c>
      <c r="S362">
        <v>9</v>
      </c>
      <c r="T362">
        <f t="shared" si="32"/>
        <v>188.91</v>
      </c>
      <c r="U362">
        <v>0.08</v>
      </c>
      <c r="V362">
        <f t="shared" si="33"/>
        <v>15.1128</v>
      </c>
      <c r="W362">
        <f t="shared" si="34"/>
        <v>173.7972</v>
      </c>
      <c r="X362">
        <v>4.8099999999999996</v>
      </c>
      <c r="Y362">
        <f t="shared" si="35"/>
        <v>178.60720000000001</v>
      </c>
    </row>
    <row r="363" spans="1:25" x14ac:dyDescent="0.25">
      <c r="A363" t="s">
        <v>1166</v>
      </c>
      <c r="B363">
        <v>41850</v>
      </c>
      <c r="C363" t="str">
        <f t="shared" si="30"/>
        <v>2014</v>
      </c>
      <c r="D363" t="s">
        <v>1167</v>
      </c>
      <c r="E363" t="s">
        <v>303</v>
      </c>
      <c r="F363" t="s">
        <v>239</v>
      </c>
      <c r="G363" t="s">
        <v>240</v>
      </c>
      <c r="H363" t="s">
        <v>293</v>
      </c>
      <c r="I363" t="s">
        <v>242</v>
      </c>
      <c r="J363" t="s">
        <v>243</v>
      </c>
      <c r="K363" t="s">
        <v>1138</v>
      </c>
      <c r="L363" t="s">
        <v>245</v>
      </c>
      <c r="M363" t="s">
        <v>246</v>
      </c>
      <c r="N363" t="s">
        <v>247</v>
      </c>
      <c r="O363">
        <v>41851</v>
      </c>
      <c r="P363">
        <v>1.84</v>
      </c>
      <c r="Q363">
        <v>2.88</v>
      </c>
      <c r="R363">
        <f t="shared" si="31"/>
        <v>1.0399999999999998</v>
      </c>
      <c r="S363">
        <v>11</v>
      </c>
      <c r="T363">
        <f t="shared" si="32"/>
        <v>31.68</v>
      </c>
      <c r="U363">
        <v>0.02</v>
      </c>
      <c r="V363">
        <f t="shared" si="33"/>
        <v>0.63360000000000005</v>
      </c>
      <c r="W363">
        <f t="shared" si="34"/>
        <v>31.046399999999998</v>
      </c>
      <c r="X363">
        <v>5.33</v>
      </c>
      <c r="Y363">
        <f t="shared" si="35"/>
        <v>36.376399999999997</v>
      </c>
    </row>
    <row r="364" spans="1:25" x14ac:dyDescent="0.25">
      <c r="A364" t="s">
        <v>1168</v>
      </c>
      <c r="B364">
        <v>41850</v>
      </c>
      <c r="C364" t="str">
        <f t="shared" si="30"/>
        <v>2014</v>
      </c>
      <c r="D364" t="s">
        <v>1169</v>
      </c>
      <c r="E364" t="s">
        <v>288</v>
      </c>
      <c r="F364" t="s">
        <v>257</v>
      </c>
      <c r="G364" t="s">
        <v>258</v>
      </c>
      <c r="H364" t="s">
        <v>293</v>
      </c>
      <c r="I364" t="s">
        <v>284</v>
      </c>
      <c r="J364" t="s">
        <v>243</v>
      </c>
      <c r="K364" t="s">
        <v>421</v>
      </c>
      <c r="L364" t="s">
        <v>245</v>
      </c>
      <c r="M364" t="s">
        <v>246</v>
      </c>
      <c r="N364" t="s">
        <v>247</v>
      </c>
      <c r="O364">
        <v>41852</v>
      </c>
      <c r="P364">
        <v>13.88</v>
      </c>
      <c r="Q364">
        <v>22.38</v>
      </c>
      <c r="R364">
        <f t="shared" si="31"/>
        <v>8.4999999999999982</v>
      </c>
      <c r="S364">
        <v>34</v>
      </c>
      <c r="T364">
        <f t="shared" si="32"/>
        <v>760.92</v>
      </c>
      <c r="U364">
        <v>0.01</v>
      </c>
      <c r="V364">
        <f t="shared" si="33"/>
        <v>7.6091999999999995</v>
      </c>
      <c r="W364">
        <f t="shared" si="34"/>
        <v>753.31079999999997</v>
      </c>
      <c r="X364">
        <v>15.1</v>
      </c>
      <c r="Y364">
        <f t="shared" si="35"/>
        <v>768.41079999999999</v>
      </c>
    </row>
    <row r="365" spans="1:25" x14ac:dyDescent="0.25">
      <c r="A365" t="s">
        <v>1170</v>
      </c>
      <c r="B365">
        <v>41850</v>
      </c>
      <c r="C365" t="str">
        <f t="shared" si="30"/>
        <v>2014</v>
      </c>
      <c r="D365" t="s">
        <v>1171</v>
      </c>
      <c r="E365" t="s">
        <v>356</v>
      </c>
      <c r="F365" t="s">
        <v>239</v>
      </c>
      <c r="G365" t="s">
        <v>240</v>
      </c>
      <c r="H365" t="s">
        <v>259</v>
      </c>
      <c r="I365" t="s">
        <v>251</v>
      </c>
      <c r="J365" t="s">
        <v>304</v>
      </c>
      <c r="K365" t="s">
        <v>305</v>
      </c>
      <c r="L365" t="s">
        <v>245</v>
      </c>
      <c r="M365" t="s">
        <v>246</v>
      </c>
      <c r="N365" t="s">
        <v>247</v>
      </c>
      <c r="O365">
        <v>41852</v>
      </c>
      <c r="P365">
        <v>4.8899999999999997</v>
      </c>
      <c r="Q365">
        <v>7.64</v>
      </c>
      <c r="R365">
        <f t="shared" si="31"/>
        <v>2.75</v>
      </c>
      <c r="S365">
        <v>7</v>
      </c>
      <c r="T365">
        <f t="shared" si="32"/>
        <v>53.48</v>
      </c>
      <c r="U365">
        <v>0.06</v>
      </c>
      <c r="V365">
        <f t="shared" si="33"/>
        <v>3.2087999999999997</v>
      </c>
      <c r="W365">
        <f t="shared" si="34"/>
        <v>50.2712</v>
      </c>
      <c r="X365">
        <v>1.39</v>
      </c>
      <c r="Y365">
        <f t="shared" si="35"/>
        <v>51.661200000000001</v>
      </c>
    </row>
    <row r="366" spans="1:25" x14ac:dyDescent="0.25">
      <c r="A366" t="s">
        <v>1172</v>
      </c>
      <c r="B366">
        <v>41854</v>
      </c>
      <c r="C366" t="str">
        <f t="shared" si="30"/>
        <v>2014</v>
      </c>
      <c r="D366" t="s">
        <v>1173</v>
      </c>
      <c r="E366" t="s">
        <v>816</v>
      </c>
      <c r="F366" t="s">
        <v>257</v>
      </c>
      <c r="G366" t="s">
        <v>258</v>
      </c>
      <c r="H366" t="s">
        <v>259</v>
      </c>
      <c r="I366" t="s">
        <v>492</v>
      </c>
      <c r="J366" t="s">
        <v>304</v>
      </c>
      <c r="K366" t="s">
        <v>653</v>
      </c>
      <c r="L366" t="s">
        <v>245</v>
      </c>
      <c r="M366" t="s">
        <v>246</v>
      </c>
      <c r="N366" t="s">
        <v>247</v>
      </c>
      <c r="O366">
        <v>41855</v>
      </c>
      <c r="P366">
        <v>3.5</v>
      </c>
      <c r="Q366">
        <v>5.74</v>
      </c>
      <c r="R366">
        <f t="shared" si="31"/>
        <v>2.2400000000000002</v>
      </c>
      <c r="S366">
        <v>7</v>
      </c>
      <c r="T366">
        <f t="shared" si="32"/>
        <v>40.18</v>
      </c>
      <c r="U366">
        <v>0.04</v>
      </c>
      <c r="V366">
        <f t="shared" si="33"/>
        <v>1.6072</v>
      </c>
      <c r="W366">
        <f t="shared" si="34"/>
        <v>38.572800000000001</v>
      </c>
      <c r="X366">
        <v>5.01</v>
      </c>
      <c r="Y366">
        <f t="shared" si="35"/>
        <v>43.582799999999999</v>
      </c>
    </row>
    <row r="367" spans="1:25" x14ac:dyDescent="0.25">
      <c r="A367" t="s">
        <v>1174</v>
      </c>
      <c r="B367">
        <v>41856</v>
      </c>
      <c r="C367" t="str">
        <f t="shared" si="30"/>
        <v>2014</v>
      </c>
      <c r="D367" t="s">
        <v>1175</v>
      </c>
      <c r="E367" t="s">
        <v>238</v>
      </c>
      <c r="F367" t="s">
        <v>239</v>
      </c>
      <c r="G367" t="s">
        <v>240</v>
      </c>
      <c r="H367" t="s">
        <v>274</v>
      </c>
      <c r="I367" t="s">
        <v>242</v>
      </c>
      <c r="J367" t="s">
        <v>243</v>
      </c>
      <c r="K367" t="s">
        <v>280</v>
      </c>
      <c r="L367" t="s">
        <v>245</v>
      </c>
      <c r="M367" t="s">
        <v>253</v>
      </c>
      <c r="N367" t="s">
        <v>247</v>
      </c>
      <c r="O367">
        <v>41858</v>
      </c>
      <c r="P367">
        <v>1.0900000000000001</v>
      </c>
      <c r="Q367">
        <v>2.6</v>
      </c>
      <c r="R367">
        <f t="shared" si="31"/>
        <v>1.51</v>
      </c>
      <c r="S367">
        <v>43</v>
      </c>
      <c r="T367">
        <f t="shared" si="32"/>
        <v>111.8</v>
      </c>
      <c r="U367">
        <v>0.06</v>
      </c>
      <c r="V367">
        <f t="shared" si="33"/>
        <v>6.7079999999999993</v>
      </c>
      <c r="W367">
        <f t="shared" si="34"/>
        <v>105.092</v>
      </c>
      <c r="X367">
        <v>2.4</v>
      </c>
      <c r="Y367">
        <f t="shared" si="35"/>
        <v>107.492</v>
      </c>
    </row>
    <row r="368" spans="1:25" x14ac:dyDescent="0.25">
      <c r="A368" t="s">
        <v>1176</v>
      </c>
      <c r="B368">
        <v>41857</v>
      </c>
      <c r="C368" t="str">
        <f t="shared" si="30"/>
        <v>2014</v>
      </c>
      <c r="D368" t="s">
        <v>1177</v>
      </c>
      <c r="E368" t="s">
        <v>1178</v>
      </c>
      <c r="F368" t="s">
        <v>257</v>
      </c>
      <c r="G368" t="s">
        <v>258</v>
      </c>
      <c r="H368" t="s">
        <v>259</v>
      </c>
      <c r="I368" t="s">
        <v>504</v>
      </c>
      <c r="J368" t="s">
        <v>279</v>
      </c>
      <c r="K368" t="s">
        <v>603</v>
      </c>
      <c r="L368" t="s">
        <v>245</v>
      </c>
      <c r="M368" t="s">
        <v>246</v>
      </c>
      <c r="N368" t="s">
        <v>247</v>
      </c>
      <c r="O368">
        <v>41857</v>
      </c>
      <c r="P368">
        <v>3.65</v>
      </c>
      <c r="Q368">
        <v>5.98</v>
      </c>
      <c r="R368">
        <f t="shared" si="31"/>
        <v>2.3300000000000005</v>
      </c>
      <c r="S368">
        <v>32</v>
      </c>
      <c r="T368">
        <f t="shared" si="32"/>
        <v>191.36</v>
      </c>
      <c r="U368">
        <v>0.1</v>
      </c>
      <c r="V368">
        <f t="shared" si="33"/>
        <v>19.136000000000003</v>
      </c>
      <c r="W368">
        <f t="shared" si="34"/>
        <v>172.22400000000002</v>
      </c>
      <c r="X368">
        <v>1.49</v>
      </c>
      <c r="Y368">
        <f t="shared" si="35"/>
        <v>173.71400000000003</v>
      </c>
    </row>
    <row r="369" spans="1:25" x14ac:dyDescent="0.25">
      <c r="A369" t="s">
        <v>1179</v>
      </c>
      <c r="B369">
        <v>41858</v>
      </c>
      <c r="C369" t="str">
        <f t="shared" si="30"/>
        <v>2014</v>
      </c>
      <c r="D369" t="s">
        <v>1180</v>
      </c>
      <c r="E369" t="s">
        <v>332</v>
      </c>
      <c r="F369" t="s">
        <v>257</v>
      </c>
      <c r="G369" t="s">
        <v>258</v>
      </c>
      <c r="H369" t="s">
        <v>293</v>
      </c>
      <c r="I369" t="s">
        <v>333</v>
      </c>
      <c r="J369" t="s">
        <v>261</v>
      </c>
      <c r="K369" t="s">
        <v>698</v>
      </c>
      <c r="L369" t="s">
        <v>245</v>
      </c>
      <c r="M369" t="s">
        <v>253</v>
      </c>
      <c r="N369" t="s">
        <v>247</v>
      </c>
      <c r="O369">
        <v>41860</v>
      </c>
      <c r="P369">
        <v>3.32</v>
      </c>
      <c r="Q369">
        <v>5.18</v>
      </c>
      <c r="R369">
        <f t="shared" si="31"/>
        <v>1.8599999999999999</v>
      </c>
      <c r="S369">
        <v>17</v>
      </c>
      <c r="T369">
        <f t="shared" si="32"/>
        <v>88.06</v>
      </c>
      <c r="U369">
        <v>0.02</v>
      </c>
      <c r="V369">
        <f t="shared" si="33"/>
        <v>1.7612000000000001</v>
      </c>
      <c r="W369">
        <f t="shared" si="34"/>
        <v>86.2988</v>
      </c>
      <c r="X369">
        <v>2.04</v>
      </c>
      <c r="Y369">
        <f t="shared" si="35"/>
        <v>88.338800000000006</v>
      </c>
    </row>
    <row r="370" spans="1:25" x14ac:dyDescent="0.25">
      <c r="A370" t="s">
        <v>1181</v>
      </c>
      <c r="B370">
        <v>41862</v>
      </c>
      <c r="C370" t="str">
        <f t="shared" si="30"/>
        <v>2014</v>
      </c>
      <c r="D370" t="s">
        <v>1182</v>
      </c>
      <c r="E370" t="s">
        <v>589</v>
      </c>
      <c r="F370" t="s">
        <v>257</v>
      </c>
      <c r="G370" t="s">
        <v>258</v>
      </c>
      <c r="H370" t="s">
        <v>259</v>
      </c>
      <c r="I370" t="s">
        <v>342</v>
      </c>
      <c r="J370" t="s">
        <v>261</v>
      </c>
      <c r="K370" t="s">
        <v>582</v>
      </c>
      <c r="L370" t="s">
        <v>245</v>
      </c>
      <c r="M370" t="s">
        <v>253</v>
      </c>
      <c r="N370" t="s">
        <v>247</v>
      </c>
      <c r="O370">
        <v>41863</v>
      </c>
      <c r="P370">
        <v>0.24</v>
      </c>
      <c r="Q370">
        <v>1.26</v>
      </c>
      <c r="R370">
        <f t="shared" si="31"/>
        <v>1.02</v>
      </c>
      <c r="S370">
        <v>2</v>
      </c>
      <c r="T370">
        <f t="shared" si="32"/>
        <v>2.52</v>
      </c>
      <c r="U370">
        <v>0.06</v>
      </c>
      <c r="V370">
        <f t="shared" si="33"/>
        <v>0.1512</v>
      </c>
      <c r="W370">
        <f t="shared" si="34"/>
        <v>2.3688000000000002</v>
      </c>
      <c r="X370">
        <v>0.7</v>
      </c>
      <c r="Y370">
        <f t="shared" si="35"/>
        <v>3.0688000000000004</v>
      </c>
    </row>
    <row r="371" spans="1:25" x14ac:dyDescent="0.25">
      <c r="A371" t="s">
        <v>1183</v>
      </c>
      <c r="B371">
        <v>41862</v>
      </c>
      <c r="C371" t="str">
        <f t="shared" si="30"/>
        <v>2014</v>
      </c>
      <c r="D371" t="s">
        <v>561</v>
      </c>
      <c r="E371" t="s">
        <v>528</v>
      </c>
      <c r="F371" t="s">
        <v>239</v>
      </c>
      <c r="G371" t="s">
        <v>240</v>
      </c>
      <c r="H371" t="s">
        <v>293</v>
      </c>
      <c r="I371" t="s">
        <v>251</v>
      </c>
      <c r="J371" t="s">
        <v>261</v>
      </c>
      <c r="K371" t="s">
        <v>425</v>
      </c>
      <c r="L371" t="s">
        <v>245</v>
      </c>
      <c r="M371" t="s">
        <v>253</v>
      </c>
      <c r="N371" t="s">
        <v>247</v>
      </c>
      <c r="O371">
        <v>41865</v>
      </c>
      <c r="P371">
        <v>21.56</v>
      </c>
      <c r="Q371">
        <v>36.549999999999997</v>
      </c>
      <c r="R371">
        <f t="shared" si="31"/>
        <v>14.989999999999998</v>
      </c>
      <c r="S371">
        <v>24</v>
      </c>
      <c r="T371">
        <f t="shared" si="32"/>
        <v>877.19999999999993</v>
      </c>
      <c r="U371">
        <v>7.0000000000000007E-2</v>
      </c>
      <c r="V371">
        <f t="shared" si="33"/>
        <v>61.404000000000003</v>
      </c>
      <c r="W371">
        <f t="shared" si="34"/>
        <v>815.79599999999994</v>
      </c>
      <c r="X371">
        <v>13.89</v>
      </c>
      <c r="Y371">
        <f t="shared" si="35"/>
        <v>829.68599999999992</v>
      </c>
    </row>
    <row r="372" spans="1:25" x14ac:dyDescent="0.25">
      <c r="A372" t="s">
        <v>1184</v>
      </c>
      <c r="B372">
        <v>41862</v>
      </c>
      <c r="C372" t="str">
        <f t="shared" si="30"/>
        <v>2014</v>
      </c>
      <c r="D372" t="s">
        <v>1185</v>
      </c>
      <c r="E372" t="s">
        <v>528</v>
      </c>
      <c r="F372" t="s">
        <v>239</v>
      </c>
      <c r="G372" t="s">
        <v>240</v>
      </c>
      <c r="H372" t="s">
        <v>259</v>
      </c>
      <c r="I372" t="s">
        <v>251</v>
      </c>
      <c r="J372" t="s">
        <v>304</v>
      </c>
      <c r="K372" t="s">
        <v>435</v>
      </c>
      <c r="L372" t="s">
        <v>245</v>
      </c>
      <c r="M372" t="s">
        <v>253</v>
      </c>
      <c r="N372" t="s">
        <v>247</v>
      </c>
      <c r="O372">
        <v>41864</v>
      </c>
      <c r="P372">
        <v>3.75</v>
      </c>
      <c r="Q372">
        <v>7.08</v>
      </c>
      <c r="R372">
        <f t="shared" si="31"/>
        <v>3.33</v>
      </c>
      <c r="S372">
        <v>47</v>
      </c>
      <c r="T372">
        <f t="shared" si="32"/>
        <v>332.76</v>
      </c>
      <c r="U372">
        <v>0.1</v>
      </c>
      <c r="V372">
        <f t="shared" si="33"/>
        <v>33.276000000000003</v>
      </c>
      <c r="W372">
        <f t="shared" si="34"/>
        <v>299.48399999999998</v>
      </c>
      <c r="X372">
        <v>2.35</v>
      </c>
      <c r="Y372">
        <f t="shared" si="35"/>
        <v>301.834</v>
      </c>
    </row>
    <row r="373" spans="1:25" x14ac:dyDescent="0.25">
      <c r="A373" t="s">
        <v>1186</v>
      </c>
      <c r="B373">
        <v>41862</v>
      </c>
      <c r="C373" t="str">
        <f t="shared" si="30"/>
        <v>2014</v>
      </c>
      <c r="D373" t="s">
        <v>1187</v>
      </c>
      <c r="E373" t="s">
        <v>238</v>
      </c>
      <c r="F373" t="s">
        <v>239</v>
      </c>
      <c r="G373" t="s">
        <v>240</v>
      </c>
      <c r="H373" t="s">
        <v>274</v>
      </c>
      <c r="I373" t="s">
        <v>242</v>
      </c>
      <c r="J373" t="s">
        <v>243</v>
      </c>
      <c r="K373" t="s">
        <v>519</v>
      </c>
      <c r="L373" t="s">
        <v>245</v>
      </c>
      <c r="M373" t="s">
        <v>253</v>
      </c>
      <c r="N373" t="s">
        <v>263</v>
      </c>
      <c r="O373">
        <v>41864</v>
      </c>
      <c r="P373">
        <v>2.9</v>
      </c>
      <c r="Q373">
        <v>4.76</v>
      </c>
      <c r="R373">
        <f t="shared" si="31"/>
        <v>1.8599999999999999</v>
      </c>
      <c r="S373">
        <v>11</v>
      </c>
      <c r="T373">
        <f t="shared" si="32"/>
        <v>52.36</v>
      </c>
      <c r="U373">
        <v>0.08</v>
      </c>
      <c r="V373">
        <f t="shared" si="33"/>
        <v>4.1887999999999996</v>
      </c>
      <c r="W373">
        <f t="shared" si="34"/>
        <v>48.171199999999999</v>
      </c>
      <c r="X373">
        <v>0.88</v>
      </c>
      <c r="Y373">
        <f t="shared" si="35"/>
        <v>49.051200000000001</v>
      </c>
    </row>
    <row r="374" spans="1:25" x14ac:dyDescent="0.25">
      <c r="A374" t="s">
        <v>1188</v>
      </c>
      <c r="B374">
        <v>41863</v>
      </c>
      <c r="C374" t="str">
        <f t="shared" si="30"/>
        <v>2014</v>
      </c>
      <c r="D374" t="s">
        <v>431</v>
      </c>
      <c r="E374" t="s">
        <v>432</v>
      </c>
      <c r="F374" t="s">
        <v>257</v>
      </c>
      <c r="G374" t="s">
        <v>258</v>
      </c>
      <c r="H374" t="s">
        <v>241</v>
      </c>
      <c r="I374" t="s">
        <v>333</v>
      </c>
      <c r="J374" t="s">
        <v>279</v>
      </c>
      <c r="K374" t="s">
        <v>373</v>
      </c>
      <c r="L374" t="s">
        <v>268</v>
      </c>
      <c r="M374" t="s">
        <v>246</v>
      </c>
      <c r="N374" t="s">
        <v>247</v>
      </c>
      <c r="O374">
        <v>41870</v>
      </c>
      <c r="P374">
        <v>6.39</v>
      </c>
      <c r="Q374">
        <v>19.98</v>
      </c>
      <c r="R374">
        <f t="shared" si="31"/>
        <v>13.59</v>
      </c>
      <c r="S374">
        <v>5</v>
      </c>
      <c r="T374">
        <f t="shared" si="32"/>
        <v>99.9</v>
      </c>
      <c r="U374">
        <v>0.09</v>
      </c>
      <c r="V374">
        <f t="shared" si="33"/>
        <v>8.9909999999999997</v>
      </c>
      <c r="W374">
        <f t="shared" si="34"/>
        <v>90.909000000000006</v>
      </c>
      <c r="X374">
        <v>4</v>
      </c>
      <c r="Y374">
        <f t="shared" si="35"/>
        <v>94.909000000000006</v>
      </c>
    </row>
    <row r="375" spans="1:25" x14ac:dyDescent="0.25">
      <c r="A375" t="s">
        <v>1189</v>
      </c>
      <c r="B375">
        <v>41873</v>
      </c>
      <c r="C375" t="str">
        <f t="shared" si="30"/>
        <v>2014</v>
      </c>
      <c r="D375" t="s">
        <v>1190</v>
      </c>
      <c r="E375" t="s">
        <v>552</v>
      </c>
      <c r="F375" t="s">
        <v>257</v>
      </c>
      <c r="G375" t="s">
        <v>258</v>
      </c>
      <c r="H375" t="s">
        <v>241</v>
      </c>
      <c r="I375" t="s">
        <v>284</v>
      </c>
      <c r="J375" t="s">
        <v>294</v>
      </c>
      <c r="K375" t="s">
        <v>1191</v>
      </c>
      <c r="L375" t="s">
        <v>245</v>
      </c>
      <c r="M375" t="s">
        <v>246</v>
      </c>
      <c r="N375" t="s">
        <v>247</v>
      </c>
      <c r="O375">
        <v>41874</v>
      </c>
      <c r="P375">
        <v>4.03</v>
      </c>
      <c r="Q375">
        <v>9.3800000000000008</v>
      </c>
      <c r="R375">
        <f t="shared" si="31"/>
        <v>5.3500000000000005</v>
      </c>
      <c r="S375">
        <v>17</v>
      </c>
      <c r="T375">
        <f t="shared" si="32"/>
        <v>159.46</v>
      </c>
      <c r="U375">
        <v>0.09</v>
      </c>
      <c r="V375">
        <f t="shared" si="33"/>
        <v>14.3514</v>
      </c>
      <c r="W375">
        <f t="shared" si="34"/>
        <v>145.1086</v>
      </c>
      <c r="X375">
        <v>7.28</v>
      </c>
      <c r="Y375">
        <f t="shared" si="35"/>
        <v>152.3886</v>
      </c>
    </row>
    <row r="376" spans="1:25" x14ac:dyDescent="0.25">
      <c r="A376" t="s">
        <v>1192</v>
      </c>
      <c r="B376">
        <v>41876</v>
      </c>
      <c r="C376" t="str">
        <f t="shared" si="30"/>
        <v>2014</v>
      </c>
      <c r="D376" t="s">
        <v>1095</v>
      </c>
      <c r="E376" t="s">
        <v>528</v>
      </c>
      <c r="F376" t="s">
        <v>239</v>
      </c>
      <c r="G376" t="s">
        <v>240</v>
      </c>
      <c r="H376" t="s">
        <v>259</v>
      </c>
      <c r="I376" t="s">
        <v>251</v>
      </c>
      <c r="J376" t="s">
        <v>243</v>
      </c>
      <c r="K376" t="s">
        <v>439</v>
      </c>
      <c r="L376" t="s">
        <v>440</v>
      </c>
      <c r="M376" t="s">
        <v>323</v>
      </c>
      <c r="N376" t="s">
        <v>247</v>
      </c>
      <c r="O376">
        <v>41878</v>
      </c>
      <c r="P376">
        <v>5.5</v>
      </c>
      <c r="Q376">
        <v>12.22</v>
      </c>
      <c r="R376">
        <f t="shared" si="31"/>
        <v>6.7200000000000006</v>
      </c>
      <c r="S376">
        <v>37</v>
      </c>
      <c r="T376">
        <f t="shared" si="32"/>
        <v>452.14000000000004</v>
      </c>
      <c r="U376">
        <v>0.09</v>
      </c>
      <c r="V376">
        <f t="shared" si="33"/>
        <v>40.692600000000006</v>
      </c>
      <c r="W376">
        <f t="shared" si="34"/>
        <v>411.44740000000002</v>
      </c>
      <c r="X376">
        <v>2.85</v>
      </c>
      <c r="Y376">
        <f t="shared" si="35"/>
        <v>414.29740000000004</v>
      </c>
    </row>
    <row r="377" spans="1:25" x14ac:dyDescent="0.25">
      <c r="A377" t="s">
        <v>1193</v>
      </c>
      <c r="B377">
        <v>41876</v>
      </c>
      <c r="C377" t="str">
        <f t="shared" si="30"/>
        <v>2014</v>
      </c>
      <c r="D377" t="s">
        <v>1194</v>
      </c>
      <c r="E377" t="s">
        <v>944</v>
      </c>
      <c r="F377" t="s">
        <v>257</v>
      </c>
      <c r="G377" t="s">
        <v>258</v>
      </c>
      <c r="H377" t="s">
        <v>241</v>
      </c>
      <c r="I377" t="s">
        <v>333</v>
      </c>
      <c r="J377" t="s">
        <v>243</v>
      </c>
      <c r="K377" t="s">
        <v>537</v>
      </c>
      <c r="L377" t="s">
        <v>245</v>
      </c>
      <c r="M377" t="s">
        <v>253</v>
      </c>
      <c r="N377" t="s">
        <v>247</v>
      </c>
      <c r="O377">
        <v>41878</v>
      </c>
      <c r="P377">
        <v>11.11</v>
      </c>
      <c r="Q377">
        <v>19.84</v>
      </c>
      <c r="R377">
        <f t="shared" si="31"/>
        <v>8.73</v>
      </c>
      <c r="S377">
        <v>28</v>
      </c>
      <c r="T377">
        <f t="shared" si="32"/>
        <v>555.52</v>
      </c>
      <c r="U377">
        <v>0.06</v>
      </c>
      <c r="V377">
        <f t="shared" si="33"/>
        <v>33.331199999999995</v>
      </c>
      <c r="W377">
        <f t="shared" si="34"/>
        <v>522.18880000000001</v>
      </c>
      <c r="X377">
        <v>4.0999999999999996</v>
      </c>
      <c r="Y377">
        <f t="shared" si="35"/>
        <v>526.28880000000004</v>
      </c>
    </row>
    <row r="378" spans="1:25" x14ac:dyDescent="0.25">
      <c r="A378" t="s">
        <v>1195</v>
      </c>
      <c r="B378">
        <v>41877</v>
      </c>
      <c r="C378" t="str">
        <f t="shared" si="30"/>
        <v>2014</v>
      </c>
      <c r="D378" t="s">
        <v>664</v>
      </c>
      <c r="E378" t="s">
        <v>665</v>
      </c>
      <c r="F378" t="s">
        <v>448</v>
      </c>
      <c r="G378" t="s">
        <v>449</v>
      </c>
      <c r="H378" t="s">
        <v>259</v>
      </c>
      <c r="I378" t="s">
        <v>333</v>
      </c>
      <c r="J378" t="s">
        <v>304</v>
      </c>
      <c r="K378" t="s">
        <v>384</v>
      </c>
      <c r="L378" t="s">
        <v>268</v>
      </c>
      <c r="M378" t="s">
        <v>246</v>
      </c>
      <c r="N378" t="s">
        <v>247</v>
      </c>
      <c r="O378">
        <v>41877</v>
      </c>
      <c r="P378">
        <v>10.07</v>
      </c>
      <c r="Q378">
        <v>15.98</v>
      </c>
      <c r="R378">
        <f t="shared" si="31"/>
        <v>5.91</v>
      </c>
      <c r="S378">
        <v>46</v>
      </c>
      <c r="T378">
        <f t="shared" si="32"/>
        <v>735.08</v>
      </c>
      <c r="U378">
        <v>0.02</v>
      </c>
      <c r="V378">
        <f t="shared" si="33"/>
        <v>14.701600000000001</v>
      </c>
      <c r="W378">
        <f t="shared" si="34"/>
        <v>720.37840000000006</v>
      </c>
      <c r="X378">
        <v>4</v>
      </c>
      <c r="Y378">
        <f t="shared" si="35"/>
        <v>724.37840000000006</v>
      </c>
    </row>
    <row r="379" spans="1:25" x14ac:dyDescent="0.25">
      <c r="A379" t="s">
        <v>1196</v>
      </c>
      <c r="B379">
        <v>41878</v>
      </c>
      <c r="C379" t="str">
        <f t="shared" si="30"/>
        <v>2014</v>
      </c>
      <c r="D379" t="s">
        <v>1197</v>
      </c>
      <c r="E379" t="s">
        <v>359</v>
      </c>
      <c r="F379" t="s">
        <v>239</v>
      </c>
      <c r="G379" t="s">
        <v>240</v>
      </c>
      <c r="H379" t="s">
        <v>241</v>
      </c>
      <c r="I379" t="s">
        <v>251</v>
      </c>
      <c r="J379" t="s">
        <v>294</v>
      </c>
      <c r="K379" t="s">
        <v>529</v>
      </c>
      <c r="L379" t="s">
        <v>245</v>
      </c>
      <c r="M379" t="s">
        <v>253</v>
      </c>
      <c r="N379" t="s">
        <v>263</v>
      </c>
      <c r="O379">
        <v>41879</v>
      </c>
      <c r="P379">
        <v>1.6</v>
      </c>
      <c r="Q379">
        <v>2.62</v>
      </c>
      <c r="R379">
        <f t="shared" si="31"/>
        <v>1.02</v>
      </c>
      <c r="S379">
        <v>45</v>
      </c>
      <c r="T379">
        <f t="shared" si="32"/>
        <v>117.9</v>
      </c>
      <c r="U379">
        <v>0.01</v>
      </c>
      <c r="V379">
        <f t="shared" si="33"/>
        <v>1.179</v>
      </c>
      <c r="W379">
        <f t="shared" si="34"/>
        <v>116.721</v>
      </c>
      <c r="X379">
        <v>0.8</v>
      </c>
      <c r="Y379">
        <f t="shared" si="35"/>
        <v>117.521</v>
      </c>
    </row>
    <row r="380" spans="1:25" x14ac:dyDescent="0.25">
      <c r="A380" t="s">
        <v>1198</v>
      </c>
      <c r="B380">
        <v>41879</v>
      </c>
      <c r="C380" t="str">
        <f t="shared" si="30"/>
        <v>2014</v>
      </c>
      <c r="D380" t="s">
        <v>1199</v>
      </c>
      <c r="E380" t="s">
        <v>637</v>
      </c>
      <c r="F380" t="s">
        <v>239</v>
      </c>
      <c r="G380" t="s">
        <v>240</v>
      </c>
      <c r="H380" t="s">
        <v>259</v>
      </c>
      <c r="I380" t="s">
        <v>242</v>
      </c>
      <c r="J380" t="s">
        <v>243</v>
      </c>
      <c r="K380" t="s">
        <v>594</v>
      </c>
      <c r="L380" t="s">
        <v>268</v>
      </c>
      <c r="M380" t="s">
        <v>269</v>
      </c>
      <c r="N380" t="s">
        <v>270</v>
      </c>
      <c r="O380">
        <v>41879</v>
      </c>
      <c r="P380">
        <v>278.99</v>
      </c>
      <c r="Q380">
        <v>449.99</v>
      </c>
      <c r="R380">
        <f t="shared" si="31"/>
        <v>171</v>
      </c>
      <c r="S380">
        <v>15</v>
      </c>
      <c r="T380">
        <f t="shared" si="32"/>
        <v>6749.85</v>
      </c>
      <c r="U380">
        <v>0.04</v>
      </c>
      <c r="V380">
        <f t="shared" si="33"/>
        <v>269.99400000000003</v>
      </c>
      <c r="W380">
        <f t="shared" si="34"/>
        <v>6479.8560000000007</v>
      </c>
      <c r="X380">
        <v>49</v>
      </c>
      <c r="Y380">
        <f t="shared" si="35"/>
        <v>6528.8560000000007</v>
      </c>
    </row>
    <row r="381" spans="1:25" x14ac:dyDescent="0.25">
      <c r="A381" t="s">
        <v>1200</v>
      </c>
      <c r="B381">
        <v>41879</v>
      </c>
      <c r="C381" t="str">
        <f t="shared" si="30"/>
        <v>2014</v>
      </c>
      <c r="D381" t="s">
        <v>1199</v>
      </c>
      <c r="E381" t="s">
        <v>637</v>
      </c>
      <c r="F381" t="s">
        <v>239</v>
      </c>
      <c r="G381" t="s">
        <v>240</v>
      </c>
      <c r="H381" t="s">
        <v>259</v>
      </c>
      <c r="I381" t="s">
        <v>242</v>
      </c>
      <c r="J381" t="s">
        <v>243</v>
      </c>
      <c r="K381" t="s">
        <v>360</v>
      </c>
      <c r="L381" t="s">
        <v>245</v>
      </c>
      <c r="M381" t="s">
        <v>253</v>
      </c>
      <c r="N381" t="s">
        <v>247</v>
      </c>
      <c r="O381">
        <v>41880</v>
      </c>
      <c r="P381">
        <v>2.52</v>
      </c>
      <c r="Q381">
        <v>4</v>
      </c>
      <c r="R381">
        <f t="shared" si="31"/>
        <v>1.48</v>
      </c>
      <c r="S381">
        <v>14</v>
      </c>
      <c r="T381">
        <f t="shared" si="32"/>
        <v>56</v>
      </c>
      <c r="U381">
        <v>0.06</v>
      </c>
      <c r="V381">
        <f t="shared" si="33"/>
        <v>3.36</v>
      </c>
      <c r="W381">
        <f t="shared" si="34"/>
        <v>52.64</v>
      </c>
      <c r="X381">
        <v>1.3</v>
      </c>
      <c r="Y381">
        <f t="shared" si="35"/>
        <v>53.94</v>
      </c>
    </row>
    <row r="382" spans="1:25" x14ac:dyDescent="0.25">
      <c r="A382" t="s">
        <v>1201</v>
      </c>
      <c r="B382">
        <v>41879</v>
      </c>
      <c r="C382" t="str">
        <f t="shared" si="30"/>
        <v>2014</v>
      </c>
      <c r="D382" t="s">
        <v>513</v>
      </c>
      <c r="E382" t="s">
        <v>511</v>
      </c>
      <c r="F382" t="s">
        <v>257</v>
      </c>
      <c r="G382" t="s">
        <v>258</v>
      </c>
      <c r="H382" t="s">
        <v>274</v>
      </c>
      <c r="I382" t="s">
        <v>381</v>
      </c>
      <c r="J382" t="s">
        <v>279</v>
      </c>
      <c r="K382" t="s">
        <v>598</v>
      </c>
      <c r="L382" t="s">
        <v>268</v>
      </c>
      <c r="M382" t="s">
        <v>246</v>
      </c>
      <c r="N382" t="s">
        <v>247</v>
      </c>
      <c r="O382">
        <v>41883</v>
      </c>
      <c r="P382">
        <v>6.51</v>
      </c>
      <c r="Q382">
        <v>30.98</v>
      </c>
      <c r="R382">
        <f t="shared" si="31"/>
        <v>24.47</v>
      </c>
      <c r="S382">
        <v>37</v>
      </c>
      <c r="T382">
        <f t="shared" si="32"/>
        <v>1146.26</v>
      </c>
      <c r="U382">
        <v>0.03</v>
      </c>
      <c r="V382">
        <f t="shared" si="33"/>
        <v>34.387799999999999</v>
      </c>
      <c r="W382">
        <f t="shared" si="34"/>
        <v>1111.8722</v>
      </c>
      <c r="X382">
        <v>6.5</v>
      </c>
      <c r="Y382">
        <f t="shared" si="35"/>
        <v>1118.3722</v>
      </c>
    </row>
    <row r="383" spans="1:25" x14ac:dyDescent="0.25">
      <c r="A383" t="s">
        <v>1202</v>
      </c>
      <c r="B383">
        <v>41884</v>
      </c>
      <c r="C383" t="str">
        <f t="shared" si="30"/>
        <v>2014</v>
      </c>
      <c r="D383" t="s">
        <v>1046</v>
      </c>
      <c r="E383" t="s">
        <v>432</v>
      </c>
      <c r="F383" t="s">
        <v>257</v>
      </c>
      <c r="G383" t="s">
        <v>258</v>
      </c>
      <c r="H383" t="s">
        <v>241</v>
      </c>
      <c r="I383" t="s">
        <v>333</v>
      </c>
      <c r="J383" t="s">
        <v>279</v>
      </c>
      <c r="K383" t="s">
        <v>384</v>
      </c>
      <c r="L383" t="s">
        <v>268</v>
      </c>
      <c r="M383" t="s">
        <v>246</v>
      </c>
      <c r="N383" t="s">
        <v>247</v>
      </c>
      <c r="O383">
        <v>41886</v>
      </c>
      <c r="P383">
        <v>10.07</v>
      </c>
      <c r="Q383">
        <v>15.98</v>
      </c>
      <c r="R383">
        <f t="shared" si="31"/>
        <v>5.91</v>
      </c>
      <c r="S383">
        <v>29</v>
      </c>
      <c r="T383">
        <f t="shared" si="32"/>
        <v>463.42</v>
      </c>
      <c r="U383">
        <v>0.04</v>
      </c>
      <c r="V383">
        <f t="shared" si="33"/>
        <v>18.536799999999999</v>
      </c>
      <c r="W383">
        <f t="shared" si="34"/>
        <v>444.88319999999999</v>
      </c>
      <c r="X383">
        <v>4</v>
      </c>
      <c r="Y383">
        <f t="shared" si="35"/>
        <v>448.88319999999999</v>
      </c>
    </row>
    <row r="384" spans="1:25" x14ac:dyDescent="0.25">
      <c r="A384" t="s">
        <v>1203</v>
      </c>
      <c r="B384">
        <v>41885</v>
      </c>
      <c r="C384" t="str">
        <f t="shared" si="30"/>
        <v>2014</v>
      </c>
      <c r="D384" t="s">
        <v>1204</v>
      </c>
      <c r="E384" t="s">
        <v>341</v>
      </c>
      <c r="F384" t="s">
        <v>257</v>
      </c>
      <c r="G384" t="s">
        <v>258</v>
      </c>
      <c r="H384" t="s">
        <v>293</v>
      </c>
      <c r="I384" t="s">
        <v>342</v>
      </c>
      <c r="J384" t="s">
        <v>304</v>
      </c>
      <c r="K384" t="s">
        <v>862</v>
      </c>
      <c r="L384" t="s">
        <v>245</v>
      </c>
      <c r="M384" t="s">
        <v>253</v>
      </c>
      <c r="N384" t="s">
        <v>247</v>
      </c>
      <c r="O384">
        <v>41887</v>
      </c>
      <c r="P384">
        <v>1.92</v>
      </c>
      <c r="Q384">
        <v>3.26</v>
      </c>
      <c r="R384">
        <f t="shared" si="31"/>
        <v>1.3399999999999999</v>
      </c>
      <c r="S384">
        <v>31</v>
      </c>
      <c r="T384">
        <f t="shared" si="32"/>
        <v>101.05999999999999</v>
      </c>
      <c r="U384">
        <v>0</v>
      </c>
      <c r="V384">
        <f t="shared" si="33"/>
        <v>0</v>
      </c>
      <c r="W384">
        <f t="shared" si="34"/>
        <v>101.05999999999999</v>
      </c>
      <c r="X384">
        <v>1.86</v>
      </c>
      <c r="Y384">
        <f t="shared" si="35"/>
        <v>102.91999999999999</v>
      </c>
    </row>
    <row r="385" spans="1:25" x14ac:dyDescent="0.25">
      <c r="A385" t="s">
        <v>1205</v>
      </c>
      <c r="B385">
        <v>41885</v>
      </c>
      <c r="C385" t="str">
        <f t="shared" si="30"/>
        <v>2014</v>
      </c>
      <c r="D385" t="s">
        <v>1206</v>
      </c>
      <c r="E385" t="s">
        <v>1207</v>
      </c>
      <c r="F385" t="s">
        <v>448</v>
      </c>
      <c r="G385" t="s">
        <v>449</v>
      </c>
      <c r="H385" t="s">
        <v>259</v>
      </c>
      <c r="I385" t="s">
        <v>299</v>
      </c>
      <c r="J385" t="s">
        <v>279</v>
      </c>
      <c r="K385" t="s">
        <v>600</v>
      </c>
      <c r="L385" t="s">
        <v>245</v>
      </c>
      <c r="M385" t="s">
        <v>253</v>
      </c>
      <c r="N385" t="s">
        <v>247</v>
      </c>
      <c r="O385">
        <v>41892</v>
      </c>
      <c r="P385">
        <v>2.98</v>
      </c>
      <c r="Q385">
        <v>5.84</v>
      </c>
      <c r="R385">
        <f t="shared" si="31"/>
        <v>2.86</v>
      </c>
      <c r="S385">
        <v>22</v>
      </c>
      <c r="T385">
        <f t="shared" si="32"/>
        <v>128.47999999999999</v>
      </c>
      <c r="U385">
        <v>0.1</v>
      </c>
      <c r="V385">
        <f t="shared" si="33"/>
        <v>12.847999999999999</v>
      </c>
      <c r="W385">
        <f t="shared" si="34"/>
        <v>115.63199999999999</v>
      </c>
      <c r="X385">
        <v>0.83</v>
      </c>
      <c r="Y385">
        <f t="shared" si="35"/>
        <v>116.46199999999999</v>
      </c>
    </row>
    <row r="386" spans="1:25" x14ac:dyDescent="0.25">
      <c r="A386" t="s">
        <v>1208</v>
      </c>
      <c r="B386">
        <v>41886</v>
      </c>
      <c r="C386" t="str">
        <f t="shared" si="30"/>
        <v>2014</v>
      </c>
      <c r="D386" t="s">
        <v>649</v>
      </c>
      <c r="E386" t="s">
        <v>650</v>
      </c>
      <c r="F386" t="s">
        <v>257</v>
      </c>
      <c r="G386" t="s">
        <v>258</v>
      </c>
      <c r="H386" t="s">
        <v>259</v>
      </c>
      <c r="I386" t="s">
        <v>299</v>
      </c>
      <c r="J386" t="s">
        <v>294</v>
      </c>
      <c r="K386" t="s">
        <v>718</v>
      </c>
      <c r="L386" t="s">
        <v>245</v>
      </c>
      <c r="M386" t="s">
        <v>323</v>
      </c>
      <c r="N386" t="s">
        <v>247</v>
      </c>
      <c r="O386">
        <v>41887</v>
      </c>
      <c r="P386">
        <v>2.5</v>
      </c>
      <c r="Q386">
        <v>5.68</v>
      </c>
      <c r="R386">
        <f t="shared" si="31"/>
        <v>3.1799999999999997</v>
      </c>
      <c r="S386">
        <v>23</v>
      </c>
      <c r="T386">
        <f t="shared" si="32"/>
        <v>130.63999999999999</v>
      </c>
      <c r="U386">
        <v>0.01</v>
      </c>
      <c r="V386">
        <f t="shared" si="33"/>
        <v>1.3063999999999998</v>
      </c>
      <c r="W386">
        <f t="shared" si="34"/>
        <v>129.33359999999999</v>
      </c>
      <c r="X386">
        <v>3.6</v>
      </c>
      <c r="Y386">
        <f t="shared" si="35"/>
        <v>132.93359999999998</v>
      </c>
    </row>
    <row r="387" spans="1:25" x14ac:dyDescent="0.25">
      <c r="A387" t="s">
        <v>1209</v>
      </c>
      <c r="B387">
        <v>41889</v>
      </c>
      <c r="C387" t="str">
        <f t="shared" si="30"/>
        <v>2014</v>
      </c>
      <c r="D387" t="s">
        <v>470</v>
      </c>
      <c r="E387" t="s">
        <v>471</v>
      </c>
      <c r="F387" t="s">
        <v>448</v>
      </c>
      <c r="G387" t="s">
        <v>449</v>
      </c>
      <c r="H387" t="s">
        <v>241</v>
      </c>
      <c r="I387" t="s">
        <v>381</v>
      </c>
      <c r="J387" t="s">
        <v>294</v>
      </c>
      <c r="K387" t="s">
        <v>453</v>
      </c>
      <c r="L387" t="s">
        <v>245</v>
      </c>
      <c r="M387" t="s">
        <v>246</v>
      </c>
      <c r="N387" t="s">
        <v>247</v>
      </c>
      <c r="O387">
        <v>41889</v>
      </c>
      <c r="P387">
        <v>1.18</v>
      </c>
      <c r="Q387">
        <v>1.88</v>
      </c>
      <c r="R387">
        <f t="shared" si="31"/>
        <v>0.7</v>
      </c>
      <c r="S387">
        <v>47</v>
      </c>
      <c r="T387">
        <f t="shared" si="32"/>
        <v>88.36</v>
      </c>
      <c r="U387">
        <v>0.06</v>
      </c>
      <c r="V387">
        <f t="shared" si="33"/>
        <v>5.3015999999999996</v>
      </c>
      <c r="W387">
        <f t="shared" si="34"/>
        <v>83.058400000000006</v>
      </c>
      <c r="X387">
        <v>1.49</v>
      </c>
      <c r="Y387">
        <f t="shared" si="35"/>
        <v>84.548400000000001</v>
      </c>
    </row>
    <row r="388" spans="1:25" x14ac:dyDescent="0.25">
      <c r="A388" t="s">
        <v>1210</v>
      </c>
      <c r="B388">
        <v>41889</v>
      </c>
      <c r="C388" t="str">
        <f t="shared" si="30"/>
        <v>2014</v>
      </c>
      <c r="D388" t="s">
        <v>470</v>
      </c>
      <c r="E388" t="s">
        <v>471</v>
      </c>
      <c r="F388" t="s">
        <v>448</v>
      </c>
      <c r="G388" t="s">
        <v>449</v>
      </c>
      <c r="H388" t="s">
        <v>241</v>
      </c>
      <c r="I388" t="s">
        <v>381</v>
      </c>
      <c r="J388" t="s">
        <v>294</v>
      </c>
      <c r="K388" t="s">
        <v>578</v>
      </c>
      <c r="L388" t="s">
        <v>245</v>
      </c>
      <c r="M388" t="s">
        <v>253</v>
      </c>
      <c r="N388" t="s">
        <v>247</v>
      </c>
      <c r="O388">
        <v>41891</v>
      </c>
      <c r="P388">
        <v>1.31</v>
      </c>
      <c r="Q388">
        <v>2.84</v>
      </c>
      <c r="R388">
        <f t="shared" si="31"/>
        <v>1.5299999999999998</v>
      </c>
      <c r="S388">
        <v>39</v>
      </c>
      <c r="T388">
        <f t="shared" si="32"/>
        <v>110.75999999999999</v>
      </c>
      <c r="U388">
        <v>0.08</v>
      </c>
      <c r="V388">
        <f t="shared" si="33"/>
        <v>8.8607999999999993</v>
      </c>
      <c r="W388">
        <f t="shared" si="34"/>
        <v>101.89919999999999</v>
      </c>
      <c r="X388">
        <v>0.93</v>
      </c>
      <c r="Y388">
        <f t="shared" si="35"/>
        <v>102.8292</v>
      </c>
    </row>
    <row r="389" spans="1:25" x14ac:dyDescent="0.25">
      <c r="A389" t="s">
        <v>1211</v>
      </c>
      <c r="B389">
        <v>41892</v>
      </c>
      <c r="C389" t="str">
        <f t="shared" si="30"/>
        <v>2014</v>
      </c>
      <c r="D389" t="s">
        <v>797</v>
      </c>
      <c r="E389" t="s">
        <v>798</v>
      </c>
      <c r="F389" t="s">
        <v>448</v>
      </c>
      <c r="G389" t="s">
        <v>449</v>
      </c>
      <c r="H389" t="s">
        <v>259</v>
      </c>
      <c r="I389" t="s">
        <v>299</v>
      </c>
      <c r="J389" t="s">
        <v>294</v>
      </c>
      <c r="K389" t="s">
        <v>836</v>
      </c>
      <c r="L389" t="s">
        <v>440</v>
      </c>
      <c r="M389" t="s">
        <v>323</v>
      </c>
      <c r="N389" t="s">
        <v>247</v>
      </c>
      <c r="O389">
        <v>41894</v>
      </c>
      <c r="P389">
        <v>11.38</v>
      </c>
      <c r="Q389">
        <v>18.649999999999999</v>
      </c>
      <c r="R389">
        <f t="shared" si="31"/>
        <v>7.2699999999999978</v>
      </c>
      <c r="S389">
        <v>7</v>
      </c>
      <c r="T389">
        <f t="shared" si="32"/>
        <v>130.54999999999998</v>
      </c>
      <c r="U389">
        <v>0.01</v>
      </c>
      <c r="V389">
        <f t="shared" si="33"/>
        <v>1.3054999999999999</v>
      </c>
      <c r="W389">
        <f t="shared" si="34"/>
        <v>129.24449999999999</v>
      </c>
      <c r="X389">
        <v>3.77</v>
      </c>
      <c r="Y389">
        <f t="shared" si="35"/>
        <v>133.0145</v>
      </c>
    </row>
    <row r="390" spans="1:25" x14ac:dyDescent="0.25">
      <c r="A390" t="s">
        <v>1212</v>
      </c>
      <c r="B390">
        <v>41893</v>
      </c>
      <c r="C390" t="str">
        <f t="shared" ref="C390:C453" si="36">TEXT(B390,"yyyy")</f>
        <v>2014</v>
      </c>
      <c r="D390" t="s">
        <v>1159</v>
      </c>
      <c r="E390" t="s">
        <v>376</v>
      </c>
      <c r="F390" t="s">
        <v>239</v>
      </c>
      <c r="G390" t="s">
        <v>240</v>
      </c>
      <c r="H390" t="s">
        <v>241</v>
      </c>
      <c r="I390" t="s">
        <v>242</v>
      </c>
      <c r="J390" t="s">
        <v>261</v>
      </c>
      <c r="K390" t="s">
        <v>656</v>
      </c>
      <c r="L390" t="s">
        <v>245</v>
      </c>
      <c r="M390" t="s">
        <v>253</v>
      </c>
      <c r="N390" t="s">
        <v>247</v>
      </c>
      <c r="O390">
        <v>41895</v>
      </c>
      <c r="P390">
        <v>0.93</v>
      </c>
      <c r="Q390">
        <v>1.48</v>
      </c>
      <c r="R390">
        <f t="shared" ref="R390:R453" si="37">Q390-P390</f>
        <v>0.54999999999999993</v>
      </c>
      <c r="S390">
        <v>15</v>
      </c>
      <c r="T390">
        <f t="shared" ref="T390:T453" si="38">Q390*S390</f>
        <v>22.2</v>
      </c>
      <c r="U390">
        <v>0.03</v>
      </c>
      <c r="V390">
        <f t="shared" ref="V390:V453" si="39">T390*U390</f>
        <v>0.66599999999999993</v>
      </c>
      <c r="W390">
        <f t="shared" ref="W390:W453" si="40">T390-V390</f>
        <v>21.533999999999999</v>
      </c>
      <c r="X390">
        <v>0.7</v>
      </c>
      <c r="Y390">
        <f t="shared" ref="Y390:Y453" si="41">W390+X390</f>
        <v>22.233999999999998</v>
      </c>
    </row>
    <row r="391" spans="1:25" x14ac:dyDescent="0.25">
      <c r="A391" t="s">
        <v>1213</v>
      </c>
      <c r="B391">
        <v>41894</v>
      </c>
      <c r="C391" t="str">
        <f t="shared" si="36"/>
        <v>2014</v>
      </c>
      <c r="D391" t="s">
        <v>1214</v>
      </c>
      <c r="E391" t="s">
        <v>928</v>
      </c>
      <c r="F391" t="s">
        <v>257</v>
      </c>
      <c r="G391" t="s">
        <v>258</v>
      </c>
      <c r="H391" t="s">
        <v>259</v>
      </c>
      <c r="I391" t="s">
        <v>284</v>
      </c>
      <c r="J391" t="s">
        <v>261</v>
      </c>
      <c r="K391" t="s">
        <v>1082</v>
      </c>
      <c r="L391" t="s">
        <v>245</v>
      </c>
      <c r="M391" t="s">
        <v>253</v>
      </c>
      <c r="N391" t="s">
        <v>247</v>
      </c>
      <c r="O391">
        <v>41895</v>
      </c>
      <c r="P391">
        <v>1.0900000000000001</v>
      </c>
      <c r="Q391">
        <v>1.82</v>
      </c>
      <c r="R391">
        <f t="shared" si="37"/>
        <v>0.73</v>
      </c>
      <c r="S391">
        <v>36</v>
      </c>
      <c r="T391">
        <f t="shared" si="38"/>
        <v>65.52</v>
      </c>
      <c r="U391">
        <v>0.09</v>
      </c>
      <c r="V391">
        <f t="shared" si="39"/>
        <v>5.8967999999999998</v>
      </c>
      <c r="W391">
        <f t="shared" si="40"/>
        <v>59.623199999999997</v>
      </c>
      <c r="X391">
        <v>1</v>
      </c>
      <c r="Y391">
        <f t="shared" si="41"/>
        <v>60.623199999999997</v>
      </c>
    </row>
    <row r="392" spans="1:25" x14ac:dyDescent="0.25">
      <c r="A392" t="s">
        <v>1215</v>
      </c>
      <c r="B392">
        <v>41894</v>
      </c>
      <c r="C392" t="str">
        <f t="shared" si="36"/>
        <v>2014</v>
      </c>
      <c r="D392" t="s">
        <v>1216</v>
      </c>
      <c r="E392" t="s">
        <v>292</v>
      </c>
      <c r="F392" t="s">
        <v>257</v>
      </c>
      <c r="G392" t="s">
        <v>258</v>
      </c>
      <c r="H392" t="s">
        <v>274</v>
      </c>
      <c r="I392" t="s">
        <v>260</v>
      </c>
      <c r="J392" t="s">
        <v>279</v>
      </c>
      <c r="K392" t="s">
        <v>734</v>
      </c>
      <c r="L392" t="s">
        <v>245</v>
      </c>
      <c r="M392" t="s">
        <v>246</v>
      </c>
      <c r="N392" t="s">
        <v>247</v>
      </c>
      <c r="O392">
        <v>41901</v>
      </c>
      <c r="P392">
        <v>14.95</v>
      </c>
      <c r="Q392">
        <v>34.76</v>
      </c>
      <c r="R392">
        <f t="shared" si="37"/>
        <v>19.809999999999999</v>
      </c>
      <c r="S392">
        <v>34</v>
      </c>
      <c r="T392">
        <f t="shared" si="38"/>
        <v>1181.8399999999999</v>
      </c>
      <c r="U392">
        <v>0.03</v>
      </c>
      <c r="V392">
        <f t="shared" si="39"/>
        <v>35.455199999999998</v>
      </c>
      <c r="W392">
        <f t="shared" si="40"/>
        <v>1146.3847999999998</v>
      </c>
      <c r="X392">
        <v>8.2200000000000006</v>
      </c>
      <c r="Y392">
        <f t="shared" si="41"/>
        <v>1154.6047999999998</v>
      </c>
    </row>
    <row r="393" spans="1:25" x14ac:dyDescent="0.25">
      <c r="A393" t="s">
        <v>1217</v>
      </c>
      <c r="B393">
        <v>41895</v>
      </c>
      <c r="C393" t="str">
        <f t="shared" si="36"/>
        <v>2014</v>
      </c>
      <c r="D393" t="s">
        <v>331</v>
      </c>
      <c r="E393" t="s">
        <v>332</v>
      </c>
      <c r="F393" t="s">
        <v>257</v>
      </c>
      <c r="G393" t="s">
        <v>258</v>
      </c>
      <c r="H393" t="s">
        <v>293</v>
      </c>
      <c r="I393" t="s">
        <v>333</v>
      </c>
      <c r="J393" t="s">
        <v>279</v>
      </c>
      <c r="K393" t="s">
        <v>776</v>
      </c>
      <c r="L393" t="s">
        <v>245</v>
      </c>
      <c r="M393" t="s">
        <v>246</v>
      </c>
      <c r="N393" t="s">
        <v>247</v>
      </c>
      <c r="O393">
        <v>41899</v>
      </c>
      <c r="P393">
        <v>4.53</v>
      </c>
      <c r="Q393">
        <v>7.3</v>
      </c>
      <c r="R393">
        <f t="shared" si="37"/>
        <v>2.7699999999999996</v>
      </c>
      <c r="S393">
        <v>26</v>
      </c>
      <c r="T393">
        <f t="shared" si="38"/>
        <v>189.79999999999998</v>
      </c>
      <c r="U393">
        <v>0.03</v>
      </c>
      <c r="V393">
        <f t="shared" si="39"/>
        <v>5.6939999999999991</v>
      </c>
      <c r="W393">
        <f t="shared" si="40"/>
        <v>184.10599999999999</v>
      </c>
      <c r="X393">
        <v>7.72</v>
      </c>
      <c r="Y393">
        <f t="shared" si="41"/>
        <v>191.82599999999999</v>
      </c>
    </row>
    <row r="394" spans="1:25" x14ac:dyDescent="0.25">
      <c r="A394" t="s">
        <v>1218</v>
      </c>
      <c r="B394">
        <v>41899</v>
      </c>
      <c r="C394" t="str">
        <f t="shared" si="36"/>
        <v>2014</v>
      </c>
      <c r="D394" t="s">
        <v>1219</v>
      </c>
      <c r="E394" t="s">
        <v>1220</v>
      </c>
      <c r="F394" t="s">
        <v>257</v>
      </c>
      <c r="G394" t="s">
        <v>258</v>
      </c>
      <c r="H394" t="s">
        <v>259</v>
      </c>
      <c r="I394" t="s">
        <v>275</v>
      </c>
      <c r="J394" t="s">
        <v>261</v>
      </c>
      <c r="K394" t="s">
        <v>634</v>
      </c>
      <c r="L394" t="s">
        <v>245</v>
      </c>
      <c r="M394" t="s">
        <v>246</v>
      </c>
      <c r="N394" t="s">
        <v>247</v>
      </c>
      <c r="O394">
        <v>41900</v>
      </c>
      <c r="P394">
        <v>2.2599999999999998</v>
      </c>
      <c r="Q394">
        <v>3.58</v>
      </c>
      <c r="R394">
        <f t="shared" si="37"/>
        <v>1.3200000000000003</v>
      </c>
      <c r="S394">
        <v>19</v>
      </c>
      <c r="T394">
        <f t="shared" si="38"/>
        <v>68.02</v>
      </c>
      <c r="U394">
        <v>0</v>
      </c>
      <c r="V394">
        <f t="shared" si="39"/>
        <v>0</v>
      </c>
      <c r="W394">
        <f t="shared" si="40"/>
        <v>68.02</v>
      </c>
      <c r="X394">
        <v>5.47</v>
      </c>
      <c r="Y394">
        <f t="shared" si="41"/>
        <v>73.489999999999995</v>
      </c>
    </row>
    <row r="395" spans="1:25" x14ac:dyDescent="0.25">
      <c r="A395" t="s">
        <v>1221</v>
      </c>
      <c r="B395">
        <v>41903</v>
      </c>
      <c r="C395" t="str">
        <f t="shared" si="36"/>
        <v>2014</v>
      </c>
      <c r="D395" t="s">
        <v>1222</v>
      </c>
      <c r="E395" t="s">
        <v>1001</v>
      </c>
      <c r="F395" t="s">
        <v>239</v>
      </c>
      <c r="G395" t="s">
        <v>240</v>
      </c>
      <c r="H395" t="s">
        <v>274</v>
      </c>
      <c r="I395" t="s">
        <v>251</v>
      </c>
      <c r="J395" t="s">
        <v>304</v>
      </c>
      <c r="K395" t="s">
        <v>429</v>
      </c>
      <c r="L395" t="s">
        <v>268</v>
      </c>
      <c r="M395" t="s">
        <v>246</v>
      </c>
      <c r="N395" t="s">
        <v>247</v>
      </c>
      <c r="O395">
        <v>41905</v>
      </c>
      <c r="P395">
        <v>19.78</v>
      </c>
      <c r="Q395">
        <v>45.99</v>
      </c>
      <c r="R395">
        <f t="shared" si="37"/>
        <v>26.21</v>
      </c>
      <c r="S395">
        <v>23</v>
      </c>
      <c r="T395">
        <f t="shared" si="38"/>
        <v>1057.77</v>
      </c>
      <c r="U395">
        <v>0.1</v>
      </c>
      <c r="V395">
        <f t="shared" si="39"/>
        <v>105.777</v>
      </c>
      <c r="W395">
        <f t="shared" si="40"/>
        <v>951.99299999999994</v>
      </c>
      <c r="X395">
        <v>4.99</v>
      </c>
      <c r="Y395">
        <f t="shared" si="41"/>
        <v>956.98299999999995</v>
      </c>
    </row>
    <row r="396" spans="1:25" x14ac:dyDescent="0.25">
      <c r="A396" t="s">
        <v>1223</v>
      </c>
      <c r="B396">
        <v>41903</v>
      </c>
      <c r="C396" t="str">
        <f t="shared" si="36"/>
        <v>2014</v>
      </c>
      <c r="D396" t="s">
        <v>1222</v>
      </c>
      <c r="E396" t="s">
        <v>1001</v>
      </c>
      <c r="F396" t="s">
        <v>239</v>
      </c>
      <c r="G396" t="s">
        <v>240</v>
      </c>
      <c r="H396" t="s">
        <v>274</v>
      </c>
      <c r="I396" t="s">
        <v>251</v>
      </c>
      <c r="J396" t="s">
        <v>304</v>
      </c>
      <c r="K396" t="s">
        <v>656</v>
      </c>
      <c r="L396" t="s">
        <v>245</v>
      </c>
      <c r="M396" t="s">
        <v>253</v>
      </c>
      <c r="N396" t="s">
        <v>247</v>
      </c>
      <c r="O396">
        <v>41904</v>
      </c>
      <c r="P396">
        <v>0.93</v>
      </c>
      <c r="Q396">
        <v>1.48</v>
      </c>
      <c r="R396">
        <f t="shared" si="37"/>
        <v>0.54999999999999993</v>
      </c>
      <c r="S396">
        <v>33</v>
      </c>
      <c r="T396">
        <f t="shared" si="38"/>
        <v>48.839999999999996</v>
      </c>
      <c r="U396">
        <v>0.06</v>
      </c>
      <c r="V396">
        <f t="shared" si="39"/>
        <v>2.9303999999999997</v>
      </c>
      <c r="W396">
        <f t="shared" si="40"/>
        <v>45.909599999999998</v>
      </c>
      <c r="X396">
        <v>0.7</v>
      </c>
      <c r="Y396">
        <f t="shared" si="41"/>
        <v>46.6096</v>
      </c>
    </row>
    <row r="397" spans="1:25" x14ac:dyDescent="0.25">
      <c r="A397" t="s">
        <v>1224</v>
      </c>
      <c r="B397">
        <v>41905</v>
      </c>
      <c r="C397" t="str">
        <f t="shared" si="36"/>
        <v>2014</v>
      </c>
      <c r="D397" t="s">
        <v>1225</v>
      </c>
      <c r="E397" t="s">
        <v>420</v>
      </c>
      <c r="F397" t="s">
        <v>239</v>
      </c>
      <c r="G397" t="s">
        <v>240</v>
      </c>
      <c r="H397" t="s">
        <v>259</v>
      </c>
      <c r="I397" t="s">
        <v>251</v>
      </c>
      <c r="J397" t="s">
        <v>243</v>
      </c>
      <c r="K397" t="s">
        <v>572</v>
      </c>
      <c r="L397" t="s">
        <v>245</v>
      </c>
      <c r="M397" t="s">
        <v>253</v>
      </c>
      <c r="N397" t="s">
        <v>263</v>
      </c>
      <c r="O397">
        <v>41907</v>
      </c>
      <c r="P397">
        <v>4.37</v>
      </c>
      <c r="Q397">
        <v>9.11</v>
      </c>
      <c r="R397">
        <f t="shared" si="37"/>
        <v>4.7399999999999993</v>
      </c>
      <c r="S397">
        <v>48</v>
      </c>
      <c r="T397">
        <f t="shared" si="38"/>
        <v>437.28</v>
      </c>
      <c r="U397">
        <v>0.06</v>
      </c>
      <c r="V397">
        <f t="shared" si="39"/>
        <v>26.236799999999999</v>
      </c>
      <c r="W397">
        <f t="shared" si="40"/>
        <v>411.04319999999996</v>
      </c>
      <c r="X397">
        <v>2.25</v>
      </c>
      <c r="Y397">
        <f t="shared" si="41"/>
        <v>413.29319999999996</v>
      </c>
    </row>
    <row r="398" spans="1:25" x14ac:dyDescent="0.25">
      <c r="A398" t="s">
        <v>1226</v>
      </c>
      <c r="B398">
        <v>41909</v>
      </c>
      <c r="C398" t="str">
        <f t="shared" si="36"/>
        <v>2014</v>
      </c>
      <c r="D398" t="s">
        <v>1227</v>
      </c>
      <c r="E398" t="s">
        <v>760</v>
      </c>
      <c r="F398" t="s">
        <v>448</v>
      </c>
      <c r="G398" t="s">
        <v>449</v>
      </c>
      <c r="H398" t="s">
        <v>259</v>
      </c>
      <c r="I398" t="s">
        <v>333</v>
      </c>
      <c r="J398" t="s">
        <v>279</v>
      </c>
      <c r="K398" t="s">
        <v>353</v>
      </c>
      <c r="L398" t="s">
        <v>245</v>
      </c>
      <c r="M398" t="s">
        <v>323</v>
      </c>
      <c r="N398" t="s">
        <v>247</v>
      </c>
      <c r="O398">
        <v>41914</v>
      </c>
      <c r="P398">
        <v>0.94</v>
      </c>
      <c r="Q398">
        <v>2.08</v>
      </c>
      <c r="R398">
        <f t="shared" si="37"/>
        <v>1.1400000000000001</v>
      </c>
      <c r="S398">
        <v>36</v>
      </c>
      <c r="T398">
        <f t="shared" si="38"/>
        <v>74.88</v>
      </c>
      <c r="U398">
        <v>0.01</v>
      </c>
      <c r="V398">
        <f t="shared" si="39"/>
        <v>0.74880000000000002</v>
      </c>
      <c r="W398">
        <f t="shared" si="40"/>
        <v>74.131199999999993</v>
      </c>
      <c r="X398">
        <v>2.56</v>
      </c>
      <c r="Y398">
        <f t="shared" si="41"/>
        <v>76.691199999999995</v>
      </c>
    </row>
    <row r="399" spans="1:25" x14ac:dyDescent="0.25">
      <c r="A399" t="s">
        <v>1228</v>
      </c>
      <c r="B399">
        <v>41910</v>
      </c>
      <c r="C399" t="str">
        <f t="shared" si="36"/>
        <v>2014</v>
      </c>
      <c r="D399" t="s">
        <v>1229</v>
      </c>
      <c r="E399" t="s">
        <v>581</v>
      </c>
      <c r="F399" t="s">
        <v>257</v>
      </c>
      <c r="G399" t="s">
        <v>258</v>
      </c>
      <c r="H399" t="s">
        <v>259</v>
      </c>
      <c r="I399" t="s">
        <v>309</v>
      </c>
      <c r="J399" t="s">
        <v>243</v>
      </c>
      <c r="K399" t="s">
        <v>1126</v>
      </c>
      <c r="L399" t="s">
        <v>245</v>
      </c>
      <c r="M399" t="s">
        <v>253</v>
      </c>
      <c r="N399" t="s">
        <v>247</v>
      </c>
      <c r="O399">
        <v>41911</v>
      </c>
      <c r="P399">
        <v>1.53</v>
      </c>
      <c r="Q399">
        <v>2.4700000000000002</v>
      </c>
      <c r="R399">
        <f t="shared" si="37"/>
        <v>0.94000000000000017</v>
      </c>
      <c r="S399">
        <v>49</v>
      </c>
      <c r="T399">
        <f t="shared" si="38"/>
        <v>121.03000000000002</v>
      </c>
      <c r="U399">
        <v>0.03</v>
      </c>
      <c r="V399">
        <f t="shared" si="39"/>
        <v>3.6309000000000005</v>
      </c>
      <c r="W399">
        <f t="shared" si="40"/>
        <v>117.39910000000002</v>
      </c>
      <c r="X399">
        <v>1.02</v>
      </c>
      <c r="Y399">
        <f t="shared" si="41"/>
        <v>118.41910000000001</v>
      </c>
    </row>
    <row r="400" spans="1:25" x14ac:dyDescent="0.25">
      <c r="A400" t="s">
        <v>1230</v>
      </c>
      <c r="B400">
        <v>41910</v>
      </c>
      <c r="C400" t="str">
        <f t="shared" si="36"/>
        <v>2014</v>
      </c>
      <c r="D400" t="s">
        <v>1231</v>
      </c>
      <c r="E400" t="s">
        <v>558</v>
      </c>
      <c r="F400" t="s">
        <v>257</v>
      </c>
      <c r="G400" t="s">
        <v>258</v>
      </c>
      <c r="H400" t="s">
        <v>241</v>
      </c>
      <c r="I400" t="s">
        <v>333</v>
      </c>
      <c r="J400" t="s">
        <v>243</v>
      </c>
      <c r="K400" t="s">
        <v>399</v>
      </c>
      <c r="L400" t="s">
        <v>245</v>
      </c>
      <c r="M400" t="s">
        <v>253</v>
      </c>
      <c r="N400" t="s">
        <v>247</v>
      </c>
      <c r="O400">
        <v>41911</v>
      </c>
      <c r="P400">
        <v>3.47</v>
      </c>
      <c r="Q400">
        <v>6.68</v>
      </c>
      <c r="R400">
        <f t="shared" si="37"/>
        <v>3.2099999999999995</v>
      </c>
      <c r="S400">
        <v>16</v>
      </c>
      <c r="T400">
        <f t="shared" si="38"/>
        <v>106.88</v>
      </c>
      <c r="U400">
        <v>0.1</v>
      </c>
      <c r="V400">
        <f t="shared" si="39"/>
        <v>10.688000000000001</v>
      </c>
      <c r="W400">
        <f t="shared" si="40"/>
        <v>96.191999999999993</v>
      </c>
      <c r="X400">
        <v>1.5</v>
      </c>
      <c r="Y400">
        <f t="shared" si="41"/>
        <v>97.691999999999993</v>
      </c>
    </row>
    <row r="401" spans="1:25" x14ac:dyDescent="0.25">
      <c r="A401" t="s">
        <v>1232</v>
      </c>
      <c r="B401">
        <v>41911</v>
      </c>
      <c r="C401" t="str">
        <f t="shared" si="36"/>
        <v>2014</v>
      </c>
      <c r="D401" t="s">
        <v>1084</v>
      </c>
      <c r="E401" t="s">
        <v>1233</v>
      </c>
      <c r="F401" t="s">
        <v>448</v>
      </c>
      <c r="G401" t="s">
        <v>449</v>
      </c>
      <c r="H401" t="s">
        <v>293</v>
      </c>
      <c r="I401" t="s">
        <v>333</v>
      </c>
      <c r="J401" t="s">
        <v>279</v>
      </c>
      <c r="K401" t="s">
        <v>317</v>
      </c>
      <c r="L401" t="s">
        <v>245</v>
      </c>
      <c r="M401" t="s">
        <v>253</v>
      </c>
      <c r="N401" t="s">
        <v>247</v>
      </c>
      <c r="O401">
        <v>41911</v>
      </c>
      <c r="P401">
        <v>0.71</v>
      </c>
      <c r="Q401">
        <v>1.1399999999999999</v>
      </c>
      <c r="R401">
        <f t="shared" si="37"/>
        <v>0.42999999999999994</v>
      </c>
      <c r="S401">
        <v>8</v>
      </c>
      <c r="T401">
        <f t="shared" si="38"/>
        <v>9.1199999999999992</v>
      </c>
      <c r="U401">
        <v>0</v>
      </c>
      <c r="V401">
        <f t="shared" si="39"/>
        <v>0</v>
      </c>
      <c r="W401">
        <f t="shared" si="40"/>
        <v>9.1199999999999992</v>
      </c>
      <c r="X401">
        <v>0.7</v>
      </c>
      <c r="Y401">
        <f t="shared" si="41"/>
        <v>9.8199999999999985</v>
      </c>
    </row>
    <row r="402" spans="1:25" x14ac:dyDescent="0.25">
      <c r="A402" t="s">
        <v>1234</v>
      </c>
      <c r="B402">
        <v>41913</v>
      </c>
      <c r="C402" t="str">
        <f t="shared" si="36"/>
        <v>2014</v>
      </c>
      <c r="D402" t="s">
        <v>237</v>
      </c>
      <c r="E402" t="s">
        <v>238</v>
      </c>
      <c r="F402" t="s">
        <v>239</v>
      </c>
      <c r="G402" t="s">
        <v>240</v>
      </c>
      <c r="H402" t="s">
        <v>241</v>
      </c>
      <c r="I402" t="s">
        <v>242</v>
      </c>
      <c r="J402" t="s">
        <v>243</v>
      </c>
      <c r="K402" t="s">
        <v>377</v>
      </c>
      <c r="L402" t="s">
        <v>268</v>
      </c>
      <c r="M402" t="s">
        <v>246</v>
      </c>
      <c r="N402" t="s">
        <v>247</v>
      </c>
      <c r="O402">
        <v>41915</v>
      </c>
      <c r="P402">
        <v>39.64</v>
      </c>
      <c r="Q402">
        <v>152.47999999999999</v>
      </c>
      <c r="R402">
        <f t="shared" si="37"/>
        <v>112.83999999999999</v>
      </c>
      <c r="S402">
        <v>48</v>
      </c>
      <c r="T402">
        <f t="shared" si="38"/>
        <v>7319.0399999999991</v>
      </c>
      <c r="U402">
        <v>0.04</v>
      </c>
      <c r="V402">
        <f t="shared" si="39"/>
        <v>292.76159999999999</v>
      </c>
      <c r="W402">
        <f t="shared" si="40"/>
        <v>7026.2783999999992</v>
      </c>
      <c r="X402">
        <v>6.5</v>
      </c>
      <c r="Y402">
        <f t="shared" si="41"/>
        <v>7032.7783999999992</v>
      </c>
    </row>
    <row r="403" spans="1:25" x14ac:dyDescent="0.25">
      <c r="A403" t="s">
        <v>1235</v>
      </c>
      <c r="B403">
        <v>41913</v>
      </c>
      <c r="C403" t="str">
        <f t="shared" si="36"/>
        <v>2014</v>
      </c>
      <c r="D403" t="s">
        <v>1236</v>
      </c>
      <c r="E403" t="s">
        <v>288</v>
      </c>
      <c r="F403" t="s">
        <v>257</v>
      </c>
      <c r="G403" t="s">
        <v>258</v>
      </c>
      <c r="H403" t="s">
        <v>259</v>
      </c>
      <c r="I403" t="s">
        <v>284</v>
      </c>
      <c r="J403" t="s">
        <v>294</v>
      </c>
      <c r="K403" t="s">
        <v>537</v>
      </c>
      <c r="L403" t="s">
        <v>245</v>
      </c>
      <c r="M403" t="s">
        <v>253</v>
      </c>
      <c r="N403" t="s">
        <v>263</v>
      </c>
      <c r="O403">
        <v>41914</v>
      </c>
      <c r="P403">
        <v>11.11</v>
      </c>
      <c r="Q403">
        <v>19.84</v>
      </c>
      <c r="R403">
        <f t="shared" si="37"/>
        <v>8.73</v>
      </c>
      <c r="S403">
        <v>15</v>
      </c>
      <c r="T403">
        <f t="shared" si="38"/>
        <v>297.60000000000002</v>
      </c>
      <c r="U403">
        <v>0</v>
      </c>
      <c r="V403">
        <f t="shared" si="39"/>
        <v>0</v>
      </c>
      <c r="W403">
        <f t="shared" si="40"/>
        <v>297.60000000000002</v>
      </c>
      <c r="X403">
        <v>4.0999999999999996</v>
      </c>
      <c r="Y403">
        <f t="shared" si="41"/>
        <v>301.70000000000005</v>
      </c>
    </row>
    <row r="404" spans="1:25" x14ac:dyDescent="0.25">
      <c r="A404" t="s">
        <v>1237</v>
      </c>
      <c r="B404">
        <v>41914</v>
      </c>
      <c r="C404" t="str">
        <f t="shared" si="36"/>
        <v>2014</v>
      </c>
      <c r="D404" t="s">
        <v>1238</v>
      </c>
      <c r="E404" t="s">
        <v>1239</v>
      </c>
      <c r="F404" t="s">
        <v>257</v>
      </c>
      <c r="G404" t="s">
        <v>258</v>
      </c>
      <c r="H404" t="s">
        <v>241</v>
      </c>
      <c r="I404" t="s">
        <v>309</v>
      </c>
      <c r="J404" t="s">
        <v>243</v>
      </c>
      <c r="K404" t="s">
        <v>799</v>
      </c>
      <c r="L404" t="s">
        <v>245</v>
      </c>
      <c r="M404" t="s">
        <v>246</v>
      </c>
      <c r="N404" t="s">
        <v>247</v>
      </c>
      <c r="O404">
        <v>41916</v>
      </c>
      <c r="P404">
        <v>2.29</v>
      </c>
      <c r="Q404">
        <v>3.69</v>
      </c>
      <c r="R404">
        <f t="shared" si="37"/>
        <v>1.4</v>
      </c>
      <c r="S404">
        <v>30</v>
      </c>
      <c r="T404">
        <f t="shared" si="38"/>
        <v>110.7</v>
      </c>
      <c r="U404">
        <v>0.09</v>
      </c>
      <c r="V404">
        <f t="shared" si="39"/>
        <v>9.9629999999999992</v>
      </c>
      <c r="W404">
        <f t="shared" si="40"/>
        <v>100.73700000000001</v>
      </c>
      <c r="X404">
        <v>0.5</v>
      </c>
      <c r="Y404">
        <f t="shared" si="41"/>
        <v>101.23700000000001</v>
      </c>
    </row>
    <row r="405" spans="1:25" x14ac:dyDescent="0.25">
      <c r="A405" t="s">
        <v>1240</v>
      </c>
      <c r="B405">
        <v>41914</v>
      </c>
      <c r="C405" t="str">
        <f t="shared" si="36"/>
        <v>2014</v>
      </c>
      <c r="D405" t="s">
        <v>1053</v>
      </c>
      <c r="E405" t="s">
        <v>1054</v>
      </c>
      <c r="F405" t="s">
        <v>448</v>
      </c>
      <c r="G405" t="s">
        <v>449</v>
      </c>
      <c r="H405" t="s">
        <v>259</v>
      </c>
      <c r="I405" t="s">
        <v>299</v>
      </c>
      <c r="J405" t="s">
        <v>243</v>
      </c>
      <c r="K405" t="s">
        <v>998</v>
      </c>
      <c r="L405" t="s">
        <v>245</v>
      </c>
      <c r="M405" t="s">
        <v>246</v>
      </c>
      <c r="N405" t="s">
        <v>247</v>
      </c>
      <c r="O405">
        <v>41916</v>
      </c>
      <c r="P405">
        <v>21.97</v>
      </c>
      <c r="Q405">
        <v>35.44</v>
      </c>
      <c r="R405">
        <f t="shared" si="37"/>
        <v>13.469999999999999</v>
      </c>
      <c r="S405">
        <v>29</v>
      </c>
      <c r="T405">
        <f t="shared" si="38"/>
        <v>1027.76</v>
      </c>
      <c r="U405">
        <v>0.03</v>
      </c>
      <c r="V405">
        <f t="shared" si="39"/>
        <v>30.832799999999999</v>
      </c>
      <c r="W405">
        <f t="shared" si="40"/>
        <v>996.92719999999997</v>
      </c>
      <c r="X405">
        <v>4.92</v>
      </c>
      <c r="Y405">
        <f t="shared" si="41"/>
        <v>1001.8471999999999</v>
      </c>
    </row>
    <row r="406" spans="1:25" x14ac:dyDescent="0.25">
      <c r="A406" t="s">
        <v>1241</v>
      </c>
      <c r="B406">
        <v>41915</v>
      </c>
      <c r="C406" t="str">
        <f t="shared" si="36"/>
        <v>2014</v>
      </c>
      <c r="D406" t="s">
        <v>1225</v>
      </c>
      <c r="E406" t="s">
        <v>420</v>
      </c>
      <c r="F406" t="s">
        <v>239</v>
      </c>
      <c r="G406" t="s">
        <v>240</v>
      </c>
      <c r="H406" t="s">
        <v>259</v>
      </c>
      <c r="I406" t="s">
        <v>251</v>
      </c>
      <c r="J406" t="s">
        <v>294</v>
      </c>
      <c r="K406" t="s">
        <v>317</v>
      </c>
      <c r="L406" t="s">
        <v>245</v>
      </c>
      <c r="M406" t="s">
        <v>253</v>
      </c>
      <c r="N406" t="s">
        <v>247</v>
      </c>
      <c r="O406">
        <v>41917</v>
      </c>
      <c r="P406">
        <v>0.71</v>
      </c>
      <c r="Q406">
        <v>1.1399999999999999</v>
      </c>
      <c r="R406">
        <f t="shared" si="37"/>
        <v>0.42999999999999994</v>
      </c>
      <c r="S406">
        <v>4</v>
      </c>
      <c r="T406">
        <f t="shared" si="38"/>
        <v>4.5599999999999996</v>
      </c>
      <c r="U406">
        <v>0</v>
      </c>
      <c r="V406">
        <f t="shared" si="39"/>
        <v>0</v>
      </c>
      <c r="W406">
        <f t="shared" si="40"/>
        <v>4.5599999999999996</v>
      </c>
      <c r="X406">
        <v>0.7</v>
      </c>
      <c r="Y406">
        <f t="shared" si="41"/>
        <v>5.26</v>
      </c>
    </row>
    <row r="407" spans="1:25" x14ac:dyDescent="0.25">
      <c r="A407" t="s">
        <v>1242</v>
      </c>
      <c r="B407">
        <v>41916</v>
      </c>
      <c r="C407" t="str">
        <f t="shared" si="36"/>
        <v>2014</v>
      </c>
      <c r="D407" t="s">
        <v>703</v>
      </c>
      <c r="E407" t="s">
        <v>288</v>
      </c>
      <c r="F407" t="s">
        <v>257</v>
      </c>
      <c r="G407" t="s">
        <v>258</v>
      </c>
      <c r="H407" t="s">
        <v>274</v>
      </c>
      <c r="I407" t="s">
        <v>284</v>
      </c>
      <c r="J407" t="s">
        <v>279</v>
      </c>
      <c r="K407" t="s">
        <v>570</v>
      </c>
      <c r="L407" t="s">
        <v>245</v>
      </c>
      <c r="M407" t="s">
        <v>246</v>
      </c>
      <c r="N407" t="s">
        <v>263</v>
      </c>
      <c r="O407">
        <v>41923</v>
      </c>
      <c r="P407">
        <v>2.74</v>
      </c>
      <c r="Q407">
        <v>4.49</v>
      </c>
      <c r="R407">
        <f t="shared" si="37"/>
        <v>1.75</v>
      </c>
      <c r="S407">
        <v>44</v>
      </c>
      <c r="T407">
        <f t="shared" si="38"/>
        <v>197.56</v>
      </c>
      <c r="U407">
        <v>0.03</v>
      </c>
      <c r="V407">
        <f t="shared" si="39"/>
        <v>5.9268000000000001</v>
      </c>
      <c r="W407">
        <f t="shared" si="40"/>
        <v>191.63319999999999</v>
      </c>
      <c r="X407">
        <v>1.49</v>
      </c>
      <c r="Y407">
        <f t="shared" si="41"/>
        <v>193.1232</v>
      </c>
    </row>
    <row r="408" spans="1:25" x14ac:dyDescent="0.25">
      <c r="A408" t="s">
        <v>1243</v>
      </c>
      <c r="B408">
        <v>41916</v>
      </c>
      <c r="C408" t="str">
        <f t="shared" si="36"/>
        <v>2014</v>
      </c>
      <c r="D408" t="s">
        <v>908</v>
      </c>
      <c r="E408" t="s">
        <v>909</v>
      </c>
      <c r="F408" t="s">
        <v>448</v>
      </c>
      <c r="G408" t="s">
        <v>449</v>
      </c>
      <c r="H408" t="s">
        <v>241</v>
      </c>
      <c r="I408" t="s">
        <v>333</v>
      </c>
      <c r="J408" t="s">
        <v>279</v>
      </c>
      <c r="K408" t="s">
        <v>488</v>
      </c>
      <c r="L408" t="s">
        <v>268</v>
      </c>
      <c r="M408" t="s">
        <v>323</v>
      </c>
      <c r="N408" t="s">
        <v>247</v>
      </c>
      <c r="O408">
        <v>41918</v>
      </c>
      <c r="P408">
        <v>20.18</v>
      </c>
      <c r="Q408">
        <v>35.409999999999997</v>
      </c>
      <c r="R408">
        <f t="shared" si="37"/>
        <v>15.229999999999997</v>
      </c>
      <c r="S408">
        <v>5</v>
      </c>
      <c r="T408">
        <f t="shared" si="38"/>
        <v>177.04999999999998</v>
      </c>
      <c r="U408">
        <v>0</v>
      </c>
      <c r="V408">
        <f t="shared" si="39"/>
        <v>0</v>
      </c>
      <c r="W408">
        <f t="shared" si="40"/>
        <v>177.04999999999998</v>
      </c>
      <c r="X408">
        <v>1.99</v>
      </c>
      <c r="Y408">
        <f t="shared" si="41"/>
        <v>179.04</v>
      </c>
    </row>
    <row r="409" spans="1:25" x14ac:dyDescent="0.25">
      <c r="A409" t="s">
        <v>1244</v>
      </c>
      <c r="B409">
        <v>41918</v>
      </c>
      <c r="C409" t="str">
        <f t="shared" si="36"/>
        <v>2014</v>
      </c>
      <c r="D409" t="s">
        <v>965</v>
      </c>
      <c r="E409" t="s">
        <v>633</v>
      </c>
      <c r="F409" t="s">
        <v>239</v>
      </c>
      <c r="G409" t="s">
        <v>240</v>
      </c>
      <c r="H409" t="s">
        <v>274</v>
      </c>
      <c r="I409" t="s">
        <v>242</v>
      </c>
      <c r="J409" t="s">
        <v>261</v>
      </c>
      <c r="K409" t="s">
        <v>617</v>
      </c>
      <c r="L409" t="s">
        <v>245</v>
      </c>
      <c r="M409" t="s">
        <v>246</v>
      </c>
      <c r="N409" t="s">
        <v>247</v>
      </c>
      <c r="O409">
        <v>41919</v>
      </c>
      <c r="P409">
        <v>1.94</v>
      </c>
      <c r="Q409">
        <v>3.08</v>
      </c>
      <c r="R409">
        <f t="shared" si="37"/>
        <v>1.1400000000000001</v>
      </c>
      <c r="S409">
        <v>46</v>
      </c>
      <c r="T409">
        <f t="shared" si="38"/>
        <v>141.68</v>
      </c>
      <c r="U409">
        <v>0.04</v>
      </c>
      <c r="V409">
        <f t="shared" si="39"/>
        <v>5.6672000000000002</v>
      </c>
      <c r="W409">
        <f t="shared" si="40"/>
        <v>136.0128</v>
      </c>
      <c r="X409">
        <v>0.99</v>
      </c>
      <c r="Y409">
        <f t="shared" si="41"/>
        <v>137.00280000000001</v>
      </c>
    </row>
    <row r="410" spans="1:25" x14ac:dyDescent="0.25">
      <c r="A410" t="s">
        <v>1245</v>
      </c>
      <c r="B410">
        <v>41920</v>
      </c>
      <c r="C410" t="str">
        <f t="shared" si="36"/>
        <v>2014</v>
      </c>
      <c r="D410" t="s">
        <v>401</v>
      </c>
      <c r="E410" t="s">
        <v>402</v>
      </c>
      <c r="F410" t="s">
        <v>257</v>
      </c>
      <c r="G410" t="s">
        <v>258</v>
      </c>
      <c r="H410" t="s">
        <v>259</v>
      </c>
      <c r="I410" t="s">
        <v>333</v>
      </c>
      <c r="J410" t="s">
        <v>243</v>
      </c>
      <c r="K410" t="s">
        <v>439</v>
      </c>
      <c r="L410" t="s">
        <v>440</v>
      </c>
      <c r="M410" t="s">
        <v>323</v>
      </c>
      <c r="N410" t="s">
        <v>247</v>
      </c>
      <c r="O410">
        <v>41922</v>
      </c>
      <c r="P410">
        <v>5.5</v>
      </c>
      <c r="Q410">
        <v>12.22</v>
      </c>
      <c r="R410">
        <f t="shared" si="37"/>
        <v>6.7200000000000006</v>
      </c>
      <c r="S410">
        <v>1</v>
      </c>
      <c r="T410">
        <f t="shared" si="38"/>
        <v>12.22</v>
      </c>
      <c r="U410">
        <v>0.1</v>
      </c>
      <c r="V410">
        <f t="shared" si="39"/>
        <v>1.2220000000000002</v>
      </c>
      <c r="W410">
        <f t="shared" si="40"/>
        <v>10.998000000000001</v>
      </c>
      <c r="X410">
        <v>2.85</v>
      </c>
      <c r="Y410">
        <f t="shared" si="41"/>
        <v>13.848000000000001</v>
      </c>
    </row>
    <row r="411" spans="1:25" x14ac:dyDescent="0.25">
      <c r="A411" t="s">
        <v>1246</v>
      </c>
      <c r="B411">
        <v>41921</v>
      </c>
      <c r="C411" t="str">
        <f t="shared" si="36"/>
        <v>2014</v>
      </c>
      <c r="D411" t="s">
        <v>1247</v>
      </c>
      <c r="E411" t="s">
        <v>352</v>
      </c>
      <c r="F411" t="s">
        <v>257</v>
      </c>
      <c r="G411" t="s">
        <v>258</v>
      </c>
      <c r="H411" t="s">
        <v>274</v>
      </c>
      <c r="I411" t="s">
        <v>275</v>
      </c>
      <c r="J411" t="s">
        <v>243</v>
      </c>
      <c r="K411" t="s">
        <v>963</v>
      </c>
      <c r="L411" t="s">
        <v>245</v>
      </c>
      <c r="M411" t="s">
        <v>323</v>
      </c>
      <c r="N411" t="s">
        <v>247</v>
      </c>
      <c r="O411">
        <v>41921</v>
      </c>
      <c r="P411">
        <v>4.1900000000000004</v>
      </c>
      <c r="Q411">
        <v>10.23</v>
      </c>
      <c r="R411">
        <f t="shared" si="37"/>
        <v>6.04</v>
      </c>
      <c r="S411">
        <v>37</v>
      </c>
      <c r="T411">
        <f t="shared" si="38"/>
        <v>378.51</v>
      </c>
      <c r="U411">
        <v>0.08</v>
      </c>
      <c r="V411">
        <f t="shared" si="39"/>
        <v>30.280799999999999</v>
      </c>
      <c r="W411">
        <f t="shared" si="40"/>
        <v>348.22919999999999</v>
      </c>
      <c r="X411">
        <v>4.68</v>
      </c>
      <c r="Y411">
        <f t="shared" si="41"/>
        <v>352.9092</v>
      </c>
    </row>
    <row r="412" spans="1:25" x14ac:dyDescent="0.25">
      <c r="A412" t="s">
        <v>1248</v>
      </c>
      <c r="B412">
        <v>41922</v>
      </c>
      <c r="C412" t="str">
        <f t="shared" si="36"/>
        <v>2014</v>
      </c>
      <c r="D412" t="s">
        <v>1027</v>
      </c>
      <c r="E412" t="s">
        <v>727</v>
      </c>
      <c r="F412" t="s">
        <v>257</v>
      </c>
      <c r="G412" t="s">
        <v>258</v>
      </c>
      <c r="H412" t="s">
        <v>259</v>
      </c>
      <c r="I412" t="s">
        <v>333</v>
      </c>
      <c r="J412" t="s">
        <v>279</v>
      </c>
      <c r="K412" t="s">
        <v>1249</v>
      </c>
      <c r="L412" t="s">
        <v>245</v>
      </c>
      <c r="M412" t="s">
        <v>246</v>
      </c>
      <c r="N412" t="s">
        <v>247</v>
      </c>
      <c r="O412">
        <v>41929</v>
      </c>
      <c r="P412">
        <v>1.19</v>
      </c>
      <c r="Q412">
        <v>1.98</v>
      </c>
      <c r="R412">
        <f t="shared" si="37"/>
        <v>0.79</v>
      </c>
      <c r="S412">
        <v>38</v>
      </c>
      <c r="T412">
        <f t="shared" si="38"/>
        <v>75.239999999999995</v>
      </c>
      <c r="U412">
        <v>0.05</v>
      </c>
      <c r="V412">
        <f t="shared" si="39"/>
        <v>3.762</v>
      </c>
      <c r="W412">
        <f t="shared" si="40"/>
        <v>71.477999999999994</v>
      </c>
      <c r="X412">
        <v>4.7699999999999996</v>
      </c>
      <c r="Y412">
        <f t="shared" si="41"/>
        <v>76.24799999999999</v>
      </c>
    </row>
    <row r="413" spans="1:25" x14ac:dyDescent="0.25">
      <c r="A413" t="s">
        <v>1250</v>
      </c>
      <c r="B413">
        <v>41923</v>
      </c>
      <c r="C413" t="str">
        <f t="shared" si="36"/>
        <v>2014</v>
      </c>
      <c r="D413" t="s">
        <v>1251</v>
      </c>
      <c r="E413" t="s">
        <v>898</v>
      </c>
      <c r="F413" t="s">
        <v>257</v>
      </c>
      <c r="G413" t="s">
        <v>258</v>
      </c>
      <c r="H413" t="s">
        <v>241</v>
      </c>
      <c r="I413" t="s">
        <v>284</v>
      </c>
      <c r="J413" t="s">
        <v>304</v>
      </c>
      <c r="K413" t="s">
        <v>537</v>
      </c>
      <c r="L413" t="s">
        <v>245</v>
      </c>
      <c r="M413" t="s">
        <v>253</v>
      </c>
      <c r="N413" t="s">
        <v>247</v>
      </c>
      <c r="O413">
        <v>41923</v>
      </c>
      <c r="P413">
        <v>11.11</v>
      </c>
      <c r="Q413">
        <v>19.84</v>
      </c>
      <c r="R413">
        <f t="shared" si="37"/>
        <v>8.73</v>
      </c>
      <c r="S413">
        <v>43</v>
      </c>
      <c r="T413">
        <f t="shared" si="38"/>
        <v>853.12</v>
      </c>
      <c r="U413">
        <v>0.03</v>
      </c>
      <c r="V413">
        <f t="shared" si="39"/>
        <v>25.593599999999999</v>
      </c>
      <c r="W413">
        <f t="shared" si="40"/>
        <v>827.52639999999997</v>
      </c>
      <c r="X413">
        <v>4.0999999999999996</v>
      </c>
      <c r="Y413">
        <f t="shared" si="41"/>
        <v>831.62639999999999</v>
      </c>
    </row>
    <row r="414" spans="1:25" x14ac:dyDescent="0.25">
      <c r="A414" t="s">
        <v>1252</v>
      </c>
      <c r="B414">
        <v>41927</v>
      </c>
      <c r="C414" t="str">
        <f t="shared" si="36"/>
        <v>2014</v>
      </c>
      <c r="D414" t="s">
        <v>1253</v>
      </c>
      <c r="E414" t="s">
        <v>346</v>
      </c>
      <c r="F414" t="s">
        <v>257</v>
      </c>
      <c r="G414" t="s">
        <v>258</v>
      </c>
      <c r="H414" t="s">
        <v>241</v>
      </c>
      <c r="I414" t="s">
        <v>309</v>
      </c>
      <c r="J414" t="s">
        <v>279</v>
      </c>
      <c r="K414" t="s">
        <v>949</v>
      </c>
      <c r="L414" t="s">
        <v>245</v>
      </c>
      <c r="M414" t="s">
        <v>246</v>
      </c>
      <c r="N414" t="s">
        <v>263</v>
      </c>
      <c r="O414">
        <v>41931</v>
      </c>
      <c r="P414">
        <v>52.07</v>
      </c>
      <c r="Q414">
        <v>83.98</v>
      </c>
      <c r="R414">
        <f t="shared" si="37"/>
        <v>31.910000000000004</v>
      </c>
      <c r="S414">
        <v>34</v>
      </c>
      <c r="T414">
        <f t="shared" si="38"/>
        <v>2855.32</v>
      </c>
      <c r="U414">
        <v>0.06</v>
      </c>
      <c r="V414">
        <f t="shared" si="39"/>
        <v>171.3192</v>
      </c>
      <c r="W414">
        <f t="shared" si="40"/>
        <v>2684.0008000000003</v>
      </c>
      <c r="X414">
        <v>5.01</v>
      </c>
      <c r="Y414">
        <f t="shared" si="41"/>
        <v>2689.0108000000005</v>
      </c>
    </row>
    <row r="415" spans="1:25" x14ac:dyDescent="0.25">
      <c r="A415" t="s">
        <v>1254</v>
      </c>
      <c r="B415">
        <v>41928</v>
      </c>
      <c r="C415" t="str">
        <f t="shared" si="36"/>
        <v>2014</v>
      </c>
      <c r="D415" t="s">
        <v>237</v>
      </c>
      <c r="E415" t="s">
        <v>238</v>
      </c>
      <c r="F415" t="s">
        <v>239</v>
      </c>
      <c r="G415" t="s">
        <v>240</v>
      </c>
      <c r="H415" t="s">
        <v>241</v>
      </c>
      <c r="I415" t="s">
        <v>242</v>
      </c>
      <c r="J415" t="s">
        <v>261</v>
      </c>
      <c r="K415" t="s">
        <v>360</v>
      </c>
      <c r="L415" t="s">
        <v>245</v>
      </c>
      <c r="M415" t="s">
        <v>253</v>
      </c>
      <c r="N415" t="s">
        <v>247</v>
      </c>
      <c r="O415">
        <v>41929</v>
      </c>
      <c r="P415">
        <v>2.52</v>
      </c>
      <c r="Q415">
        <v>4</v>
      </c>
      <c r="R415">
        <f t="shared" si="37"/>
        <v>1.48</v>
      </c>
      <c r="S415">
        <v>36</v>
      </c>
      <c r="T415">
        <f t="shared" si="38"/>
        <v>144</v>
      </c>
      <c r="U415">
        <v>0.01</v>
      </c>
      <c r="V415">
        <f t="shared" si="39"/>
        <v>1.44</v>
      </c>
      <c r="W415">
        <f t="shared" si="40"/>
        <v>142.56</v>
      </c>
      <c r="X415">
        <v>1.3</v>
      </c>
      <c r="Y415">
        <f t="shared" si="41"/>
        <v>143.86000000000001</v>
      </c>
    </row>
    <row r="416" spans="1:25" x14ac:dyDescent="0.25">
      <c r="A416" t="s">
        <v>1255</v>
      </c>
      <c r="B416">
        <v>41929</v>
      </c>
      <c r="C416" t="str">
        <f t="shared" si="36"/>
        <v>2014</v>
      </c>
      <c r="D416" t="s">
        <v>1256</v>
      </c>
      <c r="E416" t="s">
        <v>367</v>
      </c>
      <c r="F416" t="s">
        <v>239</v>
      </c>
      <c r="G416" t="s">
        <v>240</v>
      </c>
      <c r="H416" t="s">
        <v>241</v>
      </c>
      <c r="I416" t="s">
        <v>251</v>
      </c>
      <c r="J416" t="s">
        <v>304</v>
      </c>
      <c r="K416" t="s">
        <v>676</v>
      </c>
      <c r="L416" t="s">
        <v>245</v>
      </c>
      <c r="M416" t="s">
        <v>323</v>
      </c>
      <c r="N416" t="s">
        <v>247</v>
      </c>
      <c r="O416">
        <v>41929</v>
      </c>
      <c r="P416">
        <v>5.19</v>
      </c>
      <c r="Q416">
        <v>12.98</v>
      </c>
      <c r="R416">
        <f t="shared" si="37"/>
        <v>7.79</v>
      </c>
      <c r="S416">
        <v>11</v>
      </c>
      <c r="T416">
        <f t="shared" si="38"/>
        <v>142.78</v>
      </c>
      <c r="U416">
        <v>0.08</v>
      </c>
      <c r="V416">
        <f t="shared" si="39"/>
        <v>11.4224</v>
      </c>
      <c r="W416">
        <f t="shared" si="40"/>
        <v>131.35759999999999</v>
      </c>
      <c r="X416">
        <v>3.14</v>
      </c>
      <c r="Y416">
        <f t="shared" si="41"/>
        <v>134.49759999999998</v>
      </c>
    </row>
    <row r="417" spans="1:25" x14ac:dyDescent="0.25">
      <c r="A417" t="s">
        <v>1257</v>
      </c>
      <c r="B417">
        <v>41929</v>
      </c>
      <c r="C417" t="str">
        <f t="shared" si="36"/>
        <v>2014</v>
      </c>
      <c r="D417" t="s">
        <v>1256</v>
      </c>
      <c r="E417" t="s">
        <v>367</v>
      </c>
      <c r="F417" t="s">
        <v>239</v>
      </c>
      <c r="G417" t="s">
        <v>240</v>
      </c>
      <c r="H417" t="s">
        <v>241</v>
      </c>
      <c r="I417" t="s">
        <v>251</v>
      </c>
      <c r="J417" t="s">
        <v>304</v>
      </c>
      <c r="K417" t="s">
        <v>360</v>
      </c>
      <c r="L417" t="s">
        <v>245</v>
      </c>
      <c r="M417" t="s">
        <v>253</v>
      </c>
      <c r="N417" t="s">
        <v>247</v>
      </c>
      <c r="O417">
        <v>41931</v>
      </c>
      <c r="P417">
        <v>2.52</v>
      </c>
      <c r="Q417">
        <v>4</v>
      </c>
      <c r="R417">
        <f t="shared" si="37"/>
        <v>1.48</v>
      </c>
      <c r="S417">
        <v>19</v>
      </c>
      <c r="T417">
        <f t="shared" si="38"/>
        <v>76</v>
      </c>
      <c r="U417">
        <v>0.01</v>
      </c>
      <c r="V417">
        <f t="shared" si="39"/>
        <v>0.76</v>
      </c>
      <c r="W417">
        <f t="shared" si="40"/>
        <v>75.239999999999995</v>
      </c>
      <c r="X417">
        <v>1.3</v>
      </c>
      <c r="Y417">
        <f t="shared" si="41"/>
        <v>76.539999999999992</v>
      </c>
    </row>
    <row r="418" spans="1:25" x14ac:dyDescent="0.25">
      <c r="A418" t="s">
        <v>1258</v>
      </c>
      <c r="B418">
        <v>41930</v>
      </c>
      <c r="C418" t="str">
        <f t="shared" si="36"/>
        <v>2014</v>
      </c>
      <c r="D418" t="s">
        <v>237</v>
      </c>
      <c r="E418" t="s">
        <v>238</v>
      </c>
      <c r="F418" t="s">
        <v>239</v>
      </c>
      <c r="G418" t="s">
        <v>240</v>
      </c>
      <c r="H418" t="s">
        <v>241</v>
      </c>
      <c r="I418" t="s">
        <v>242</v>
      </c>
      <c r="J418" t="s">
        <v>294</v>
      </c>
      <c r="K418" t="s">
        <v>460</v>
      </c>
      <c r="L418" t="s">
        <v>245</v>
      </c>
      <c r="M418" t="s">
        <v>246</v>
      </c>
      <c r="N418" t="s">
        <v>247</v>
      </c>
      <c r="O418">
        <v>41932</v>
      </c>
      <c r="P418">
        <v>3.84</v>
      </c>
      <c r="Q418">
        <v>6.3</v>
      </c>
      <c r="R418">
        <f t="shared" si="37"/>
        <v>2.46</v>
      </c>
      <c r="S418">
        <v>8</v>
      </c>
      <c r="T418">
        <f t="shared" si="38"/>
        <v>50.4</v>
      </c>
      <c r="U418">
        <v>0.01</v>
      </c>
      <c r="V418">
        <f t="shared" si="39"/>
        <v>0.504</v>
      </c>
      <c r="W418">
        <f t="shared" si="40"/>
        <v>49.896000000000001</v>
      </c>
      <c r="X418">
        <v>0.5</v>
      </c>
      <c r="Y418">
        <f t="shared" si="41"/>
        <v>50.396000000000001</v>
      </c>
    </row>
    <row r="419" spans="1:25" x14ac:dyDescent="0.25">
      <c r="A419" t="s">
        <v>1259</v>
      </c>
      <c r="B419">
        <v>41931</v>
      </c>
      <c r="C419" t="str">
        <f t="shared" si="36"/>
        <v>2014</v>
      </c>
      <c r="D419" t="s">
        <v>1260</v>
      </c>
      <c r="E419" t="s">
        <v>1261</v>
      </c>
      <c r="F419" t="s">
        <v>239</v>
      </c>
      <c r="G419" t="s">
        <v>240</v>
      </c>
      <c r="H419" t="s">
        <v>259</v>
      </c>
      <c r="I419" t="s">
        <v>242</v>
      </c>
      <c r="J419" t="s">
        <v>243</v>
      </c>
      <c r="K419" t="s">
        <v>607</v>
      </c>
      <c r="L419" t="s">
        <v>245</v>
      </c>
      <c r="M419" t="s">
        <v>246</v>
      </c>
      <c r="N419" t="s">
        <v>263</v>
      </c>
      <c r="O419">
        <v>41932</v>
      </c>
      <c r="P419">
        <v>4.46</v>
      </c>
      <c r="Q419">
        <v>10.89</v>
      </c>
      <c r="R419">
        <f t="shared" si="37"/>
        <v>6.4300000000000006</v>
      </c>
      <c r="S419">
        <v>4</v>
      </c>
      <c r="T419">
        <f t="shared" si="38"/>
        <v>43.56</v>
      </c>
      <c r="U419">
        <v>0.05</v>
      </c>
      <c r="V419">
        <f t="shared" si="39"/>
        <v>2.1780000000000004</v>
      </c>
      <c r="W419">
        <f t="shared" si="40"/>
        <v>41.382000000000005</v>
      </c>
      <c r="X419">
        <v>4.5</v>
      </c>
      <c r="Y419">
        <f t="shared" si="41"/>
        <v>45.882000000000005</v>
      </c>
    </row>
    <row r="420" spans="1:25" x14ac:dyDescent="0.25">
      <c r="A420" t="s">
        <v>1262</v>
      </c>
      <c r="B420">
        <v>41932</v>
      </c>
      <c r="C420" t="str">
        <f t="shared" si="36"/>
        <v>2014</v>
      </c>
      <c r="D420" t="s">
        <v>1222</v>
      </c>
      <c r="E420" t="s">
        <v>1001</v>
      </c>
      <c r="F420" t="s">
        <v>239</v>
      </c>
      <c r="G420" t="s">
        <v>240</v>
      </c>
      <c r="H420" t="s">
        <v>293</v>
      </c>
      <c r="I420" t="s">
        <v>251</v>
      </c>
      <c r="J420" t="s">
        <v>294</v>
      </c>
      <c r="K420" t="s">
        <v>384</v>
      </c>
      <c r="L420" t="s">
        <v>268</v>
      </c>
      <c r="M420" t="s">
        <v>246</v>
      </c>
      <c r="N420" t="s">
        <v>247</v>
      </c>
      <c r="O420">
        <v>41934</v>
      </c>
      <c r="P420">
        <v>8.31</v>
      </c>
      <c r="Q420">
        <v>15.98</v>
      </c>
      <c r="R420">
        <f t="shared" si="37"/>
        <v>7.67</v>
      </c>
      <c r="S420">
        <v>38</v>
      </c>
      <c r="T420">
        <f t="shared" si="38"/>
        <v>607.24</v>
      </c>
      <c r="U420">
        <v>0.1</v>
      </c>
      <c r="V420">
        <f t="shared" si="39"/>
        <v>60.724000000000004</v>
      </c>
      <c r="W420">
        <f t="shared" si="40"/>
        <v>546.51599999999996</v>
      </c>
      <c r="X420">
        <v>6.5</v>
      </c>
      <c r="Y420">
        <f t="shared" si="41"/>
        <v>553.01599999999996</v>
      </c>
    </row>
    <row r="421" spans="1:25" x14ac:dyDescent="0.25">
      <c r="A421" t="s">
        <v>1263</v>
      </c>
      <c r="B421">
        <v>41933</v>
      </c>
      <c r="C421" t="str">
        <f t="shared" si="36"/>
        <v>2014</v>
      </c>
      <c r="D421" t="s">
        <v>1264</v>
      </c>
      <c r="E421" t="s">
        <v>1265</v>
      </c>
      <c r="F421" t="s">
        <v>257</v>
      </c>
      <c r="G421" t="s">
        <v>258</v>
      </c>
      <c r="H421" t="s">
        <v>274</v>
      </c>
      <c r="I421" t="s">
        <v>309</v>
      </c>
      <c r="J421" t="s">
        <v>294</v>
      </c>
      <c r="K421" t="s">
        <v>1266</v>
      </c>
      <c r="L421" t="s">
        <v>245</v>
      </c>
      <c r="M421" t="s">
        <v>253</v>
      </c>
      <c r="N421" t="s">
        <v>247</v>
      </c>
      <c r="O421">
        <v>41934</v>
      </c>
      <c r="P421">
        <v>4.4800000000000004</v>
      </c>
      <c r="Q421">
        <v>8.14</v>
      </c>
      <c r="R421">
        <f t="shared" si="37"/>
        <v>3.66</v>
      </c>
      <c r="S421">
        <v>46</v>
      </c>
      <c r="T421">
        <f t="shared" si="38"/>
        <v>374.44000000000005</v>
      </c>
      <c r="U421">
        <v>0</v>
      </c>
      <c r="V421">
        <f t="shared" si="39"/>
        <v>0</v>
      </c>
      <c r="W421">
        <f t="shared" si="40"/>
        <v>374.44000000000005</v>
      </c>
      <c r="X421">
        <v>3.12</v>
      </c>
      <c r="Y421">
        <f t="shared" si="41"/>
        <v>377.56000000000006</v>
      </c>
    </row>
    <row r="422" spans="1:25" x14ac:dyDescent="0.25">
      <c r="A422" t="s">
        <v>1267</v>
      </c>
      <c r="B422">
        <v>41933</v>
      </c>
      <c r="C422" t="str">
        <f t="shared" si="36"/>
        <v>2014</v>
      </c>
      <c r="D422" t="s">
        <v>1159</v>
      </c>
      <c r="E422" t="s">
        <v>376</v>
      </c>
      <c r="F422" t="s">
        <v>239</v>
      </c>
      <c r="G422" t="s">
        <v>240</v>
      </c>
      <c r="H422" t="s">
        <v>259</v>
      </c>
      <c r="I422" t="s">
        <v>242</v>
      </c>
      <c r="J422" t="s">
        <v>304</v>
      </c>
      <c r="K422" t="s">
        <v>387</v>
      </c>
      <c r="L422" t="s">
        <v>245</v>
      </c>
      <c r="M422" t="s">
        <v>323</v>
      </c>
      <c r="N422" t="s">
        <v>247</v>
      </c>
      <c r="O422">
        <v>41933</v>
      </c>
      <c r="P422">
        <v>4.79</v>
      </c>
      <c r="Q422">
        <v>11.97</v>
      </c>
      <c r="R422">
        <f t="shared" si="37"/>
        <v>7.1800000000000006</v>
      </c>
      <c r="S422">
        <v>8</v>
      </c>
      <c r="T422">
        <f t="shared" si="38"/>
        <v>95.76</v>
      </c>
      <c r="U422">
        <v>0.03</v>
      </c>
      <c r="V422">
        <f t="shared" si="39"/>
        <v>2.8728000000000002</v>
      </c>
      <c r="W422">
        <f t="shared" si="40"/>
        <v>92.887200000000007</v>
      </c>
      <c r="X422">
        <v>5.81</v>
      </c>
      <c r="Y422">
        <f t="shared" si="41"/>
        <v>98.697200000000009</v>
      </c>
    </row>
    <row r="423" spans="1:25" x14ac:dyDescent="0.25">
      <c r="A423" t="s">
        <v>1268</v>
      </c>
      <c r="B423">
        <v>41934</v>
      </c>
      <c r="C423" t="str">
        <f t="shared" si="36"/>
        <v>2014</v>
      </c>
      <c r="D423" t="s">
        <v>1033</v>
      </c>
      <c r="E423" t="s">
        <v>376</v>
      </c>
      <c r="F423" t="s">
        <v>239</v>
      </c>
      <c r="G423" t="s">
        <v>240</v>
      </c>
      <c r="H423" t="s">
        <v>274</v>
      </c>
      <c r="I423" t="s">
        <v>242</v>
      </c>
      <c r="J423" t="s">
        <v>243</v>
      </c>
      <c r="K423" t="s">
        <v>533</v>
      </c>
      <c r="L423" t="s">
        <v>245</v>
      </c>
      <c r="M423" t="s">
        <v>246</v>
      </c>
      <c r="N423" t="s">
        <v>247</v>
      </c>
      <c r="O423">
        <v>41935</v>
      </c>
      <c r="P423">
        <v>3.4</v>
      </c>
      <c r="Q423">
        <v>5.4</v>
      </c>
      <c r="R423">
        <f t="shared" si="37"/>
        <v>2.0000000000000004</v>
      </c>
      <c r="S423">
        <v>22</v>
      </c>
      <c r="T423">
        <f t="shared" si="38"/>
        <v>118.80000000000001</v>
      </c>
      <c r="U423">
        <v>0.1</v>
      </c>
      <c r="V423">
        <f t="shared" si="39"/>
        <v>11.880000000000003</v>
      </c>
      <c r="W423">
        <f t="shared" si="40"/>
        <v>106.92000000000002</v>
      </c>
      <c r="X423">
        <v>7.78</v>
      </c>
      <c r="Y423">
        <f t="shared" si="41"/>
        <v>114.70000000000002</v>
      </c>
    </row>
    <row r="424" spans="1:25" x14ac:dyDescent="0.25">
      <c r="A424" t="s">
        <v>1269</v>
      </c>
      <c r="B424">
        <v>41935</v>
      </c>
      <c r="C424" t="str">
        <f t="shared" si="36"/>
        <v>2014</v>
      </c>
      <c r="D424" t="s">
        <v>1270</v>
      </c>
      <c r="E424" t="s">
        <v>283</v>
      </c>
      <c r="F424" t="s">
        <v>257</v>
      </c>
      <c r="G424" t="s">
        <v>258</v>
      </c>
      <c r="H424" t="s">
        <v>259</v>
      </c>
      <c r="I424" t="s">
        <v>284</v>
      </c>
      <c r="J424" t="s">
        <v>294</v>
      </c>
      <c r="K424" t="s">
        <v>479</v>
      </c>
      <c r="L424" t="s">
        <v>245</v>
      </c>
      <c r="M424" t="s">
        <v>246</v>
      </c>
      <c r="N424" t="s">
        <v>247</v>
      </c>
      <c r="O424">
        <v>41937</v>
      </c>
      <c r="P424">
        <v>8.92</v>
      </c>
      <c r="Q424">
        <v>29.74</v>
      </c>
      <c r="R424">
        <f t="shared" si="37"/>
        <v>20.82</v>
      </c>
      <c r="S424">
        <v>19</v>
      </c>
      <c r="T424">
        <f t="shared" si="38"/>
        <v>565.05999999999995</v>
      </c>
      <c r="U424">
        <v>0.1</v>
      </c>
      <c r="V424">
        <f t="shared" si="39"/>
        <v>56.506</v>
      </c>
      <c r="W424">
        <f t="shared" si="40"/>
        <v>508.55399999999997</v>
      </c>
      <c r="X424">
        <v>6.64</v>
      </c>
      <c r="Y424">
        <f t="shared" si="41"/>
        <v>515.19399999999996</v>
      </c>
    </row>
    <row r="425" spans="1:25" x14ac:dyDescent="0.25">
      <c r="A425" t="s">
        <v>1271</v>
      </c>
      <c r="B425">
        <v>41938</v>
      </c>
      <c r="C425" t="str">
        <f t="shared" si="36"/>
        <v>2014</v>
      </c>
      <c r="D425" t="s">
        <v>1272</v>
      </c>
      <c r="E425" t="s">
        <v>332</v>
      </c>
      <c r="F425" t="s">
        <v>257</v>
      </c>
      <c r="G425" t="s">
        <v>258</v>
      </c>
      <c r="H425" t="s">
        <v>241</v>
      </c>
      <c r="I425" t="s">
        <v>333</v>
      </c>
      <c r="J425" t="s">
        <v>304</v>
      </c>
      <c r="K425" t="s">
        <v>603</v>
      </c>
      <c r="L425" t="s">
        <v>245</v>
      </c>
      <c r="M425" t="s">
        <v>246</v>
      </c>
      <c r="N425" t="s">
        <v>247</v>
      </c>
      <c r="O425">
        <v>41939</v>
      </c>
      <c r="P425">
        <v>3.65</v>
      </c>
      <c r="Q425">
        <v>5.98</v>
      </c>
      <c r="R425">
        <f t="shared" si="37"/>
        <v>2.3300000000000005</v>
      </c>
      <c r="S425">
        <v>19</v>
      </c>
      <c r="T425">
        <f t="shared" si="38"/>
        <v>113.62</v>
      </c>
      <c r="U425">
        <v>0.01</v>
      </c>
      <c r="V425">
        <f t="shared" si="39"/>
        <v>1.1362000000000001</v>
      </c>
      <c r="W425">
        <f t="shared" si="40"/>
        <v>112.4838</v>
      </c>
      <c r="X425">
        <v>1.49</v>
      </c>
      <c r="Y425">
        <f t="shared" si="41"/>
        <v>113.9738</v>
      </c>
    </row>
    <row r="426" spans="1:25" x14ac:dyDescent="0.25">
      <c r="A426" t="s">
        <v>1273</v>
      </c>
      <c r="B426">
        <v>41939</v>
      </c>
      <c r="C426" t="str">
        <f t="shared" si="36"/>
        <v>2014</v>
      </c>
      <c r="D426" t="s">
        <v>1135</v>
      </c>
      <c r="E426" t="s">
        <v>528</v>
      </c>
      <c r="F426" t="s">
        <v>239</v>
      </c>
      <c r="G426" t="s">
        <v>240</v>
      </c>
      <c r="H426" t="s">
        <v>274</v>
      </c>
      <c r="I426" t="s">
        <v>251</v>
      </c>
      <c r="J426" t="s">
        <v>279</v>
      </c>
      <c r="K426" t="s">
        <v>953</v>
      </c>
      <c r="L426" t="s">
        <v>245</v>
      </c>
      <c r="M426" t="s">
        <v>253</v>
      </c>
      <c r="N426" t="s">
        <v>247</v>
      </c>
      <c r="O426">
        <v>41943</v>
      </c>
      <c r="P426">
        <v>2.16</v>
      </c>
      <c r="Q426">
        <v>3.85</v>
      </c>
      <c r="R426">
        <f t="shared" si="37"/>
        <v>1.69</v>
      </c>
      <c r="S426">
        <v>10</v>
      </c>
      <c r="T426">
        <f t="shared" si="38"/>
        <v>38.5</v>
      </c>
      <c r="U426">
        <v>0.06</v>
      </c>
      <c r="V426">
        <f t="shared" si="39"/>
        <v>2.31</v>
      </c>
      <c r="W426">
        <f t="shared" si="40"/>
        <v>36.19</v>
      </c>
      <c r="X426">
        <v>0.7</v>
      </c>
      <c r="Y426">
        <f t="shared" si="41"/>
        <v>36.89</v>
      </c>
    </row>
    <row r="427" spans="1:25" x14ac:dyDescent="0.25">
      <c r="A427" t="s">
        <v>1274</v>
      </c>
      <c r="B427">
        <v>41940</v>
      </c>
      <c r="C427" t="str">
        <f t="shared" si="36"/>
        <v>2014</v>
      </c>
      <c r="D427" t="s">
        <v>470</v>
      </c>
      <c r="E427" t="s">
        <v>471</v>
      </c>
      <c r="F427" t="s">
        <v>448</v>
      </c>
      <c r="G427" t="s">
        <v>449</v>
      </c>
      <c r="H427" t="s">
        <v>241</v>
      </c>
      <c r="I427" t="s">
        <v>381</v>
      </c>
      <c r="J427" t="s">
        <v>304</v>
      </c>
      <c r="K427" t="s">
        <v>1275</v>
      </c>
      <c r="L427" t="s">
        <v>268</v>
      </c>
      <c r="M427" t="s">
        <v>246</v>
      </c>
      <c r="N427" t="s">
        <v>247</v>
      </c>
      <c r="O427">
        <v>41941</v>
      </c>
      <c r="P427">
        <v>17.84</v>
      </c>
      <c r="Q427">
        <v>34.99</v>
      </c>
      <c r="R427">
        <f t="shared" si="37"/>
        <v>17.150000000000002</v>
      </c>
      <c r="S427">
        <v>29</v>
      </c>
      <c r="T427">
        <f t="shared" si="38"/>
        <v>1014.71</v>
      </c>
      <c r="U427">
        <v>0.09</v>
      </c>
      <c r="V427">
        <f t="shared" si="39"/>
        <v>91.323899999999995</v>
      </c>
      <c r="W427">
        <f t="shared" si="40"/>
        <v>923.38610000000006</v>
      </c>
      <c r="X427">
        <v>5.5</v>
      </c>
      <c r="Y427">
        <f t="shared" si="41"/>
        <v>928.88610000000006</v>
      </c>
    </row>
    <row r="428" spans="1:25" x14ac:dyDescent="0.25">
      <c r="A428" t="s">
        <v>1276</v>
      </c>
      <c r="B428">
        <v>41941</v>
      </c>
      <c r="C428" t="str">
        <f t="shared" si="36"/>
        <v>2014</v>
      </c>
      <c r="D428" t="s">
        <v>1277</v>
      </c>
      <c r="E428" t="s">
        <v>438</v>
      </c>
      <c r="F428" t="s">
        <v>257</v>
      </c>
      <c r="G428" t="s">
        <v>258</v>
      </c>
      <c r="H428" t="s">
        <v>259</v>
      </c>
      <c r="I428" t="s">
        <v>309</v>
      </c>
      <c r="J428" t="s">
        <v>243</v>
      </c>
      <c r="K428" t="s">
        <v>387</v>
      </c>
      <c r="L428" t="s">
        <v>245</v>
      </c>
      <c r="M428" t="s">
        <v>323</v>
      </c>
      <c r="N428" t="s">
        <v>247</v>
      </c>
      <c r="O428">
        <v>41943</v>
      </c>
      <c r="P428">
        <v>4.79</v>
      </c>
      <c r="Q428">
        <v>11.97</v>
      </c>
      <c r="R428">
        <f t="shared" si="37"/>
        <v>7.1800000000000006</v>
      </c>
      <c r="S428">
        <v>23</v>
      </c>
      <c r="T428">
        <f t="shared" si="38"/>
        <v>275.31</v>
      </c>
      <c r="U428">
        <v>0.01</v>
      </c>
      <c r="V428">
        <f t="shared" si="39"/>
        <v>2.7530999999999999</v>
      </c>
      <c r="W428">
        <f t="shared" si="40"/>
        <v>272.55689999999998</v>
      </c>
      <c r="X428">
        <v>5.81</v>
      </c>
      <c r="Y428">
        <f t="shared" si="41"/>
        <v>278.36689999999999</v>
      </c>
    </row>
    <row r="429" spans="1:25" x14ac:dyDescent="0.25">
      <c r="A429" t="s">
        <v>1278</v>
      </c>
      <c r="B429">
        <v>41944</v>
      </c>
      <c r="C429" t="str">
        <f t="shared" si="36"/>
        <v>2014</v>
      </c>
      <c r="D429" t="s">
        <v>1279</v>
      </c>
      <c r="E429" t="s">
        <v>288</v>
      </c>
      <c r="F429" t="s">
        <v>257</v>
      </c>
      <c r="G429" t="s">
        <v>258</v>
      </c>
      <c r="H429" t="s">
        <v>293</v>
      </c>
      <c r="I429" t="s">
        <v>284</v>
      </c>
      <c r="J429" t="s">
        <v>294</v>
      </c>
      <c r="K429" t="s">
        <v>949</v>
      </c>
      <c r="L429" t="s">
        <v>245</v>
      </c>
      <c r="M429" t="s">
        <v>246</v>
      </c>
      <c r="N429" t="s">
        <v>247</v>
      </c>
      <c r="O429">
        <v>41946</v>
      </c>
      <c r="P429">
        <v>52.07</v>
      </c>
      <c r="Q429">
        <v>83.98</v>
      </c>
      <c r="R429">
        <f t="shared" si="37"/>
        <v>31.910000000000004</v>
      </c>
      <c r="S429">
        <v>24</v>
      </c>
      <c r="T429">
        <f t="shared" si="38"/>
        <v>2015.52</v>
      </c>
      <c r="U429">
        <v>0.05</v>
      </c>
      <c r="V429">
        <f t="shared" si="39"/>
        <v>100.77600000000001</v>
      </c>
      <c r="W429">
        <f t="shared" si="40"/>
        <v>1914.7439999999999</v>
      </c>
      <c r="X429">
        <v>5.01</v>
      </c>
      <c r="Y429">
        <f t="shared" si="41"/>
        <v>1919.7539999999999</v>
      </c>
    </row>
    <row r="430" spans="1:25" x14ac:dyDescent="0.25">
      <c r="A430" t="s">
        <v>1280</v>
      </c>
      <c r="B430">
        <v>41945</v>
      </c>
      <c r="C430" t="str">
        <f t="shared" si="36"/>
        <v>2014</v>
      </c>
      <c r="D430" t="s">
        <v>1281</v>
      </c>
      <c r="E430" t="s">
        <v>1282</v>
      </c>
      <c r="F430" t="s">
        <v>257</v>
      </c>
      <c r="G430" t="s">
        <v>258</v>
      </c>
      <c r="H430" t="s">
        <v>241</v>
      </c>
      <c r="I430" t="s">
        <v>275</v>
      </c>
      <c r="J430" t="s">
        <v>243</v>
      </c>
      <c r="K430" t="s">
        <v>305</v>
      </c>
      <c r="L430" t="s">
        <v>245</v>
      </c>
      <c r="M430" t="s">
        <v>246</v>
      </c>
      <c r="N430" t="s">
        <v>247</v>
      </c>
      <c r="O430">
        <v>41947</v>
      </c>
      <c r="P430">
        <v>4.8899999999999997</v>
      </c>
      <c r="Q430">
        <v>7.64</v>
      </c>
      <c r="R430">
        <f t="shared" si="37"/>
        <v>2.75</v>
      </c>
      <c r="S430">
        <v>12</v>
      </c>
      <c r="T430">
        <f t="shared" si="38"/>
        <v>91.679999999999993</v>
      </c>
      <c r="U430">
        <v>0.02</v>
      </c>
      <c r="V430">
        <f t="shared" si="39"/>
        <v>1.8335999999999999</v>
      </c>
      <c r="W430">
        <f t="shared" si="40"/>
        <v>89.846399999999988</v>
      </c>
      <c r="X430">
        <v>1.39</v>
      </c>
      <c r="Y430">
        <f t="shared" si="41"/>
        <v>91.236399999999989</v>
      </c>
    </row>
    <row r="431" spans="1:25" x14ac:dyDescent="0.25">
      <c r="A431" t="s">
        <v>1283</v>
      </c>
      <c r="B431">
        <v>41946</v>
      </c>
      <c r="C431" t="str">
        <f t="shared" si="36"/>
        <v>2014</v>
      </c>
      <c r="D431" t="s">
        <v>1284</v>
      </c>
      <c r="E431" t="s">
        <v>1001</v>
      </c>
      <c r="F431" t="s">
        <v>239</v>
      </c>
      <c r="G431" t="s">
        <v>240</v>
      </c>
      <c r="H431" t="s">
        <v>274</v>
      </c>
      <c r="I431" t="s">
        <v>251</v>
      </c>
      <c r="J431" t="s">
        <v>279</v>
      </c>
      <c r="K431" t="s">
        <v>360</v>
      </c>
      <c r="L431" t="s">
        <v>245</v>
      </c>
      <c r="M431" t="s">
        <v>253</v>
      </c>
      <c r="N431" t="s">
        <v>247</v>
      </c>
      <c r="O431">
        <v>41950</v>
      </c>
      <c r="P431">
        <v>2.52</v>
      </c>
      <c r="Q431">
        <v>4</v>
      </c>
      <c r="R431">
        <f t="shared" si="37"/>
        <v>1.48</v>
      </c>
      <c r="S431">
        <v>32</v>
      </c>
      <c r="T431">
        <f t="shared" si="38"/>
        <v>128</v>
      </c>
      <c r="U431">
        <v>0.09</v>
      </c>
      <c r="V431">
        <f t="shared" si="39"/>
        <v>11.52</v>
      </c>
      <c r="W431">
        <f t="shared" si="40"/>
        <v>116.48</v>
      </c>
      <c r="X431">
        <v>1.3</v>
      </c>
      <c r="Y431">
        <f t="shared" si="41"/>
        <v>117.78</v>
      </c>
    </row>
    <row r="432" spans="1:25" x14ac:dyDescent="0.25">
      <c r="A432" t="s">
        <v>1285</v>
      </c>
      <c r="B432">
        <v>41946</v>
      </c>
      <c r="C432" t="str">
        <f t="shared" si="36"/>
        <v>2014</v>
      </c>
      <c r="D432" t="s">
        <v>1286</v>
      </c>
      <c r="E432" t="s">
        <v>1220</v>
      </c>
      <c r="F432" t="s">
        <v>257</v>
      </c>
      <c r="G432" t="s">
        <v>258</v>
      </c>
      <c r="H432" t="s">
        <v>274</v>
      </c>
      <c r="I432" t="s">
        <v>492</v>
      </c>
      <c r="J432" t="s">
        <v>304</v>
      </c>
      <c r="K432" t="s">
        <v>598</v>
      </c>
      <c r="L432" t="s">
        <v>268</v>
      </c>
      <c r="M432" t="s">
        <v>246</v>
      </c>
      <c r="N432" t="s">
        <v>247</v>
      </c>
      <c r="O432">
        <v>41947</v>
      </c>
      <c r="P432">
        <v>6.51</v>
      </c>
      <c r="Q432">
        <v>30.98</v>
      </c>
      <c r="R432">
        <f t="shared" si="37"/>
        <v>24.47</v>
      </c>
      <c r="S432">
        <v>12</v>
      </c>
      <c r="T432">
        <f t="shared" si="38"/>
        <v>371.76</v>
      </c>
      <c r="U432">
        <v>0</v>
      </c>
      <c r="V432">
        <f t="shared" si="39"/>
        <v>0</v>
      </c>
      <c r="W432">
        <f t="shared" si="40"/>
        <v>371.76</v>
      </c>
      <c r="X432">
        <v>6.5</v>
      </c>
      <c r="Y432">
        <f t="shared" si="41"/>
        <v>378.26</v>
      </c>
    </row>
    <row r="433" spans="1:25" x14ac:dyDescent="0.25">
      <c r="A433" t="s">
        <v>1287</v>
      </c>
      <c r="B433">
        <v>41950</v>
      </c>
      <c r="C433" t="str">
        <f t="shared" si="36"/>
        <v>2014</v>
      </c>
      <c r="D433" t="s">
        <v>1053</v>
      </c>
      <c r="E433" t="s">
        <v>1054</v>
      </c>
      <c r="F433" t="s">
        <v>448</v>
      </c>
      <c r="G433" t="s">
        <v>449</v>
      </c>
      <c r="H433" t="s">
        <v>259</v>
      </c>
      <c r="I433" t="s">
        <v>299</v>
      </c>
      <c r="J433" t="s">
        <v>304</v>
      </c>
      <c r="K433" t="s">
        <v>939</v>
      </c>
      <c r="L433" t="s">
        <v>268</v>
      </c>
      <c r="M433" t="s">
        <v>647</v>
      </c>
      <c r="N433" t="s">
        <v>263</v>
      </c>
      <c r="O433">
        <v>41952</v>
      </c>
      <c r="P433">
        <v>377.99</v>
      </c>
      <c r="Q433">
        <v>599.99</v>
      </c>
      <c r="R433">
        <f t="shared" si="37"/>
        <v>222</v>
      </c>
      <c r="S433">
        <v>41</v>
      </c>
      <c r="T433">
        <f t="shared" si="38"/>
        <v>24599.59</v>
      </c>
      <c r="U433">
        <v>7.0000000000000007E-2</v>
      </c>
      <c r="V433">
        <f t="shared" si="39"/>
        <v>1721.9713000000002</v>
      </c>
      <c r="W433">
        <f t="shared" si="40"/>
        <v>22877.618699999999</v>
      </c>
      <c r="X433">
        <v>24.49</v>
      </c>
      <c r="Y433">
        <f t="shared" si="41"/>
        <v>22902.108700000001</v>
      </c>
    </row>
    <row r="434" spans="1:25" x14ac:dyDescent="0.25">
      <c r="A434" t="s">
        <v>1288</v>
      </c>
      <c r="B434">
        <v>41953</v>
      </c>
      <c r="C434" t="str">
        <f t="shared" si="36"/>
        <v>2014</v>
      </c>
      <c r="D434" t="s">
        <v>1289</v>
      </c>
      <c r="E434" t="s">
        <v>1290</v>
      </c>
      <c r="F434" t="s">
        <v>257</v>
      </c>
      <c r="G434" t="s">
        <v>258</v>
      </c>
      <c r="H434" t="s">
        <v>241</v>
      </c>
      <c r="I434" t="s">
        <v>260</v>
      </c>
      <c r="J434" t="s">
        <v>243</v>
      </c>
      <c r="K434" t="s">
        <v>939</v>
      </c>
      <c r="L434" t="s">
        <v>268</v>
      </c>
      <c r="M434" t="s">
        <v>647</v>
      </c>
      <c r="N434" t="s">
        <v>247</v>
      </c>
      <c r="O434">
        <v>41955</v>
      </c>
      <c r="P434">
        <v>377.99</v>
      </c>
      <c r="Q434">
        <v>599.99</v>
      </c>
      <c r="R434">
        <f t="shared" si="37"/>
        <v>222</v>
      </c>
      <c r="S434">
        <v>20</v>
      </c>
      <c r="T434">
        <f t="shared" si="38"/>
        <v>11999.8</v>
      </c>
      <c r="U434">
        <v>7.0000000000000007E-2</v>
      </c>
      <c r="V434">
        <f t="shared" si="39"/>
        <v>839.98599999999999</v>
      </c>
      <c r="W434">
        <f t="shared" si="40"/>
        <v>11159.813999999998</v>
      </c>
      <c r="X434">
        <v>24.49</v>
      </c>
      <c r="Y434">
        <f t="shared" si="41"/>
        <v>11184.303999999998</v>
      </c>
    </row>
    <row r="435" spans="1:25" x14ac:dyDescent="0.25">
      <c r="A435" t="s">
        <v>1291</v>
      </c>
      <c r="B435">
        <v>41954</v>
      </c>
      <c r="C435" t="str">
        <f t="shared" si="36"/>
        <v>2014</v>
      </c>
      <c r="D435" t="s">
        <v>1292</v>
      </c>
      <c r="E435" t="s">
        <v>238</v>
      </c>
      <c r="F435" t="s">
        <v>239</v>
      </c>
      <c r="G435" t="s">
        <v>240</v>
      </c>
      <c r="H435" t="s">
        <v>241</v>
      </c>
      <c r="I435" t="s">
        <v>242</v>
      </c>
      <c r="J435" t="s">
        <v>261</v>
      </c>
      <c r="K435" t="s">
        <v>1293</v>
      </c>
      <c r="L435" t="s">
        <v>245</v>
      </c>
      <c r="M435" t="s">
        <v>253</v>
      </c>
      <c r="N435" t="s">
        <v>247</v>
      </c>
      <c r="O435">
        <v>41955</v>
      </c>
      <c r="P435">
        <v>0.94</v>
      </c>
      <c r="Q435">
        <v>1.88</v>
      </c>
      <c r="R435">
        <f t="shared" si="37"/>
        <v>0.94</v>
      </c>
      <c r="S435">
        <v>36</v>
      </c>
      <c r="T435">
        <f t="shared" si="38"/>
        <v>67.679999999999993</v>
      </c>
      <c r="U435">
        <v>0.1</v>
      </c>
      <c r="V435">
        <f t="shared" si="39"/>
        <v>6.7679999999999998</v>
      </c>
      <c r="W435">
        <f t="shared" si="40"/>
        <v>60.911999999999992</v>
      </c>
      <c r="X435">
        <v>0.79</v>
      </c>
      <c r="Y435">
        <f t="shared" si="41"/>
        <v>61.701999999999991</v>
      </c>
    </row>
    <row r="436" spans="1:25" x14ac:dyDescent="0.25">
      <c r="A436" t="s">
        <v>1294</v>
      </c>
      <c r="B436">
        <v>41959</v>
      </c>
      <c r="C436" t="str">
        <f t="shared" si="36"/>
        <v>2014</v>
      </c>
      <c r="D436" t="s">
        <v>1149</v>
      </c>
      <c r="E436" t="s">
        <v>1150</v>
      </c>
      <c r="F436" t="s">
        <v>448</v>
      </c>
      <c r="G436" t="s">
        <v>449</v>
      </c>
      <c r="H436" t="s">
        <v>274</v>
      </c>
      <c r="I436" t="s">
        <v>284</v>
      </c>
      <c r="J436" t="s">
        <v>294</v>
      </c>
      <c r="K436" t="s">
        <v>761</v>
      </c>
      <c r="L436" t="s">
        <v>268</v>
      </c>
      <c r="M436" t="s">
        <v>246</v>
      </c>
      <c r="N436" t="s">
        <v>247</v>
      </c>
      <c r="O436">
        <v>41961</v>
      </c>
      <c r="P436">
        <v>62.4</v>
      </c>
      <c r="Q436">
        <v>155.99</v>
      </c>
      <c r="R436">
        <f t="shared" si="37"/>
        <v>93.59</v>
      </c>
      <c r="S436">
        <v>6</v>
      </c>
      <c r="T436">
        <f t="shared" si="38"/>
        <v>935.94</v>
      </c>
      <c r="U436">
        <v>0.02</v>
      </c>
      <c r="V436">
        <f t="shared" si="39"/>
        <v>18.718800000000002</v>
      </c>
      <c r="W436">
        <f t="shared" si="40"/>
        <v>917.22120000000007</v>
      </c>
      <c r="X436">
        <v>8.08</v>
      </c>
      <c r="Y436">
        <f t="shared" si="41"/>
        <v>925.30120000000011</v>
      </c>
    </row>
    <row r="437" spans="1:25" x14ac:dyDescent="0.25">
      <c r="A437" t="s">
        <v>1295</v>
      </c>
      <c r="B437">
        <v>41959</v>
      </c>
      <c r="C437" t="str">
        <f t="shared" si="36"/>
        <v>2014</v>
      </c>
      <c r="D437" t="s">
        <v>1296</v>
      </c>
      <c r="E437" t="s">
        <v>1178</v>
      </c>
      <c r="F437" t="s">
        <v>257</v>
      </c>
      <c r="G437" t="s">
        <v>258</v>
      </c>
      <c r="H437" t="s">
        <v>274</v>
      </c>
      <c r="I437" t="s">
        <v>504</v>
      </c>
      <c r="J437" t="s">
        <v>279</v>
      </c>
      <c r="K437" t="s">
        <v>607</v>
      </c>
      <c r="L437" t="s">
        <v>245</v>
      </c>
      <c r="M437" t="s">
        <v>246</v>
      </c>
      <c r="N437" t="s">
        <v>247</v>
      </c>
      <c r="O437">
        <v>41964</v>
      </c>
      <c r="P437">
        <v>4.46</v>
      </c>
      <c r="Q437">
        <v>10.89</v>
      </c>
      <c r="R437">
        <f t="shared" si="37"/>
        <v>6.4300000000000006</v>
      </c>
      <c r="S437">
        <v>8</v>
      </c>
      <c r="T437">
        <f t="shared" si="38"/>
        <v>87.12</v>
      </c>
      <c r="U437">
        <v>0.09</v>
      </c>
      <c r="V437">
        <f t="shared" si="39"/>
        <v>7.8407999999999998</v>
      </c>
      <c r="W437">
        <f t="shared" si="40"/>
        <v>79.279200000000003</v>
      </c>
      <c r="X437">
        <v>4.5</v>
      </c>
      <c r="Y437">
        <f t="shared" si="41"/>
        <v>83.779200000000003</v>
      </c>
    </row>
    <row r="438" spans="1:25" x14ac:dyDescent="0.25">
      <c r="A438" t="s">
        <v>1297</v>
      </c>
      <c r="B438">
        <v>41960</v>
      </c>
      <c r="C438" t="str">
        <f t="shared" si="36"/>
        <v>2014</v>
      </c>
      <c r="D438" t="s">
        <v>297</v>
      </c>
      <c r="E438" t="s">
        <v>298</v>
      </c>
      <c r="F438" t="s">
        <v>257</v>
      </c>
      <c r="G438" t="s">
        <v>258</v>
      </c>
      <c r="H438" t="s">
        <v>259</v>
      </c>
      <c r="I438" t="s">
        <v>299</v>
      </c>
      <c r="J438" t="s">
        <v>243</v>
      </c>
      <c r="K438" t="s">
        <v>656</v>
      </c>
      <c r="L438" t="s">
        <v>245</v>
      </c>
      <c r="M438" t="s">
        <v>253</v>
      </c>
      <c r="N438" t="s">
        <v>247</v>
      </c>
      <c r="O438">
        <v>41962</v>
      </c>
      <c r="P438">
        <v>0.93</v>
      </c>
      <c r="Q438">
        <v>1.48</v>
      </c>
      <c r="R438">
        <f t="shared" si="37"/>
        <v>0.54999999999999993</v>
      </c>
      <c r="S438">
        <v>28</v>
      </c>
      <c r="T438">
        <f t="shared" si="38"/>
        <v>41.44</v>
      </c>
      <c r="U438">
        <v>0.04</v>
      </c>
      <c r="V438">
        <f t="shared" si="39"/>
        <v>1.6576</v>
      </c>
      <c r="W438">
        <f t="shared" si="40"/>
        <v>39.782399999999996</v>
      </c>
      <c r="X438">
        <v>0.7</v>
      </c>
      <c r="Y438">
        <f t="shared" si="41"/>
        <v>40.482399999999998</v>
      </c>
    </row>
    <row r="439" spans="1:25" x14ac:dyDescent="0.25">
      <c r="A439" t="s">
        <v>1298</v>
      </c>
      <c r="B439">
        <v>41961</v>
      </c>
      <c r="C439" t="str">
        <f t="shared" si="36"/>
        <v>2014</v>
      </c>
      <c r="D439" t="s">
        <v>1236</v>
      </c>
      <c r="E439" t="s">
        <v>288</v>
      </c>
      <c r="F439" t="s">
        <v>257</v>
      </c>
      <c r="G439" t="s">
        <v>258</v>
      </c>
      <c r="H439" t="s">
        <v>259</v>
      </c>
      <c r="I439" t="s">
        <v>284</v>
      </c>
      <c r="J439" t="s">
        <v>261</v>
      </c>
      <c r="K439" t="s">
        <v>578</v>
      </c>
      <c r="L439" t="s">
        <v>245</v>
      </c>
      <c r="M439" t="s">
        <v>253</v>
      </c>
      <c r="N439" t="s">
        <v>247</v>
      </c>
      <c r="O439">
        <v>41963</v>
      </c>
      <c r="P439">
        <v>1.31</v>
      </c>
      <c r="Q439">
        <v>2.84</v>
      </c>
      <c r="R439">
        <f t="shared" si="37"/>
        <v>1.5299999999999998</v>
      </c>
      <c r="S439">
        <v>12</v>
      </c>
      <c r="T439">
        <f t="shared" si="38"/>
        <v>34.08</v>
      </c>
      <c r="U439">
        <v>0.1</v>
      </c>
      <c r="V439">
        <f t="shared" si="39"/>
        <v>3.4079999999999999</v>
      </c>
      <c r="W439">
        <f t="shared" si="40"/>
        <v>30.671999999999997</v>
      </c>
      <c r="X439">
        <v>0.93</v>
      </c>
      <c r="Y439">
        <f t="shared" si="41"/>
        <v>31.601999999999997</v>
      </c>
    </row>
    <row r="440" spans="1:25" x14ac:dyDescent="0.25">
      <c r="A440" t="s">
        <v>1299</v>
      </c>
      <c r="B440">
        <v>41962</v>
      </c>
      <c r="C440" t="str">
        <f t="shared" si="36"/>
        <v>2014</v>
      </c>
      <c r="D440" t="s">
        <v>1277</v>
      </c>
      <c r="E440" t="s">
        <v>438</v>
      </c>
      <c r="F440" t="s">
        <v>257</v>
      </c>
      <c r="G440" t="s">
        <v>258</v>
      </c>
      <c r="H440" t="s">
        <v>259</v>
      </c>
      <c r="I440" t="s">
        <v>309</v>
      </c>
      <c r="J440" t="s">
        <v>304</v>
      </c>
      <c r="K440" t="s">
        <v>659</v>
      </c>
      <c r="L440" t="s">
        <v>245</v>
      </c>
      <c r="M440" t="s">
        <v>246</v>
      </c>
      <c r="N440" t="s">
        <v>263</v>
      </c>
      <c r="O440">
        <v>41964</v>
      </c>
      <c r="P440">
        <v>67.73</v>
      </c>
      <c r="Q440">
        <v>165.2</v>
      </c>
      <c r="R440">
        <f t="shared" si="37"/>
        <v>97.469999999999985</v>
      </c>
      <c r="S440">
        <v>46</v>
      </c>
      <c r="T440">
        <f t="shared" si="38"/>
        <v>7599.2</v>
      </c>
      <c r="U440">
        <v>0.02</v>
      </c>
      <c r="V440">
        <f t="shared" si="39"/>
        <v>151.98400000000001</v>
      </c>
      <c r="W440">
        <f t="shared" si="40"/>
        <v>7447.2159999999994</v>
      </c>
      <c r="X440">
        <v>19.989999999999998</v>
      </c>
      <c r="Y440">
        <f t="shared" si="41"/>
        <v>7467.2059999999992</v>
      </c>
    </row>
    <row r="441" spans="1:25" x14ac:dyDescent="0.25">
      <c r="A441" t="s">
        <v>1300</v>
      </c>
      <c r="B441">
        <v>41964</v>
      </c>
      <c r="C441" t="str">
        <f t="shared" si="36"/>
        <v>2014</v>
      </c>
      <c r="D441" t="s">
        <v>640</v>
      </c>
      <c r="E441" t="s">
        <v>402</v>
      </c>
      <c r="F441" t="s">
        <v>257</v>
      </c>
      <c r="G441" t="s">
        <v>258</v>
      </c>
      <c r="H441" t="s">
        <v>241</v>
      </c>
      <c r="I441" t="s">
        <v>333</v>
      </c>
      <c r="J441" t="s">
        <v>304</v>
      </c>
      <c r="K441" t="s">
        <v>377</v>
      </c>
      <c r="L441" t="s">
        <v>268</v>
      </c>
      <c r="M441" t="s">
        <v>246</v>
      </c>
      <c r="N441" t="s">
        <v>247</v>
      </c>
      <c r="O441">
        <v>41966</v>
      </c>
      <c r="P441">
        <v>32.020000000000003</v>
      </c>
      <c r="Q441">
        <v>152.47999999999999</v>
      </c>
      <c r="R441">
        <f t="shared" si="37"/>
        <v>120.45999999999998</v>
      </c>
      <c r="S441">
        <v>29</v>
      </c>
      <c r="T441">
        <f t="shared" si="38"/>
        <v>4421.92</v>
      </c>
      <c r="U441">
        <v>0.09</v>
      </c>
      <c r="V441">
        <f t="shared" si="39"/>
        <v>397.97280000000001</v>
      </c>
      <c r="W441">
        <f t="shared" si="40"/>
        <v>4023.9472000000001</v>
      </c>
      <c r="X441">
        <v>4</v>
      </c>
      <c r="Y441">
        <f t="shared" si="41"/>
        <v>4027.9472000000001</v>
      </c>
    </row>
    <row r="442" spans="1:25" x14ac:dyDescent="0.25">
      <c r="A442" t="s">
        <v>1301</v>
      </c>
      <c r="B442">
        <v>41965</v>
      </c>
      <c r="C442" t="str">
        <f t="shared" si="36"/>
        <v>2014</v>
      </c>
      <c r="D442" t="s">
        <v>1302</v>
      </c>
      <c r="E442" t="s">
        <v>1303</v>
      </c>
      <c r="F442" t="s">
        <v>257</v>
      </c>
      <c r="G442" t="s">
        <v>258</v>
      </c>
      <c r="H442" t="s">
        <v>241</v>
      </c>
      <c r="I442" t="s">
        <v>260</v>
      </c>
      <c r="J442" t="s">
        <v>243</v>
      </c>
      <c r="K442" t="s">
        <v>421</v>
      </c>
      <c r="L442" t="s">
        <v>245</v>
      </c>
      <c r="M442" t="s">
        <v>246</v>
      </c>
      <c r="N442" t="s">
        <v>247</v>
      </c>
      <c r="O442">
        <v>41965</v>
      </c>
      <c r="P442">
        <v>13.88</v>
      </c>
      <c r="Q442">
        <v>22.38</v>
      </c>
      <c r="R442">
        <f t="shared" si="37"/>
        <v>8.4999999999999982</v>
      </c>
      <c r="S442">
        <v>10</v>
      </c>
      <c r="T442">
        <f t="shared" si="38"/>
        <v>223.79999999999998</v>
      </c>
      <c r="U442">
        <v>0.01</v>
      </c>
      <c r="V442">
        <f t="shared" si="39"/>
        <v>2.238</v>
      </c>
      <c r="W442">
        <f t="shared" si="40"/>
        <v>221.56199999999998</v>
      </c>
      <c r="X442">
        <v>15.1</v>
      </c>
      <c r="Y442">
        <f t="shared" si="41"/>
        <v>236.66199999999998</v>
      </c>
    </row>
    <row r="443" spans="1:25" x14ac:dyDescent="0.25">
      <c r="A443" t="s">
        <v>1304</v>
      </c>
      <c r="B443">
        <v>41965</v>
      </c>
      <c r="C443" t="str">
        <f t="shared" si="36"/>
        <v>2014</v>
      </c>
      <c r="D443" t="s">
        <v>858</v>
      </c>
      <c r="E443" t="s">
        <v>650</v>
      </c>
      <c r="F443" t="s">
        <v>257</v>
      </c>
      <c r="G443" t="s">
        <v>258</v>
      </c>
      <c r="H443" t="s">
        <v>274</v>
      </c>
      <c r="I443" t="s">
        <v>299</v>
      </c>
      <c r="J443" t="s">
        <v>261</v>
      </c>
      <c r="K443" t="s">
        <v>578</v>
      </c>
      <c r="L443" t="s">
        <v>245</v>
      </c>
      <c r="M443" t="s">
        <v>253</v>
      </c>
      <c r="N443" t="s">
        <v>247</v>
      </c>
      <c r="O443">
        <v>41967</v>
      </c>
      <c r="P443">
        <v>1.31</v>
      </c>
      <c r="Q443">
        <v>2.84</v>
      </c>
      <c r="R443">
        <f t="shared" si="37"/>
        <v>1.5299999999999998</v>
      </c>
      <c r="S443">
        <v>39</v>
      </c>
      <c r="T443">
        <f t="shared" si="38"/>
        <v>110.75999999999999</v>
      </c>
      <c r="U443">
        <v>0.05</v>
      </c>
      <c r="V443">
        <f t="shared" si="39"/>
        <v>5.5380000000000003</v>
      </c>
      <c r="W443">
        <f t="shared" si="40"/>
        <v>105.22199999999999</v>
      </c>
      <c r="X443">
        <v>0.93</v>
      </c>
      <c r="Y443">
        <f t="shared" si="41"/>
        <v>106.152</v>
      </c>
    </row>
    <row r="444" spans="1:25" x14ac:dyDescent="0.25">
      <c r="A444" t="s">
        <v>1305</v>
      </c>
      <c r="B444">
        <v>41966</v>
      </c>
      <c r="C444" t="str">
        <f t="shared" si="36"/>
        <v>2014</v>
      </c>
      <c r="D444" t="s">
        <v>1306</v>
      </c>
      <c r="E444" t="s">
        <v>1307</v>
      </c>
      <c r="F444" t="s">
        <v>257</v>
      </c>
      <c r="G444" t="s">
        <v>258</v>
      </c>
      <c r="H444" t="s">
        <v>293</v>
      </c>
      <c r="I444" t="s">
        <v>372</v>
      </c>
      <c r="J444" t="s">
        <v>261</v>
      </c>
      <c r="K444" t="s">
        <v>479</v>
      </c>
      <c r="L444" t="s">
        <v>245</v>
      </c>
      <c r="M444" t="s">
        <v>246</v>
      </c>
      <c r="N444" t="s">
        <v>263</v>
      </c>
      <c r="O444">
        <v>41969</v>
      </c>
      <c r="P444">
        <v>8.92</v>
      </c>
      <c r="Q444">
        <v>29.74</v>
      </c>
      <c r="R444">
        <f t="shared" si="37"/>
        <v>20.82</v>
      </c>
      <c r="S444">
        <v>34</v>
      </c>
      <c r="T444">
        <f t="shared" si="38"/>
        <v>1011.16</v>
      </c>
      <c r="U444">
        <v>0.09</v>
      </c>
      <c r="V444">
        <f t="shared" si="39"/>
        <v>91.00439999999999</v>
      </c>
      <c r="W444">
        <f t="shared" si="40"/>
        <v>920.15559999999994</v>
      </c>
      <c r="X444">
        <v>6.64</v>
      </c>
      <c r="Y444">
        <f t="shared" si="41"/>
        <v>926.79559999999992</v>
      </c>
    </row>
    <row r="445" spans="1:25" x14ac:dyDescent="0.25">
      <c r="A445" t="s">
        <v>1308</v>
      </c>
      <c r="B445">
        <v>41966</v>
      </c>
      <c r="C445" t="str">
        <f t="shared" si="36"/>
        <v>2014</v>
      </c>
      <c r="D445" t="s">
        <v>527</v>
      </c>
      <c r="E445" t="s">
        <v>528</v>
      </c>
      <c r="F445" t="s">
        <v>239</v>
      </c>
      <c r="G445" t="s">
        <v>240</v>
      </c>
      <c r="H445" t="s">
        <v>274</v>
      </c>
      <c r="I445" t="s">
        <v>251</v>
      </c>
      <c r="J445" t="s">
        <v>279</v>
      </c>
      <c r="K445" t="s">
        <v>594</v>
      </c>
      <c r="L445" t="s">
        <v>268</v>
      </c>
      <c r="M445" t="s">
        <v>269</v>
      </c>
      <c r="N445" t="s">
        <v>270</v>
      </c>
      <c r="O445">
        <v>41970</v>
      </c>
      <c r="P445">
        <v>278.99</v>
      </c>
      <c r="Q445">
        <v>449.99</v>
      </c>
      <c r="R445">
        <f t="shared" si="37"/>
        <v>171</v>
      </c>
      <c r="S445">
        <v>34</v>
      </c>
      <c r="T445">
        <f t="shared" si="38"/>
        <v>15299.66</v>
      </c>
      <c r="U445">
        <v>0.02</v>
      </c>
      <c r="V445">
        <f t="shared" si="39"/>
        <v>305.9932</v>
      </c>
      <c r="W445">
        <f t="shared" si="40"/>
        <v>14993.666799999999</v>
      </c>
      <c r="X445">
        <v>49</v>
      </c>
      <c r="Y445">
        <f t="shared" si="41"/>
        <v>15042.666799999999</v>
      </c>
    </row>
    <row r="446" spans="1:25" x14ac:dyDescent="0.25">
      <c r="A446" t="s">
        <v>1309</v>
      </c>
      <c r="B446">
        <v>41969</v>
      </c>
      <c r="C446" t="str">
        <f t="shared" si="36"/>
        <v>2014</v>
      </c>
      <c r="D446" t="s">
        <v>1310</v>
      </c>
      <c r="E446" t="s">
        <v>332</v>
      </c>
      <c r="F446" t="s">
        <v>257</v>
      </c>
      <c r="G446" t="s">
        <v>258</v>
      </c>
      <c r="H446" t="s">
        <v>259</v>
      </c>
      <c r="I446" t="s">
        <v>333</v>
      </c>
      <c r="J446" t="s">
        <v>243</v>
      </c>
      <c r="K446" t="s">
        <v>384</v>
      </c>
      <c r="L446" t="s">
        <v>268</v>
      </c>
      <c r="M446" t="s">
        <v>246</v>
      </c>
      <c r="N446" t="s">
        <v>247</v>
      </c>
      <c r="O446">
        <v>41971</v>
      </c>
      <c r="P446">
        <v>8.31</v>
      </c>
      <c r="Q446">
        <v>15.98</v>
      </c>
      <c r="R446">
        <f t="shared" si="37"/>
        <v>7.67</v>
      </c>
      <c r="S446">
        <v>5</v>
      </c>
      <c r="T446">
        <f t="shared" si="38"/>
        <v>79.900000000000006</v>
      </c>
      <c r="U446">
        <v>0.08</v>
      </c>
      <c r="V446">
        <f t="shared" si="39"/>
        <v>6.3920000000000003</v>
      </c>
      <c r="W446">
        <f t="shared" si="40"/>
        <v>73.50800000000001</v>
      </c>
      <c r="X446">
        <v>6.5</v>
      </c>
      <c r="Y446">
        <f t="shared" si="41"/>
        <v>80.00800000000001</v>
      </c>
    </row>
    <row r="447" spans="1:25" x14ac:dyDescent="0.25">
      <c r="A447" t="s">
        <v>1311</v>
      </c>
      <c r="B447">
        <v>41973</v>
      </c>
      <c r="C447" t="str">
        <f t="shared" si="36"/>
        <v>2014</v>
      </c>
      <c r="D447" t="s">
        <v>1312</v>
      </c>
      <c r="E447" t="s">
        <v>789</v>
      </c>
      <c r="F447" t="s">
        <v>257</v>
      </c>
      <c r="G447" t="s">
        <v>258</v>
      </c>
      <c r="H447" t="s">
        <v>241</v>
      </c>
      <c r="I447" t="s">
        <v>309</v>
      </c>
      <c r="J447" t="s">
        <v>243</v>
      </c>
      <c r="K447" t="s">
        <v>698</v>
      </c>
      <c r="L447" t="s">
        <v>245</v>
      </c>
      <c r="M447" t="s">
        <v>253</v>
      </c>
      <c r="N447" t="s">
        <v>263</v>
      </c>
      <c r="O447">
        <v>41975</v>
      </c>
      <c r="P447">
        <v>3.32</v>
      </c>
      <c r="Q447">
        <v>5.18</v>
      </c>
      <c r="R447">
        <f t="shared" si="37"/>
        <v>1.8599999999999999</v>
      </c>
      <c r="S447">
        <v>9</v>
      </c>
      <c r="T447">
        <f t="shared" si="38"/>
        <v>46.62</v>
      </c>
      <c r="U447">
        <v>0.09</v>
      </c>
      <c r="V447">
        <f t="shared" si="39"/>
        <v>4.1957999999999993</v>
      </c>
      <c r="W447">
        <f t="shared" si="40"/>
        <v>42.424199999999999</v>
      </c>
      <c r="X447">
        <v>2.04</v>
      </c>
      <c r="Y447">
        <f t="shared" si="41"/>
        <v>44.464199999999998</v>
      </c>
    </row>
    <row r="448" spans="1:25" x14ac:dyDescent="0.25">
      <c r="A448" t="s">
        <v>1313</v>
      </c>
      <c r="B448">
        <v>41974</v>
      </c>
      <c r="C448" t="str">
        <f t="shared" si="36"/>
        <v>2014</v>
      </c>
      <c r="D448" t="s">
        <v>1053</v>
      </c>
      <c r="E448" t="s">
        <v>1054</v>
      </c>
      <c r="F448" t="s">
        <v>448</v>
      </c>
      <c r="G448" t="s">
        <v>449</v>
      </c>
      <c r="H448" t="s">
        <v>259</v>
      </c>
      <c r="I448" t="s">
        <v>299</v>
      </c>
      <c r="J448" t="s">
        <v>279</v>
      </c>
      <c r="K448" t="s">
        <v>614</v>
      </c>
      <c r="L448" t="s">
        <v>245</v>
      </c>
      <c r="M448" t="s">
        <v>253</v>
      </c>
      <c r="N448" t="s">
        <v>263</v>
      </c>
      <c r="O448">
        <v>41978</v>
      </c>
      <c r="P448">
        <v>1.95</v>
      </c>
      <c r="Q448">
        <v>3.98</v>
      </c>
      <c r="R448">
        <f t="shared" si="37"/>
        <v>2.0300000000000002</v>
      </c>
      <c r="S448">
        <v>4</v>
      </c>
      <c r="T448">
        <f t="shared" si="38"/>
        <v>15.92</v>
      </c>
      <c r="U448">
        <v>0.02</v>
      </c>
      <c r="V448">
        <f t="shared" si="39"/>
        <v>0.31840000000000002</v>
      </c>
      <c r="W448">
        <f t="shared" si="40"/>
        <v>15.601599999999999</v>
      </c>
      <c r="X448">
        <v>0.83</v>
      </c>
      <c r="Y448">
        <f t="shared" si="41"/>
        <v>16.4316</v>
      </c>
    </row>
    <row r="449" spans="1:25" x14ac:dyDescent="0.25">
      <c r="A449" t="s">
        <v>1314</v>
      </c>
      <c r="B449">
        <v>41974</v>
      </c>
      <c r="C449" t="str">
        <f t="shared" si="36"/>
        <v>2014</v>
      </c>
      <c r="D449" t="s">
        <v>611</v>
      </c>
      <c r="E449" t="s">
        <v>612</v>
      </c>
      <c r="F449" t="s">
        <v>239</v>
      </c>
      <c r="G449" t="s">
        <v>240</v>
      </c>
      <c r="H449" t="s">
        <v>293</v>
      </c>
      <c r="I449" t="s">
        <v>242</v>
      </c>
      <c r="J449" t="s">
        <v>279</v>
      </c>
      <c r="K449" t="s">
        <v>786</v>
      </c>
      <c r="L449" t="s">
        <v>245</v>
      </c>
      <c r="M449" t="s">
        <v>323</v>
      </c>
      <c r="N449" t="s">
        <v>247</v>
      </c>
      <c r="O449">
        <v>41981</v>
      </c>
      <c r="P449">
        <v>16.8</v>
      </c>
      <c r="Q449">
        <v>40.97</v>
      </c>
      <c r="R449">
        <f t="shared" si="37"/>
        <v>24.169999999999998</v>
      </c>
      <c r="S449">
        <v>47</v>
      </c>
      <c r="T449">
        <f t="shared" si="38"/>
        <v>1925.59</v>
      </c>
      <c r="U449">
        <v>0.04</v>
      </c>
      <c r="V449">
        <f t="shared" si="39"/>
        <v>77.023600000000002</v>
      </c>
      <c r="W449">
        <f t="shared" si="40"/>
        <v>1848.5663999999999</v>
      </c>
      <c r="X449">
        <v>8.99</v>
      </c>
      <c r="Y449">
        <f t="shared" si="41"/>
        <v>1857.5563999999999</v>
      </c>
    </row>
    <row r="450" spans="1:25" x14ac:dyDescent="0.25">
      <c r="A450" t="s">
        <v>1315</v>
      </c>
      <c r="B450">
        <v>41977</v>
      </c>
      <c r="C450" t="str">
        <f t="shared" si="36"/>
        <v>2014</v>
      </c>
      <c r="D450" t="s">
        <v>1316</v>
      </c>
      <c r="E450" t="s">
        <v>376</v>
      </c>
      <c r="F450" t="s">
        <v>239</v>
      </c>
      <c r="G450" t="s">
        <v>240</v>
      </c>
      <c r="H450" t="s">
        <v>241</v>
      </c>
      <c r="I450" t="s">
        <v>242</v>
      </c>
      <c r="J450" t="s">
        <v>304</v>
      </c>
      <c r="K450" t="s">
        <v>734</v>
      </c>
      <c r="L450" t="s">
        <v>245</v>
      </c>
      <c r="M450" t="s">
        <v>246</v>
      </c>
      <c r="N450" t="s">
        <v>247</v>
      </c>
      <c r="O450">
        <v>41978</v>
      </c>
      <c r="P450">
        <v>14.95</v>
      </c>
      <c r="Q450">
        <v>34.76</v>
      </c>
      <c r="R450">
        <f t="shared" si="37"/>
        <v>19.809999999999999</v>
      </c>
      <c r="S450">
        <v>8</v>
      </c>
      <c r="T450">
        <f t="shared" si="38"/>
        <v>278.08</v>
      </c>
      <c r="U450">
        <v>7.0000000000000007E-2</v>
      </c>
      <c r="V450">
        <f t="shared" si="39"/>
        <v>19.465600000000002</v>
      </c>
      <c r="W450">
        <f t="shared" si="40"/>
        <v>258.61439999999999</v>
      </c>
      <c r="X450">
        <v>8.2200000000000006</v>
      </c>
      <c r="Y450">
        <f t="shared" si="41"/>
        <v>266.83440000000002</v>
      </c>
    </row>
    <row r="451" spans="1:25" x14ac:dyDescent="0.25">
      <c r="A451" t="s">
        <v>1317</v>
      </c>
      <c r="B451">
        <v>41978</v>
      </c>
      <c r="C451" t="str">
        <f t="shared" si="36"/>
        <v>2014</v>
      </c>
      <c r="D451" t="s">
        <v>502</v>
      </c>
      <c r="E451" t="s">
        <v>503</v>
      </c>
      <c r="F451" t="s">
        <v>257</v>
      </c>
      <c r="G451" t="s">
        <v>258</v>
      </c>
      <c r="H451" t="s">
        <v>259</v>
      </c>
      <c r="I451" t="s">
        <v>504</v>
      </c>
      <c r="J451" t="s">
        <v>304</v>
      </c>
      <c r="K451" t="s">
        <v>472</v>
      </c>
      <c r="L451" t="s">
        <v>245</v>
      </c>
      <c r="M451" t="s">
        <v>246</v>
      </c>
      <c r="N451" t="s">
        <v>263</v>
      </c>
      <c r="O451">
        <v>41979</v>
      </c>
      <c r="P451">
        <v>2.25</v>
      </c>
      <c r="Q451">
        <v>3.69</v>
      </c>
      <c r="R451">
        <f t="shared" si="37"/>
        <v>1.44</v>
      </c>
      <c r="S451">
        <v>41</v>
      </c>
      <c r="T451">
        <f t="shared" si="38"/>
        <v>151.29</v>
      </c>
      <c r="U451">
        <v>0.08</v>
      </c>
      <c r="V451">
        <f t="shared" si="39"/>
        <v>12.103199999999999</v>
      </c>
      <c r="W451">
        <f t="shared" si="40"/>
        <v>139.18680000000001</v>
      </c>
      <c r="X451">
        <v>2.5</v>
      </c>
      <c r="Y451">
        <f t="shared" si="41"/>
        <v>141.68680000000001</v>
      </c>
    </row>
    <row r="452" spans="1:25" x14ac:dyDescent="0.25">
      <c r="A452" t="s">
        <v>1318</v>
      </c>
      <c r="B452">
        <v>41979</v>
      </c>
      <c r="C452" t="str">
        <f t="shared" si="36"/>
        <v>2014</v>
      </c>
      <c r="D452" t="s">
        <v>1319</v>
      </c>
      <c r="E452" t="s">
        <v>944</v>
      </c>
      <c r="F452" t="s">
        <v>257</v>
      </c>
      <c r="G452" t="s">
        <v>258</v>
      </c>
      <c r="H452" t="s">
        <v>274</v>
      </c>
      <c r="I452" t="s">
        <v>333</v>
      </c>
      <c r="J452" t="s">
        <v>294</v>
      </c>
      <c r="K452" t="s">
        <v>1142</v>
      </c>
      <c r="L452" t="s">
        <v>245</v>
      </c>
      <c r="M452" t="s">
        <v>246</v>
      </c>
      <c r="N452" t="s">
        <v>263</v>
      </c>
      <c r="O452">
        <v>41981</v>
      </c>
      <c r="P452">
        <v>1.82</v>
      </c>
      <c r="Q452">
        <v>2.84</v>
      </c>
      <c r="R452">
        <f t="shared" si="37"/>
        <v>1.0199999999999998</v>
      </c>
      <c r="S452">
        <v>21</v>
      </c>
      <c r="T452">
        <f t="shared" si="38"/>
        <v>59.64</v>
      </c>
      <c r="U452">
        <v>0.01</v>
      </c>
      <c r="V452">
        <f t="shared" si="39"/>
        <v>0.59640000000000004</v>
      </c>
      <c r="W452">
        <f t="shared" si="40"/>
        <v>59.043599999999998</v>
      </c>
      <c r="X452">
        <v>5.44</v>
      </c>
      <c r="Y452">
        <f t="shared" si="41"/>
        <v>64.483599999999996</v>
      </c>
    </row>
    <row r="453" spans="1:25" x14ac:dyDescent="0.25">
      <c r="A453" t="s">
        <v>1320</v>
      </c>
      <c r="B453">
        <v>41981</v>
      </c>
      <c r="C453" t="str">
        <f t="shared" si="36"/>
        <v>2014</v>
      </c>
      <c r="D453" t="s">
        <v>1321</v>
      </c>
      <c r="E453" t="s">
        <v>795</v>
      </c>
      <c r="F453" t="s">
        <v>257</v>
      </c>
      <c r="G453" t="s">
        <v>258</v>
      </c>
      <c r="H453" t="s">
        <v>293</v>
      </c>
      <c r="I453" t="s">
        <v>372</v>
      </c>
      <c r="J453" t="s">
        <v>243</v>
      </c>
      <c r="K453" t="s">
        <v>508</v>
      </c>
      <c r="L453" t="s">
        <v>245</v>
      </c>
      <c r="M453" t="s">
        <v>246</v>
      </c>
      <c r="N453" t="s">
        <v>247</v>
      </c>
      <c r="O453">
        <v>41983</v>
      </c>
      <c r="P453">
        <v>178.83</v>
      </c>
      <c r="Q453">
        <v>415.88</v>
      </c>
      <c r="R453">
        <f t="shared" si="37"/>
        <v>237.04999999999998</v>
      </c>
      <c r="S453">
        <v>4</v>
      </c>
      <c r="T453">
        <f t="shared" si="38"/>
        <v>1663.52</v>
      </c>
      <c r="U453">
        <v>0.03</v>
      </c>
      <c r="V453">
        <f t="shared" si="39"/>
        <v>49.9056</v>
      </c>
      <c r="W453">
        <f t="shared" si="40"/>
        <v>1613.6143999999999</v>
      </c>
      <c r="X453">
        <v>11.37</v>
      </c>
      <c r="Y453">
        <f t="shared" si="41"/>
        <v>1624.9843999999998</v>
      </c>
    </row>
    <row r="454" spans="1:25" x14ac:dyDescent="0.25">
      <c r="A454" t="s">
        <v>1322</v>
      </c>
      <c r="B454">
        <v>41982</v>
      </c>
      <c r="C454" t="str">
        <f t="shared" ref="C454:C517" si="42">TEXT(B454,"yyyy")</f>
        <v>2014</v>
      </c>
      <c r="D454" t="s">
        <v>1323</v>
      </c>
      <c r="E454" t="s">
        <v>552</v>
      </c>
      <c r="F454" t="s">
        <v>257</v>
      </c>
      <c r="G454" t="s">
        <v>258</v>
      </c>
      <c r="H454" t="s">
        <v>274</v>
      </c>
      <c r="I454" t="s">
        <v>284</v>
      </c>
      <c r="J454" t="s">
        <v>304</v>
      </c>
      <c r="K454" t="s">
        <v>475</v>
      </c>
      <c r="L454" t="s">
        <v>245</v>
      </c>
      <c r="M454" t="s">
        <v>246</v>
      </c>
      <c r="N454" t="s">
        <v>247</v>
      </c>
      <c r="O454">
        <v>41984</v>
      </c>
      <c r="P454">
        <v>12.39</v>
      </c>
      <c r="Q454">
        <v>19.98</v>
      </c>
      <c r="R454">
        <f t="shared" ref="R454:R517" si="43">Q454-P454</f>
        <v>7.59</v>
      </c>
      <c r="S454">
        <v>48</v>
      </c>
      <c r="T454">
        <f t="shared" ref="T454:T517" si="44">Q454*S454</f>
        <v>959.04</v>
      </c>
      <c r="U454">
        <v>0.01</v>
      </c>
      <c r="V454">
        <f t="shared" ref="V454:V517" si="45">T454*U454</f>
        <v>9.5904000000000007</v>
      </c>
      <c r="W454">
        <f t="shared" ref="W454:W517" si="46">T454-V454</f>
        <v>949.44959999999992</v>
      </c>
      <c r="X454">
        <v>5.77</v>
      </c>
      <c r="Y454">
        <f t="shared" ref="Y454:Y517" si="47">W454+X454</f>
        <v>955.2195999999999</v>
      </c>
    </row>
    <row r="455" spans="1:25" x14ac:dyDescent="0.25">
      <c r="A455" t="s">
        <v>1324</v>
      </c>
      <c r="B455">
        <v>41983</v>
      </c>
      <c r="C455" t="str">
        <f t="shared" si="42"/>
        <v>2014</v>
      </c>
      <c r="D455" t="s">
        <v>1219</v>
      </c>
      <c r="E455" t="s">
        <v>1220</v>
      </c>
      <c r="F455" t="s">
        <v>257</v>
      </c>
      <c r="G455" t="s">
        <v>258</v>
      </c>
      <c r="H455" t="s">
        <v>259</v>
      </c>
      <c r="I455" t="s">
        <v>275</v>
      </c>
      <c r="J455" t="s">
        <v>294</v>
      </c>
      <c r="K455" t="s">
        <v>963</v>
      </c>
      <c r="L455" t="s">
        <v>245</v>
      </c>
      <c r="M455" t="s">
        <v>323</v>
      </c>
      <c r="N455" t="s">
        <v>247</v>
      </c>
      <c r="O455">
        <v>41984</v>
      </c>
      <c r="P455">
        <v>4.1900000000000004</v>
      </c>
      <c r="Q455">
        <v>10.23</v>
      </c>
      <c r="R455">
        <f t="shared" si="43"/>
        <v>6.04</v>
      </c>
      <c r="S455">
        <v>46</v>
      </c>
      <c r="T455">
        <f t="shared" si="44"/>
        <v>470.58000000000004</v>
      </c>
      <c r="U455">
        <v>0.01</v>
      </c>
      <c r="V455">
        <f t="shared" si="45"/>
        <v>4.7058000000000009</v>
      </c>
      <c r="W455">
        <f t="shared" si="46"/>
        <v>465.87420000000003</v>
      </c>
      <c r="X455">
        <v>4.68</v>
      </c>
      <c r="Y455">
        <f t="shared" si="47"/>
        <v>470.55420000000004</v>
      </c>
    </row>
    <row r="456" spans="1:25" x14ac:dyDescent="0.25">
      <c r="A456" t="s">
        <v>1325</v>
      </c>
      <c r="B456">
        <v>41983</v>
      </c>
      <c r="C456" t="str">
        <f t="shared" si="42"/>
        <v>2014</v>
      </c>
      <c r="D456" t="s">
        <v>1326</v>
      </c>
      <c r="E456" t="s">
        <v>650</v>
      </c>
      <c r="F456" t="s">
        <v>257</v>
      </c>
      <c r="G456" t="s">
        <v>258</v>
      </c>
      <c r="H456" t="s">
        <v>259</v>
      </c>
      <c r="I456" t="s">
        <v>299</v>
      </c>
      <c r="J456" t="s">
        <v>279</v>
      </c>
      <c r="K456" t="s">
        <v>403</v>
      </c>
      <c r="L456" t="s">
        <v>268</v>
      </c>
      <c r="M456" t="s">
        <v>323</v>
      </c>
      <c r="N456" t="s">
        <v>247</v>
      </c>
      <c r="O456">
        <v>41985</v>
      </c>
      <c r="P456">
        <v>1.87</v>
      </c>
      <c r="Q456">
        <v>8.1199999999999992</v>
      </c>
      <c r="R456">
        <f t="shared" si="43"/>
        <v>6.2499999999999991</v>
      </c>
      <c r="S456">
        <v>11</v>
      </c>
      <c r="T456">
        <f t="shared" si="44"/>
        <v>89.32</v>
      </c>
      <c r="U456">
        <v>0.06</v>
      </c>
      <c r="V456">
        <f t="shared" si="45"/>
        <v>5.3591999999999995</v>
      </c>
      <c r="W456">
        <f t="shared" si="46"/>
        <v>83.960799999999992</v>
      </c>
      <c r="X456">
        <v>2.83</v>
      </c>
      <c r="Y456">
        <f t="shared" si="47"/>
        <v>86.79079999999999</v>
      </c>
    </row>
    <row r="457" spans="1:25" x14ac:dyDescent="0.25">
      <c r="A457" t="s">
        <v>1327</v>
      </c>
      <c r="B457">
        <v>41986</v>
      </c>
      <c r="C457" t="str">
        <f t="shared" si="42"/>
        <v>2014</v>
      </c>
      <c r="D457" t="s">
        <v>1023</v>
      </c>
      <c r="E457" t="s">
        <v>356</v>
      </c>
      <c r="F457" t="s">
        <v>239</v>
      </c>
      <c r="G457" t="s">
        <v>240</v>
      </c>
      <c r="H457" t="s">
        <v>259</v>
      </c>
      <c r="I457" t="s">
        <v>251</v>
      </c>
      <c r="J457" t="s">
        <v>243</v>
      </c>
      <c r="K457" t="s">
        <v>329</v>
      </c>
      <c r="L457" t="s">
        <v>245</v>
      </c>
      <c r="M457" t="s">
        <v>246</v>
      </c>
      <c r="N457" t="s">
        <v>247</v>
      </c>
      <c r="O457">
        <v>41988</v>
      </c>
      <c r="P457">
        <v>4.59</v>
      </c>
      <c r="Q457">
        <v>7.28</v>
      </c>
      <c r="R457">
        <f t="shared" si="43"/>
        <v>2.6900000000000004</v>
      </c>
      <c r="S457">
        <v>36</v>
      </c>
      <c r="T457">
        <f t="shared" si="44"/>
        <v>262.08</v>
      </c>
      <c r="U457">
        <v>0.05</v>
      </c>
      <c r="V457">
        <f t="shared" si="45"/>
        <v>13.103999999999999</v>
      </c>
      <c r="W457">
        <f t="shared" si="46"/>
        <v>248.976</v>
      </c>
      <c r="X457">
        <v>11.15</v>
      </c>
      <c r="Y457">
        <f t="shared" si="47"/>
        <v>260.12599999999998</v>
      </c>
    </row>
    <row r="458" spans="1:25" x14ac:dyDescent="0.25">
      <c r="A458" t="s">
        <v>1328</v>
      </c>
      <c r="B458">
        <v>41989</v>
      </c>
      <c r="C458" t="str">
        <f t="shared" si="42"/>
        <v>2014</v>
      </c>
      <c r="D458" t="s">
        <v>1329</v>
      </c>
      <c r="E458" t="s">
        <v>428</v>
      </c>
      <c r="F458" t="s">
        <v>257</v>
      </c>
      <c r="G458" t="s">
        <v>258</v>
      </c>
      <c r="H458" t="s">
        <v>259</v>
      </c>
      <c r="I458" t="s">
        <v>333</v>
      </c>
      <c r="J458" t="s">
        <v>304</v>
      </c>
      <c r="K458" t="s">
        <v>661</v>
      </c>
      <c r="L458" t="s">
        <v>245</v>
      </c>
      <c r="M458" t="s">
        <v>246</v>
      </c>
      <c r="N458" t="s">
        <v>247</v>
      </c>
      <c r="O458">
        <v>41991</v>
      </c>
      <c r="P458">
        <v>2.1800000000000002</v>
      </c>
      <c r="Q458">
        <v>3.52</v>
      </c>
      <c r="R458">
        <f t="shared" si="43"/>
        <v>1.3399999999999999</v>
      </c>
      <c r="S458">
        <v>23</v>
      </c>
      <c r="T458">
        <f t="shared" si="44"/>
        <v>80.959999999999994</v>
      </c>
      <c r="U458">
        <v>7.0000000000000007E-2</v>
      </c>
      <c r="V458">
        <f t="shared" si="45"/>
        <v>5.6672000000000002</v>
      </c>
      <c r="W458">
        <f t="shared" si="46"/>
        <v>75.2928</v>
      </c>
      <c r="X458">
        <v>6.83</v>
      </c>
      <c r="Y458">
        <f t="shared" si="47"/>
        <v>82.122799999999998</v>
      </c>
    </row>
    <row r="459" spans="1:25" x14ac:dyDescent="0.25">
      <c r="A459" t="s">
        <v>1330</v>
      </c>
      <c r="B459">
        <v>41995</v>
      </c>
      <c r="C459" t="str">
        <f t="shared" si="42"/>
        <v>2014</v>
      </c>
      <c r="D459" t="s">
        <v>1331</v>
      </c>
      <c r="E459" t="s">
        <v>332</v>
      </c>
      <c r="F459" t="s">
        <v>257</v>
      </c>
      <c r="G459" t="s">
        <v>258</v>
      </c>
      <c r="H459" t="s">
        <v>259</v>
      </c>
      <c r="I459" t="s">
        <v>333</v>
      </c>
      <c r="J459" t="s">
        <v>304</v>
      </c>
      <c r="K459" t="s">
        <v>1151</v>
      </c>
      <c r="L459" t="s">
        <v>245</v>
      </c>
      <c r="M459" t="s">
        <v>253</v>
      </c>
      <c r="N459" t="s">
        <v>247</v>
      </c>
      <c r="O459">
        <v>41996</v>
      </c>
      <c r="P459">
        <v>0.92</v>
      </c>
      <c r="Q459">
        <v>1.81</v>
      </c>
      <c r="R459">
        <f t="shared" si="43"/>
        <v>0.89</v>
      </c>
      <c r="S459">
        <v>48</v>
      </c>
      <c r="T459">
        <f t="shared" si="44"/>
        <v>86.88</v>
      </c>
      <c r="U459">
        <v>0.1</v>
      </c>
      <c r="V459">
        <f t="shared" si="45"/>
        <v>8.6880000000000006</v>
      </c>
      <c r="W459">
        <f t="shared" si="46"/>
        <v>78.191999999999993</v>
      </c>
      <c r="X459">
        <v>1.56</v>
      </c>
      <c r="Y459">
        <f t="shared" si="47"/>
        <v>79.751999999999995</v>
      </c>
    </row>
    <row r="460" spans="1:25" x14ac:dyDescent="0.25">
      <c r="A460" t="s">
        <v>1332</v>
      </c>
      <c r="B460">
        <v>41998</v>
      </c>
      <c r="C460" t="str">
        <f t="shared" si="42"/>
        <v>2014</v>
      </c>
      <c r="D460" t="s">
        <v>1040</v>
      </c>
      <c r="E460" t="s">
        <v>1041</v>
      </c>
      <c r="F460" t="s">
        <v>257</v>
      </c>
      <c r="G460" t="s">
        <v>258</v>
      </c>
      <c r="H460" t="s">
        <v>274</v>
      </c>
      <c r="I460" t="s">
        <v>372</v>
      </c>
      <c r="J460" t="s">
        <v>304</v>
      </c>
      <c r="K460" t="s">
        <v>594</v>
      </c>
      <c r="L460" t="s">
        <v>268</v>
      </c>
      <c r="M460" t="s">
        <v>647</v>
      </c>
      <c r="N460" t="s">
        <v>247</v>
      </c>
      <c r="O460">
        <v>42000</v>
      </c>
      <c r="P460">
        <v>216</v>
      </c>
      <c r="Q460">
        <v>449.99</v>
      </c>
      <c r="R460">
        <f t="shared" si="43"/>
        <v>233.99</v>
      </c>
      <c r="S460">
        <v>10</v>
      </c>
      <c r="T460">
        <f t="shared" si="44"/>
        <v>4499.8999999999996</v>
      </c>
      <c r="U460">
        <v>0.01</v>
      </c>
      <c r="V460">
        <f t="shared" si="45"/>
        <v>44.998999999999995</v>
      </c>
      <c r="W460">
        <f t="shared" si="46"/>
        <v>4454.9009999999998</v>
      </c>
      <c r="X460">
        <v>24.49</v>
      </c>
      <c r="Y460">
        <f t="shared" si="47"/>
        <v>4479.3909999999996</v>
      </c>
    </row>
    <row r="461" spans="1:25" x14ac:dyDescent="0.25">
      <c r="A461" t="s">
        <v>1333</v>
      </c>
      <c r="B461">
        <v>41999</v>
      </c>
      <c r="C461" t="str">
        <f t="shared" si="42"/>
        <v>2014</v>
      </c>
      <c r="D461" t="s">
        <v>1079</v>
      </c>
      <c r="E461" t="s">
        <v>1080</v>
      </c>
      <c r="F461" t="s">
        <v>239</v>
      </c>
      <c r="G461" t="s">
        <v>240</v>
      </c>
      <c r="H461" t="s">
        <v>274</v>
      </c>
      <c r="I461" t="s">
        <v>251</v>
      </c>
      <c r="J461" t="s">
        <v>243</v>
      </c>
      <c r="K461" t="s">
        <v>529</v>
      </c>
      <c r="L461" t="s">
        <v>245</v>
      </c>
      <c r="M461" t="s">
        <v>253</v>
      </c>
      <c r="N461" t="s">
        <v>247</v>
      </c>
      <c r="O461">
        <v>42002</v>
      </c>
      <c r="P461">
        <v>1.6</v>
      </c>
      <c r="Q461">
        <v>2.62</v>
      </c>
      <c r="R461">
        <f t="shared" si="43"/>
        <v>1.02</v>
      </c>
      <c r="S461">
        <v>37</v>
      </c>
      <c r="T461">
        <f t="shared" si="44"/>
        <v>96.94</v>
      </c>
      <c r="U461">
        <v>0.01</v>
      </c>
      <c r="V461">
        <f t="shared" si="45"/>
        <v>0.96940000000000004</v>
      </c>
      <c r="W461">
        <f t="shared" si="46"/>
        <v>95.970600000000005</v>
      </c>
      <c r="X461">
        <v>0.8</v>
      </c>
      <c r="Y461">
        <f t="shared" si="47"/>
        <v>96.770600000000002</v>
      </c>
    </row>
    <row r="462" spans="1:25" x14ac:dyDescent="0.25">
      <c r="A462" t="s">
        <v>1334</v>
      </c>
      <c r="B462">
        <v>41999</v>
      </c>
      <c r="C462" t="str">
        <f t="shared" si="42"/>
        <v>2014</v>
      </c>
      <c r="D462" t="s">
        <v>1335</v>
      </c>
      <c r="E462" t="s">
        <v>341</v>
      </c>
      <c r="F462" t="s">
        <v>257</v>
      </c>
      <c r="G462" t="s">
        <v>258</v>
      </c>
      <c r="H462" t="s">
        <v>293</v>
      </c>
      <c r="I462" t="s">
        <v>342</v>
      </c>
      <c r="J462" t="s">
        <v>243</v>
      </c>
      <c r="K462" t="s">
        <v>349</v>
      </c>
      <c r="L462" t="s">
        <v>245</v>
      </c>
      <c r="M462" t="s">
        <v>246</v>
      </c>
      <c r="N462" t="s">
        <v>247</v>
      </c>
      <c r="O462">
        <v>42002</v>
      </c>
      <c r="P462">
        <v>3.52</v>
      </c>
      <c r="Q462">
        <v>5.68</v>
      </c>
      <c r="R462">
        <f t="shared" si="43"/>
        <v>2.1599999999999997</v>
      </c>
      <c r="S462">
        <v>42</v>
      </c>
      <c r="T462">
        <f t="shared" si="44"/>
        <v>238.56</v>
      </c>
      <c r="U462">
        <v>0.05</v>
      </c>
      <c r="V462">
        <f t="shared" si="45"/>
        <v>11.928000000000001</v>
      </c>
      <c r="W462">
        <f t="shared" si="46"/>
        <v>226.63200000000001</v>
      </c>
      <c r="X462">
        <v>1.39</v>
      </c>
      <c r="Y462">
        <f t="shared" si="47"/>
        <v>228.02199999999999</v>
      </c>
    </row>
    <row r="463" spans="1:25" x14ac:dyDescent="0.25">
      <c r="A463" t="s">
        <v>1336</v>
      </c>
      <c r="B463">
        <v>42000</v>
      </c>
      <c r="C463" t="str">
        <f t="shared" si="42"/>
        <v>2014</v>
      </c>
      <c r="D463" t="s">
        <v>1337</v>
      </c>
      <c r="E463" t="s">
        <v>1338</v>
      </c>
      <c r="F463" t="s">
        <v>257</v>
      </c>
      <c r="G463" t="s">
        <v>258</v>
      </c>
      <c r="H463" t="s">
        <v>293</v>
      </c>
      <c r="I463" t="s">
        <v>372</v>
      </c>
      <c r="J463" t="s">
        <v>261</v>
      </c>
      <c r="K463" t="s">
        <v>368</v>
      </c>
      <c r="L463" t="s">
        <v>245</v>
      </c>
      <c r="M463" t="s">
        <v>246</v>
      </c>
      <c r="N463" t="s">
        <v>263</v>
      </c>
      <c r="O463">
        <v>42001</v>
      </c>
      <c r="P463">
        <v>1.59</v>
      </c>
      <c r="Q463">
        <v>2.61</v>
      </c>
      <c r="R463">
        <f t="shared" si="43"/>
        <v>1.0199999999999998</v>
      </c>
      <c r="S463">
        <v>37</v>
      </c>
      <c r="T463">
        <f t="shared" si="44"/>
        <v>96.57</v>
      </c>
      <c r="U463">
        <v>0.09</v>
      </c>
      <c r="V463">
        <f t="shared" si="45"/>
        <v>8.6912999999999982</v>
      </c>
      <c r="W463">
        <f t="shared" si="46"/>
        <v>87.878699999999995</v>
      </c>
      <c r="X463">
        <v>0.5</v>
      </c>
      <c r="Y463">
        <f t="shared" si="47"/>
        <v>88.378699999999995</v>
      </c>
    </row>
    <row r="464" spans="1:25" x14ac:dyDescent="0.25">
      <c r="A464" t="s">
        <v>1339</v>
      </c>
      <c r="B464">
        <v>42000</v>
      </c>
      <c r="C464" t="str">
        <f t="shared" si="42"/>
        <v>2014</v>
      </c>
      <c r="D464" t="s">
        <v>1340</v>
      </c>
      <c r="E464" t="s">
        <v>816</v>
      </c>
      <c r="F464" t="s">
        <v>257</v>
      </c>
      <c r="G464" t="s">
        <v>258</v>
      </c>
      <c r="H464" t="s">
        <v>293</v>
      </c>
      <c r="I464" t="s">
        <v>492</v>
      </c>
      <c r="J464" t="s">
        <v>243</v>
      </c>
      <c r="K464" t="s">
        <v>734</v>
      </c>
      <c r="L464" t="s">
        <v>245</v>
      </c>
      <c r="M464" t="s">
        <v>246</v>
      </c>
      <c r="N464" t="s">
        <v>247</v>
      </c>
      <c r="O464">
        <v>42000</v>
      </c>
      <c r="P464">
        <v>14.95</v>
      </c>
      <c r="Q464">
        <v>34.76</v>
      </c>
      <c r="R464">
        <f t="shared" si="43"/>
        <v>19.809999999999999</v>
      </c>
      <c r="S464">
        <v>10</v>
      </c>
      <c r="T464">
        <f t="shared" si="44"/>
        <v>347.59999999999997</v>
      </c>
      <c r="U464">
        <v>0.03</v>
      </c>
      <c r="V464">
        <f t="shared" si="45"/>
        <v>10.427999999999999</v>
      </c>
      <c r="W464">
        <f t="shared" si="46"/>
        <v>337.17199999999997</v>
      </c>
      <c r="X464">
        <v>8.2200000000000006</v>
      </c>
      <c r="Y464">
        <f t="shared" si="47"/>
        <v>345.392</v>
      </c>
    </row>
    <row r="465" spans="1:25" x14ac:dyDescent="0.25">
      <c r="A465" t="s">
        <v>1341</v>
      </c>
      <c r="B465">
        <v>42000</v>
      </c>
      <c r="C465" t="str">
        <f t="shared" si="42"/>
        <v>2014</v>
      </c>
      <c r="D465" t="s">
        <v>1340</v>
      </c>
      <c r="E465" t="s">
        <v>816</v>
      </c>
      <c r="F465" t="s">
        <v>257</v>
      </c>
      <c r="G465" t="s">
        <v>258</v>
      </c>
      <c r="H465" t="s">
        <v>293</v>
      </c>
      <c r="I465" t="s">
        <v>492</v>
      </c>
      <c r="J465" t="s">
        <v>243</v>
      </c>
      <c r="K465" t="s">
        <v>888</v>
      </c>
      <c r="L465" t="s">
        <v>245</v>
      </c>
      <c r="M465" t="s">
        <v>253</v>
      </c>
      <c r="N465" t="s">
        <v>247</v>
      </c>
      <c r="O465">
        <v>42002</v>
      </c>
      <c r="P465">
        <v>2.31</v>
      </c>
      <c r="Q465">
        <v>3.78</v>
      </c>
      <c r="R465">
        <f t="shared" si="43"/>
        <v>1.4699999999999998</v>
      </c>
      <c r="S465">
        <v>41</v>
      </c>
      <c r="T465">
        <f t="shared" si="44"/>
        <v>154.97999999999999</v>
      </c>
      <c r="U465">
        <v>0.02</v>
      </c>
      <c r="V465">
        <f t="shared" si="45"/>
        <v>3.0995999999999997</v>
      </c>
      <c r="W465">
        <f t="shared" si="46"/>
        <v>151.88039999999998</v>
      </c>
      <c r="X465">
        <v>0.71</v>
      </c>
      <c r="Y465">
        <f t="shared" si="47"/>
        <v>152.59039999999999</v>
      </c>
    </row>
    <row r="466" spans="1:25" x14ac:dyDescent="0.25">
      <c r="A466" t="s">
        <v>1342</v>
      </c>
      <c r="B466">
        <v>42001</v>
      </c>
      <c r="C466" t="str">
        <f t="shared" si="42"/>
        <v>2014</v>
      </c>
      <c r="D466" t="s">
        <v>1343</v>
      </c>
      <c r="E466" t="s">
        <v>288</v>
      </c>
      <c r="F466" t="s">
        <v>257</v>
      </c>
      <c r="G466" t="s">
        <v>258</v>
      </c>
      <c r="H466" t="s">
        <v>274</v>
      </c>
      <c r="I466" t="s">
        <v>284</v>
      </c>
      <c r="J466" t="s">
        <v>243</v>
      </c>
      <c r="K466" t="s">
        <v>1011</v>
      </c>
      <c r="L466" t="s">
        <v>245</v>
      </c>
      <c r="M466" t="s">
        <v>246</v>
      </c>
      <c r="N466" t="s">
        <v>247</v>
      </c>
      <c r="O466">
        <v>42003</v>
      </c>
      <c r="P466">
        <v>7.13</v>
      </c>
      <c r="Q466">
        <v>20.98</v>
      </c>
      <c r="R466">
        <f t="shared" si="43"/>
        <v>13.850000000000001</v>
      </c>
      <c r="S466">
        <v>47</v>
      </c>
      <c r="T466">
        <f t="shared" si="44"/>
        <v>986.06000000000006</v>
      </c>
      <c r="U466">
        <v>0.01</v>
      </c>
      <c r="V466">
        <f t="shared" si="45"/>
        <v>9.8606000000000016</v>
      </c>
      <c r="W466">
        <f t="shared" si="46"/>
        <v>976.19940000000008</v>
      </c>
      <c r="X466">
        <v>5.42</v>
      </c>
      <c r="Y466">
        <f t="shared" si="47"/>
        <v>981.61940000000004</v>
      </c>
    </row>
    <row r="467" spans="1:25" x14ac:dyDescent="0.25">
      <c r="A467" t="s">
        <v>1344</v>
      </c>
      <c r="B467">
        <v>42001</v>
      </c>
      <c r="C467" t="str">
        <f t="shared" si="42"/>
        <v>2014</v>
      </c>
      <c r="D467" t="s">
        <v>1345</v>
      </c>
      <c r="E467" t="s">
        <v>332</v>
      </c>
      <c r="F467" t="s">
        <v>257</v>
      </c>
      <c r="G467" t="s">
        <v>258</v>
      </c>
      <c r="H467" t="s">
        <v>259</v>
      </c>
      <c r="I467" t="s">
        <v>333</v>
      </c>
      <c r="J467" t="s">
        <v>294</v>
      </c>
      <c r="K467" t="s">
        <v>736</v>
      </c>
      <c r="L467" t="s">
        <v>245</v>
      </c>
      <c r="M467" t="s">
        <v>246</v>
      </c>
      <c r="N467" t="s">
        <v>247</v>
      </c>
      <c r="O467">
        <v>42001</v>
      </c>
      <c r="P467">
        <v>22.18</v>
      </c>
      <c r="Q467">
        <v>54.1</v>
      </c>
      <c r="R467">
        <f t="shared" si="43"/>
        <v>31.92</v>
      </c>
      <c r="S467">
        <v>5</v>
      </c>
      <c r="T467">
        <f t="shared" si="44"/>
        <v>270.5</v>
      </c>
      <c r="U467">
        <v>0.04</v>
      </c>
      <c r="V467">
        <f t="shared" si="45"/>
        <v>10.82</v>
      </c>
      <c r="W467">
        <f t="shared" si="46"/>
        <v>259.68</v>
      </c>
      <c r="X467">
        <v>19.989999999999998</v>
      </c>
      <c r="Y467">
        <f t="shared" si="47"/>
        <v>279.67</v>
      </c>
    </row>
    <row r="468" spans="1:25" x14ac:dyDescent="0.25">
      <c r="A468" t="s">
        <v>1346</v>
      </c>
      <c r="B468">
        <v>42003</v>
      </c>
      <c r="C468" t="str">
        <f t="shared" si="42"/>
        <v>2014</v>
      </c>
      <c r="D468" t="s">
        <v>1347</v>
      </c>
      <c r="E468" t="s">
        <v>1348</v>
      </c>
      <c r="F468" t="s">
        <v>257</v>
      </c>
      <c r="G468" t="s">
        <v>258</v>
      </c>
      <c r="H468" t="s">
        <v>293</v>
      </c>
      <c r="I468" t="s">
        <v>492</v>
      </c>
      <c r="J468" t="s">
        <v>294</v>
      </c>
      <c r="K468" t="s">
        <v>1142</v>
      </c>
      <c r="L468" t="s">
        <v>245</v>
      </c>
      <c r="M468" t="s">
        <v>246</v>
      </c>
      <c r="N468" t="s">
        <v>247</v>
      </c>
      <c r="O468">
        <v>42004</v>
      </c>
      <c r="P468">
        <v>1.82</v>
      </c>
      <c r="Q468">
        <v>2.84</v>
      </c>
      <c r="R468">
        <f t="shared" si="43"/>
        <v>1.0199999999999998</v>
      </c>
      <c r="S468">
        <v>27</v>
      </c>
      <c r="T468">
        <f t="shared" si="44"/>
        <v>76.679999999999993</v>
      </c>
      <c r="U468">
        <v>0.03</v>
      </c>
      <c r="V468">
        <f t="shared" si="45"/>
        <v>2.3003999999999998</v>
      </c>
      <c r="W468">
        <f t="shared" si="46"/>
        <v>74.379599999999996</v>
      </c>
      <c r="X468">
        <v>5.44</v>
      </c>
      <c r="Y468">
        <f t="shared" si="47"/>
        <v>79.819599999999994</v>
      </c>
    </row>
    <row r="469" spans="1:25" x14ac:dyDescent="0.25">
      <c r="A469" t="s">
        <v>1349</v>
      </c>
      <c r="B469">
        <v>42005</v>
      </c>
      <c r="C469" t="str">
        <f t="shared" si="42"/>
        <v>2015</v>
      </c>
      <c r="D469" t="s">
        <v>1350</v>
      </c>
      <c r="E469" t="s">
        <v>367</v>
      </c>
      <c r="F469" t="s">
        <v>239</v>
      </c>
      <c r="G469" t="s">
        <v>240</v>
      </c>
      <c r="H469" t="s">
        <v>293</v>
      </c>
      <c r="I469" t="s">
        <v>251</v>
      </c>
      <c r="J469" t="s">
        <v>294</v>
      </c>
      <c r="K469" t="s">
        <v>1351</v>
      </c>
      <c r="L469" t="s">
        <v>245</v>
      </c>
      <c r="M469" t="s">
        <v>323</v>
      </c>
      <c r="N469" t="s">
        <v>247</v>
      </c>
      <c r="O469">
        <v>42007</v>
      </c>
      <c r="P469">
        <v>2.87</v>
      </c>
      <c r="Q469">
        <v>6.84</v>
      </c>
      <c r="R469">
        <f t="shared" si="43"/>
        <v>3.9699999999999998</v>
      </c>
      <c r="S469">
        <v>35</v>
      </c>
      <c r="T469">
        <f t="shared" si="44"/>
        <v>239.4</v>
      </c>
      <c r="U469">
        <v>0.01</v>
      </c>
      <c r="V469">
        <f t="shared" si="45"/>
        <v>2.3940000000000001</v>
      </c>
      <c r="W469">
        <f t="shared" si="46"/>
        <v>237.006</v>
      </c>
      <c r="X469">
        <v>4.42</v>
      </c>
      <c r="Y469">
        <f t="shared" si="47"/>
        <v>241.42599999999999</v>
      </c>
    </row>
    <row r="470" spans="1:25" x14ac:dyDescent="0.25">
      <c r="A470" t="s">
        <v>1352</v>
      </c>
      <c r="B470">
        <v>42006</v>
      </c>
      <c r="C470" t="str">
        <f t="shared" si="42"/>
        <v>2015</v>
      </c>
      <c r="D470" t="s">
        <v>1353</v>
      </c>
      <c r="E470" t="s">
        <v>727</v>
      </c>
      <c r="F470" t="s">
        <v>257</v>
      </c>
      <c r="G470" t="s">
        <v>258</v>
      </c>
      <c r="H470" t="s">
        <v>259</v>
      </c>
      <c r="I470" t="s">
        <v>333</v>
      </c>
      <c r="J470" t="s">
        <v>279</v>
      </c>
      <c r="K470" t="s">
        <v>429</v>
      </c>
      <c r="L470" t="s">
        <v>268</v>
      </c>
      <c r="M470" t="s">
        <v>246</v>
      </c>
      <c r="N470" t="s">
        <v>247</v>
      </c>
      <c r="O470">
        <v>42008</v>
      </c>
      <c r="P470">
        <v>19.78</v>
      </c>
      <c r="Q470">
        <v>45.99</v>
      </c>
      <c r="R470">
        <f t="shared" si="43"/>
        <v>26.21</v>
      </c>
      <c r="S470">
        <v>50</v>
      </c>
      <c r="T470">
        <f t="shared" si="44"/>
        <v>2299.5</v>
      </c>
      <c r="U470">
        <v>0</v>
      </c>
      <c r="V470">
        <f t="shared" si="45"/>
        <v>0</v>
      </c>
      <c r="W470">
        <f t="shared" si="46"/>
        <v>2299.5</v>
      </c>
      <c r="X470">
        <v>4.99</v>
      </c>
      <c r="Y470">
        <f t="shared" si="47"/>
        <v>2304.4899999999998</v>
      </c>
    </row>
    <row r="471" spans="1:25" x14ac:dyDescent="0.25">
      <c r="A471" t="s">
        <v>1354</v>
      </c>
      <c r="B471">
        <v>42006</v>
      </c>
      <c r="C471" t="str">
        <f t="shared" si="42"/>
        <v>2015</v>
      </c>
      <c r="D471" t="s">
        <v>1355</v>
      </c>
      <c r="E471" t="s">
        <v>673</v>
      </c>
      <c r="F471" t="s">
        <v>257</v>
      </c>
      <c r="G471" t="s">
        <v>258</v>
      </c>
      <c r="H471" t="s">
        <v>241</v>
      </c>
      <c r="I471" t="s">
        <v>372</v>
      </c>
      <c r="J471" t="s">
        <v>304</v>
      </c>
      <c r="K471" t="s">
        <v>1356</v>
      </c>
      <c r="L471" t="s">
        <v>245</v>
      </c>
      <c r="M471" t="s">
        <v>253</v>
      </c>
      <c r="N471" t="s">
        <v>247</v>
      </c>
      <c r="O471">
        <v>42008</v>
      </c>
      <c r="P471">
        <v>2.68</v>
      </c>
      <c r="Q471">
        <v>6.08</v>
      </c>
      <c r="R471">
        <f t="shared" si="43"/>
        <v>3.4</v>
      </c>
      <c r="S471">
        <v>30</v>
      </c>
      <c r="T471">
        <f t="shared" si="44"/>
        <v>182.4</v>
      </c>
      <c r="U471">
        <v>0.04</v>
      </c>
      <c r="V471">
        <f t="shared" si="45"/>
        <v>7.2960000000000003</v>
      </c>
      <c r="W471">
        <f t="shared" si="46"/>
        <v>175.10400000000001</v>
      </c>
      <c r="X471">
        <v>1.17</v>
      </c>
      <c r="Y471">
        <f t="shared" si="47"/>
        <v>176.274</v>
      </c>
    </row>
    <row r="472" spans="1:25" x14ac:dyDescent="0.25">
      <c r="A472" t="s">
        <v>1357</v>
      </c>
      <c r="B472">
        <v>42011</v>
      </c>
      <c r="C472" t="str">
        <f t="shared" si="42"/>
        <v>2015</v>
      </c>
      <c r="D472" t="s">
        <v>1260</v>
      </c>
      <c r="E472" t="s">
        <v>1261</v>
      </c>
      <c r="F472" t="s">
        <v>239</v>
      </c>
      <c r="G472" t="s">
        <v>240</v>
      </c>
      <c r="H472" t="s">
        <v>259</v>
      </c>
      <c r="I472" t="s">
        <v>242</v>
      </c>
      <c r="J472" t="s">
        <v>304</v>
      </c>
      <c r="K472" t="s">
        <v>300</v>
      </c>
      <c r="L472" t="s">
        <v>245</v>
      </c>
      <c r="M472" t="s">
        <v>246</v>
      </c>
      <c r="N472" t="s">
        <v>247</v>
      </c>
      <c r="O472">
        <v>42013</v>
      </c>
      <c r="P472">
        <v>5.33</v>
      </c>
      <c r="Q472">
        <v>8.6</v>
      </c>
      <c r="R472">
        <f t="shared" si="43"/>
        <v>3.2699999999999996</v>
      </c>
      <c r="S472">
        <v>48</v>
      </c>
      <c r="T472">
        <f t="shared" si="44"/>
        <v>412.79999999999995</v>
      </c>
      <c r="U472">
        <v>0.02</v>
      </c>
      <c r="V472">
        <f t="shared" si="45"/>
        <v>8.2559999999999985</v>
      </c>
      <c r="W472">
        <f t="shared" si="46"/>
        <v>404.54399999999998</v>
      </c>
      <c r="X472">
        <v>6.19</v>
      </c>
      <c r="Y472">
        <f t="shared" si="47"/>
        <v>410.73399999999998</v>
      </c>
    </row>
    <row r="473" spans="1:25" x14ac:dyDescent="0.25">
      <c r="A473" t="s">
        <v>1358</v>
      </c>
      <c r="B473">
        <v>42011</v>
      </c>
      <c r="C473" t="str">
        <f t="shared" si="42"/>
        <v>2015</v>
      </c>
      <c r="D473" t="s">
        <v>711</v>
      </c>
      <c r="E473" t="s">
        <v>409</v>
      </c>
      <c r="F473" t="s">
        <v>257</v>
      </c>
      <c r="G473" t="s">
        <v>258</v>
      </c>
      <c r="H473" t="s">
        <v>274</v>
      </c>
      <c r="I473" t="s">
        <v>342</v>
      </c>
      <c r="J473" t="s">
        <v>294</v>
      </c>
      <c r="K473" t="s">
        <v>607</v>
      </c>
      <c r="L473" t="s">
        <v>245</v>
      </c>
      <c r="M473" t="s">
        <v>246</v>
      </c>
      <c r="N473" t="s">
        <v>263</v>
      </c>
      <c r="O473">
        <v>42013</v>
      </c>
      <c r="P473">
        <v>4.46</v>
      </c>
      <c r="Q473">
        <v>10.89</v>
      </c>
      <c r="R473">
        <f t="shared" si="43"/>
        <v>6.4300000000000006</v>
      </c>
      <c r="S473">
        <v>37</v>
      </c>
      <c r="T473">
        <f t="shared" si="44"/>
        <v>402.93</v>
      </c>
      <c r="U473">
        <v>0</v>
      </c>
      <c r="V473">
        <f t="shared" si="45"/>
        <v>0</v>
      </c>
      <c r="W473">
        <f t="shared" si="46"/>
        <v>402.93</v>
      </c>
      <c r="X473">
        <v>4.5</v>
      </c>
      <c r="Y473">
        <f t="shared" si="47"/>
        <v>407.43</v>
      </c>
    </row>
    <row r="474" spans="1:25" x14ac:dyDescent="0.25">
      <c r="A474" t="s">
        <v>1359</v>
      </c>
      <c r="B474">
        <v>42013</v>
      </c>
      <c r="C474" t="str">
        <f t="shared" si="42"/>
        <v>2015</v>
      </c>
      <c r="D474" t="s">
        <v>1360</v>
      </c>
      <c r="E474" t="s">
        <v>303</v>
      </c>
      <c r="F474" t="s">
        <v>239</v>
      </c>
      <c r="G474" t="s">
        <v>240</v>
      </c>
      <c r="H474" t="s">
        <v>274</v>
      </c>
      <c r="I474" t="s">
        <v>242</v>
      </c>
      <c r="J474" t="s">
        <v>243</v>
      </c>
      <c r="K474" t="s">
        <v>1051</v>
      </c>
      <c r="L474" t="s">
        <v>245</v>
      </c>
      <c r="M474" t="s">
        <v>253</v>
      </c>
      <c r="N474" t="s">
        <v>247</v>
      </c>
      <c r="O474">
        <v>42015</v>
      </c>
      <c r="P474">
        <v>0.87</v>
      </c>
      <c r="Q474">
        <v>1.81</v>
      </c>
      <c r="R474">
        <f t="shared" si="43"/>
        <v>0.94000000000000006</v>
      </c>
      <c r="S474">
        <v>9</v>
      </c>
      <c r="T474">
        <f t="shared" si="44"/>
        <v>16.29</v>
      </c>
      <c r="U474">
        <v>0.09</v>
      </c>
      <c r="V474">
        <f t="shared" si="45"/>
        <v>1.4661</v>
      </c>
      <c r="W474">
        <f t="shared" si="46"/>
        <v>14.823899999999998</v>
      </c>
      <c r="X474">
        <v>0.75</v>
      </c>
      <c r="Y474">
        <f t="shared" si="47"/>
        <v>15.573899999999998</v>
      </c>
    </row>
    <row r="475" spans="1:25" x14ac:dyDescent="0.25">
      <c r="A475" t="s">
        <v>1361</v>
      </c>
      <c r="B475">
        <v>42014</v>
      </c>
      <c r="C475" t="str">
        <f t="shared" si="42"/>
        <v>2015</v>
      </c>
      <c r="D475" t="s">
        <v>1362</v>
      </c>
      <c r="E475" t="s">
        <v>359</v>
      </c>
      <c r="F475" t="s">
        <v>239</v>
      </c>
      <c r="G475" t="s">
        <v>240</v>
      </c>
      <c r="H475" t="s">
        <v>241</v>
      </c>
      <c r="I475" t="s">
        <v>251</v>
      </c>
      <c r="J475" t="s">
        <v>304</v>
      </c>
      <c r="K475" t="s">
        <v>421</v>
      </c>
      <c r="L475" t="s">
        <v>245</v>
      </c>
      <c r="M475" t="s">
        <v>246</v>
      </c>
      <c r="N475" t="s">
        <v>247</v>
      </c>
      <c r="O475">
        <v>42016</v>
      </c>
      <c r="P475">
        <v>13.88</v>
      </c>
      <c r="Q475">
        <v>22.38</v>
      </c>
      <c r="R475">
        <f t="shared" si="43"/>
        <v>8.4999999999999982</v>
      </c>
      <c r="S475">
        <v>50</v>
      </c>
      <c r="T475">
        <f t="shared" si="44"/>
        <v>1119</v>
      </c>
      <c r="U475">
        <v>7.0000000000000007E-2</v>
      </c>
      <c r="V475">
        <f t="shared" si="45"/>
        <v>78.330000000000013</v>
      </c>
      <c r="W475">
        <f t="shared" si="46"/>
        <v>1040.67</v>
      </c>
      <c r="X475">
        <v>15.1</v>
      </c>
      <c r="Y475">
        <f t="shared" si="47"/>
        <v>1055.77</v>
      </c>
    </row>
    <row r="476" spans="1:25" x14ac:dyDescent="0.25">
      <c r="A476" t="s">
        <v>1363</v>
      </c>
      <c r="B476">
        <v>42014</v>
      </c>
      <c r="C476" t="str">
        <f t="shared" si="42"/>
        <v>2015</v>
      </c>
      <c r="D476" t="s">
        <v>484</v>
      </c>
      <c r="E476" t="s">
        <v>238</v>
      </c>
      <c r="F476" t="s">
        <v>239</v>
      </c>
      <c r="G476" t="s">
        <v>240</v>
      </c>
      <c r="H476" t="s">
        <v>274</v>
      </c>
      <c r="I476" t="s">
        <v>242</v>
      </c>
      <c r="J476" t="s">
        <v>279</v>
      </c>
      <c r="K476" t="s">
        <v>578</v>
      </c>
      <c r="L476" t="s">
        <v>245</v>
      </c>
      <c r="M476" t="s">
        <v>253</v>
      </c>
      <c r="N476" t="s">
        <v>247</v>
      </c>
      <c r="O476">
        <v>42014</v>
      </c>
      <c r="P476">
        <v>1.31</v>
      </c>
      <c r="Q476">
        <v>2.84</v>
      </c>
      <c r="R476">
        <f t="shared" si="43"/>
        <v>1.5299999999999998</v>
      </c>
      <c r="S476">
        <v>21</v>
      </c>
      <c r="T476">
        <f t="shared" si="44"/>
        <v>59.64</v>
      </c>
      <c r="U476">
        <v>0</v>
      </c>
      <c r="V476">
        <f t="shared" si="45"/>
        <v>0</v>
      </c>
      <c r="W476">
        <f t="shared" si="46"/>
        <v>59.64</v>
      </c>
      <c r="X476">
        <v>0.93</v>
      </c>
      <c r="Y476">
        <f t="shared" si="47"/>
        <v>60.57</v>
      </c>
    </row>
    <row r="477" spans="1:25" x14ac:dyDescent="0.25">
      <c r="A477" t="s">
        <v>1364</v>
      </c>
      <c r="B477">
        <v>42015</v>
      </c>
      <c r="C477" t="str">
        <f t="shared" si="42"/>
        <v>2015</v>
      </c>
      <c r="D477" t="s">
        <v>1365</v>
      </c>
      <c r="E477" t="s">
        <v>637</v>
      </c>
      <c r="F477" t="s">
        <v>239</v>
      </c>
      <c r="G477" t="s">
        <v>240</v>
      </c>
      <c r="H477" t="s">
        <v>259</v>
      </c>
      <c r="I477" t="s">
        <v>242</v>
      </c>
      <c r="J477" t="s">
        <v>294</v>
      </c>
      <c r="K477" t="s">
        <v>488</v>
      </c>
      <c r="L477" t="s">
        <v>268</v>
      </c>
      <c r="M477" t="s">
        <v>323</v>
      </c>
      <c r="N477" t="s">
        <v>247</v>
      </c>
      <c r="O477">
        <v>42016</v>
      </c>
      <c r="P477">
        <v>20.18</v>
      </c>
      <c r="Q477">
        <v>35.409999999999997</v>
      </c>
      <c r="R477">
        <f t="shared" si="43"/>
        <v>15.229999999999997</v>
      </c>
      <c r="S477">
        <v>1</v>
      </c>
      <c r="T477">
        <f t="shared" si="44"/>
        <v>35.409999999999997</v>
      </c>
      <c r="U477">
        <v>0</v>
      </c>
      <c r="V477">
        <f t="shared" si="45"/>
        <v>0</v>
      </c>
      <c r="W477">
        <f t="shared" si="46"/>
        <v>35.409999999999997</v>
      </c>
      <c r="X477">
        <v>1.99</v>
      </c>
      <c r="Y477">
        <f t="shared" si="47"/>
        <v>37.4</v>
      </c>
    </row>
    <row r="478" spans="1:25" x14ac:dyDescent="0.25">
      <c r="A478" t="s">
        <v>1366</v>
      </c>
      <c r="B478">
        <v>42015</v>
      </c>
      <c r="C478" t="str">
        <f t="shared" si="42"/>
        <v>2015</v>
      </c>
      <c r="D478" t="s">
        <v>993</v>
      </c>
      <c r="E478" t="s">
        <v>782</v>
      </c>
      <c r="F478" t="s">
        <v>257</v>
      </c>
      <c r="G478" t="s">
        <v>258</v>
      </c>
      <c r="H478" t="s">
        <v>241</v>
      </c>
      <c r="I478" t="s">
        <v>381</v>
      </c>
      <c r="J478" t="s">
        <v>294</v>
      </c>
      <c r="K478" t="s">
        <v>276</v>
      </c>
      <c r="L478" t="s">
        <v>245</v>
      </c>
      <c r="M478" t="s">
        <v>253</v>
      </c>
      <c r="N478" t="s">
        <v>247</v>
      </c>
      <c r="O478">
        <v>42017</v>
      </c>
      <c r="P478">
        <v>0.9</v>
      </c>
      <c r="Q478">
        <v>2.1</v>
      </c>
      <c r="R478">
        <f t="shared" si="43"/>
        <v>1.2000000000000002</v>
      </c>
      <c r="S478">
        <v>23</v>
      </c>
      <c r="T478">
        <f t="shared" si="44"/>
        <v>48.300000000000004</v>
      </c>
      <c r="U478">
        <v>0.06</v>
      </c>
      <c r="V478">
        <f t="shared" si="45"/>
        <v>2.8980000000000001</v>
      </c>
      <c r="W478">
        <f t="shared" si="46"/>
        <v>45.402000000000001</v>
      </c>
      <c r="X478">
        <v>0.7</v>
      </c>
      <c r="Y478">
        <f t="shared" si="47"/>
        <v>46.102000000000004</v>
      </c>
    </row>
    <row r="479" spans="1:25" x14ac:dyDescent="0.25">
      <c r="A479" t="s">
        <v>1367</v>
      </c>
      <c r="B479">
        <v>42016</v>
      </c>
      <c r="C479" t="str">
        <f t="shared" si="42"/>
        <v>2015</v>
      </c>
      <c r="D479" t="s">
        <v>1368</v>
      </c>
      <c r="E479" t="s">
        <v>816</v>
      </c>
      <c r="F479" t="s">
        <v>257</v>
      </c>
      <c r="G479" t="s">
        <v>258</v>
      </c>
      <c r="H479" t="s">
        <v>259</v>
      </c>
      <c r="I479" t="s">
        <v>492</v>
      </c>
      <c r="J479" t="s">
        <v>294</v>
      </c>
      <c r="K479" t="s">
        <v>349</v>
      </c>
      <c r="L479" t="s">
        <v>245</v>
      </c>
      <c r="M479" t="s">
        <v>246</v>
      </c>
      <c r="N479" t="s">
        <v>247</v>
      </c>
      <c r="O479">
        <v>42018</v>
      </c>
      <c r="P479">
        <v>3.52</v>
      </c>
      <c r="Q479">
        <v>5.68</v>
      </c>
      <c r="R479">
        <f t="shared" si="43"/>
        <v>2.1599999999999997</v>
      </c>
      <c r="S479">
        <v>18</v>
      </c>
      <c r="T479">
        <f t="shared" si="44"/>
        <v>102.24</v>
      </c>
      <c r="U479">
        <v>0.06</v>
      </c>
      <c r="V479">
        <f t="shared" si="45"/>
        <v>6.1343999999999994</v>
      </c>
      <c r="W479">
        <f t="shared" si="46"/>
        <v>96.105599999999995</v>
      </c>
      <c r="X479">
        <v>1.39</v>
      </c>
      <c r="Y479">
        <f t="shared" si="47"/>
        <v>97.495599999999996</v>
      </c>
    </row>
    <row r="480" spans="1:25" x14ac:dyDescent="0.25">
      <c r="A480" t="s">
        <v>1369</v>
      </c>
      <c r="B480">
        <v>42016</v>
      </c>
      <c r="C480" t="str">
        <f t="shared" si="42"/>
        <v>2015</v>
      </c>
      <c r="D480" t="s">
        <v>427</v>
      </c>
      <c r="E480" t="s">
        <v>428</v>
      </c>
      <c r="F480" t="s">
        <v>257</v>
      </c>
      <c r="G480" t="s">
        <v>258</v>
      </c>
      <c r="H480" t="s">
        <v>274</v>
      </c>
      <c r="I480" t="s">
        <v>333</v>
      </c>
      <c r="J480" t="s">
        <v>261</v>
      </c>
      <c r="K480" t="s">
        <v>519</v>
      </c>
      <c r="L480" t="s">
        <v>245</v>
      </c>
      <c r="M480" t="s">
        <v>253</v>
      </c>
      <c r="N480" t="s">
        <v>247</v>
      </c>
      <c r="O480">
        <v>42017</v>
      </c>
      <c r="P480">
        <v>2.9</v>
      </c>
      <c r="Q480">
        <v>4.76</v>
      </c>
      <c r="R480">
        <f t="shared" si="43"/>
        <v>1.8599999999999999</v>
      </c>
      <c r="S480">
        <v>42</v>
      </c>
      <c r="T480">
        <f t="shared" si="44"/>
        <v>199.92</v>
      </c>
      <c r="U480">
        <v>7.0000000000000007E-2</v>
      </c>
      <c r="V480">
        <f t="shared" si="45"/>
        <v>13.994400000000001</v>
      </c>
      <c r="W480">
        <f t="shared" si="46"/>
        <v>185.92559999999997</v>
      </c>
      <c r="X480">
        <v>0.88</v>
      </c>
      <c r="Y480">
        <f t="shared" si="47"/>
        <v>186.80559999999997</v>
      </c>
    </row>
    <row r="481" spans="1:25" x14ac:dyDescent="0.25">
      <c r="A481" t="s">
        <v>1370</v>
      </c>
      <c r="B481">
        <v>42017</v>
      </c>
      <c r="C481" t="str">
        <f t="shared" si="42"/>
        <v>2015</v>
      </c>
      <c r="D481" t="s">
        <v>754</v>
      </c>
      <c r="E481" t="s">
        <v>316</v>
      </c>
      <c r="F481" t="s">
        <v>239</v>
      </c>
      <c r="G481" t="s">
        <v>240</v>
      </c>
      <c r="H481" t="s">
        <v>274</v>
      </c>
      <c r="I481" t="s">
        <v>242</v>
      </c>
      <c r="J481" t="s">
        <v>243</v>
      </c>
      <c r="K481" t="s">
        <v>1351</v>
      </c>
      <c r="L481" t="s">
        <v>245</v>
      </c>
      <c r="M481" t="s">
        <v>323</v>
      </c>
      <c r="N481" t="s">
        <v>247</v>
      </c>
      <c r="O481">
        <v>42018</v>
      </c>
      <c r="P481">
        <v>2.87</v>
      </c>
      <c r="Q481">
        <v>6.84</v>
      </c>
      <c r="R481">
        <f t="shared" si="43"/>
        <v>3.9699999999999998</v>
      </c>
      <c r="S481">
        <v>26</v>
      </c>
      <c r="T481">
        <f t="shared" si="44"/>
        <v>177.84</v>
      </c>
      <c r="U481">
        <v>0.08</v>
      </c>
      <c r="V481">
        <f t="shared" si="45"/>
        <v>14.2272</v>
      </c>
      <c r="W481">
        <f t="shared" si="46"/>
        <v>163.61279999999999</v>
      </c>
      <c r="X481">
        <v>4.42</v>
      </c>
      <c r="Y481">
        <f t="shared" si="47"/>
        <v>168.03279999999998</v>
      </c>
    </row>
    <row r="482" spans="1:25" x14ac:dyDescent="0.25">
      <c r="A482" t="s">
        <v>1371</v>
      </c>
      <c r="B482">
        <v>42017</v>
      </c>
      <c r="C482" t="str">
        <f t="shared" si="42"/>
        <v>2015</v>
      </c>
      <c r="D482" t="s">
        <v>1362</v>
      </c>
      <c r="E482" t="s">
        <v>359</v>
      </c>
      <c r="F482" t="s">
        <v>239</v>
      </c>
      <c r="G482" t="s">
        <v>240</v>
      </c>
      <c r="H482" t="s">
        <v>241</v>
      </c>
      <c r="I482" t="s">
        <v>251</v>
      </c>
      <c r="J482" t="s">
        <v>294</v>
      </c>
      <c r="K482" t="s">
        <v>276</v>
      </c>
      <c r="L482" t="s">
        <v>245</v>
      </c>
      <c r="M482" t="s">
        <v>253</v>
      </c>
      <c r="N482" t="s">
        <v>247</v>
      </c>
      <c r="O482">
        <v>42019</v>
      </c>
      <c r="P482">
        <v>0.9</v>
      </c>
      <c r="Q482">
        <v>2.1</v>
      </c>
      <c r="R482">
        <f t="shared" si="43"/>
        <v>1.2000000000000002</v>
      </c>
      <c r="S482">
        <v>34</v>
      </c>
      <c r="T482">
        <f t="shared" si="44"/>
        <v>71.400000000000006</v>
      </c>
      <c r="U482">
        <v>0.02</v>
      </c>
      <c r="V482">
        <f t="shared" si="45"/>
        <v>1.4280000000000002</v>
      </c>
      <c r="W482">
        <f t="shared" si="46"/>
        <v>69.972000000000008</v>
      </c>
      <c r="X482">
        <v>0.7</v>
      </c>
      <c r="Y482">
        <f t="shared" si="47"/>
        <v>70.672000000000011</v>
      </c>
    </row>
    <row r="483" spans="1:25" x14ac:dyDescent="0.25">
      <c r="A483" t="s">
        <v>1372</v>
      </c>
      <c r="B483">
        <v>42018</v>
      </c>
      <c r="C483" t="str">
        <f t="shared" si="42"/>
        <v>2015</v>
      </c>
      <c r="D483" t="s">
        <v>842</v>
      </c>
      <c r="E483" t="s">
        <v>292</v>
      </c>
      <c r="F483" t="s">
        <v>257</v>
      </c>
      <c r="G483" t="s">
        <v>258</v>
      </c>
      <c r="H483" t="s">
        <v>259</v>
      </c>
      <c r="I483" t="s">
        <v>260</v>
      </c>
      <c r="J483" t="s">
        <v>261</v>
      </c>
      <c r="K483" t="s">
        <v>421</v>
      </c>
      <c r="L483" t="s">
        <v>245</v>
      </c>
      <c r="M483" t="s">
        <v>246</v>
      </c>
      <c r="N483" t="s">
        <v>247</v>
      </c>
      <c r="O483">
        <v>42019</v>
      </c>
      <c r="P483">
        <v>13.88</v>
      </c>
      <c r="Q483">
        <v>22.38</v>
      </c>
      <c r="R483">
        <f t="shared" si="43"/>
        <v>8.4999999999999982</v>
      </c>
      <c r="S483">
        <v>39</v>
      </c>
      <c r="T483">
        <f t="shared" si="44"/>
        <v>872.81999999999994</v>
      </c>
      <c r="U483">
        <v>7.0000000000000007E-2</v>
      </c>
      <c r="V483">
        <f t="shared" si="45"/>
        <v>61.0974</v>
      </c>
      <c r="W483">
        <f t="shared" si="46"/>
        <v>811.72259999999994</v>
      </c>
      <c r="X483">
        <v>15.1</v>
      </c>
      <c r="Y483">
        <f t="shared" si="47"/>
        <v>826.82259999999997</v>
      </c>
    </row>
    <row r="484" spans="1:25" x14ac:dyDescent="0.25">
      <c r="A484" t="s">
        <v>1373</v>
      </c>
      <c r="B484">
        <v>42019</v>
      </c>
      <c r="C484" t="str">
        <f t="shared" si="42"/>
        <v>2015</v>
      </c>
      <c r="D484" t="s">
        <v>1374</v>
      </c>
      <c r="E484" t="s">
        <v>367</v>
      </c>
      <c r="F484" t="s">
        <v>239</v>
      </c>
      <c r="G484" t="s">
        <v>240</v>
      </c>
      <c r="H484" t="s">
        <v>259</v>
      </c>
      <c r="I484" t="s">
        <v>251</v>
      </c>
      <c r="J484" t="s">
        <v>261</v>
      </c>
      <c r="K484" t="s">
        <v>1119</v>
      </c>
      <c r="L484" t="s">
        <v>245</v>
      </c>
      <c r="M484" t="s">
        <v>246</v>
      </c>
      <c r="N484" t="s">
        <v>247</v>
      </c>
      <c r="O484">
        <v>42021</v>
      </c>
      <c r="P484">
        <v>1.84</v>
      </c>
      <c r="Q484">
        <v>2.88</v>
      </c>
      <c r="R484">
        <f t="shared" si="43"/>
        <v>1.0399999999999998</v>
      </c>
      <c r="S484">
        <v>27</v>
      </c>
      <c r="T484">
        <f t="shared" si="44"/>
        <v>77.759999999999991</v>
      </c>
      <c r="U484">
        <v>0.06</v>
      </c>
      <c r="V484">
        <f t="shared" si="45"/>
        <v>4.6655999999999995</v>
      </c>
      <c r="W484">
        <f t="shared" si="46"/>
        <v>73.094399999999993</v>
      </c>
      <c r="X484">
        <v>0.99</v>
      </c>
      <c r="Y484">
        <f t="shared" si="47"/>
        <v>74.084399999999988</v>
      </c>
    </row>
    <row r="485" spans="1:25" x14ac:dyDescent="0.25">
      <c r="A485" t="s">
        <v>1375</v>
      </c>
      <c r="B485">
        <v>42020</v>
      </c>
      <c r="C485" t="str">
        <f t="shared" si="42"/>
        <v>2015</v>
      </c>
      <c r="D485" t="s">
        <v>1159</v>
      </c>
      <c r="E485" t="s">
        <v>376</v>
      </c>
      <c r="F485" t="s">
        <v>239</v>
      </c>
      <c r="G485" t="s">
        <v>240</v>
      </c>
      <c r="H485" t="s">
        <v>259</v>
      </c>
      <c r="I485" t="s">
        <v>242</v>
      </c>
      <c r="J485" t="s">
        <v>243</v>
      </c>
      <c r="K485" t="s">
        <v>1025</v>
      </c>
      <c r="L485" t="s">
        <v>268</v>
      </c>
      <c r="M485" t="s">
        <v>269</v>
      </c>
      <c r="N485" t="s">
        <v>270</v>
      </c>
      <c r="O485">
        <v>42021</v>
      </c>
      <c r="P485">
        <v>315.61</v>
      </c>
      <c r="Q485">
        <v>500.97</v>
      </c>
      <c r="R485">
        <f t="shared" si="43"/>
        <v>185.36</v>
      </c>
      <c r="S485">
        <v>37</v>
      </c>
      <c r="T485">
        <f t="shared" si="44"/>
        <v>18535.89</v>
      </c>
      <c r="U485">
        <v>0</v>
      </c>
      <c r="V485">
        <f t="shared" si="45"/>
        <v>0</v>
      </c>
      <c r="W485">
        <f t="shared" si="46"/>
        <v>18535.89</v>
      </c>
      <c r="X485">
        <v>69.3</v>
      </c>
      <c r="Y485">
        <f t="shared" si="47"/>
        <v>18605.189999999999</v>
      </c>
    </row>
    <row r="486" spans="1:25" x14ac:dyDescent="0.25">
      <c r="A486" t="s">
        <v>1376</v>
      </c>
      <c r="B486">
        <v>42021</v>
      </c>
      <c r="C486" t="str">
        <f t="shared" si="42"/>
        <v>2015</v>
      </c>
      <c r="D486" t="s">
        <v>1377</v>
      </c>
      <c r="E486" t="s">
        <v>739</v>
      </c>
      <c r="F486" t="s">
        <v>257</v>
      </c>
      <c r="G486" t="s">
        <v>258</v>
      </c>
      <c r="H486" t="s">
        <v>241</v>
      </c>
      <c r="I486" t="s">
        <v>299</v>
      </c>
      <c r="J486" t="s">
        <v>304</v>
      </c>
      <c r="K486" t="s">
        <v>285</v>
      </c>
      <c r="L486" t="s">
        <v>245</v>
      </c>
      <c r="M486" t="s">
        <v>246</v>
      </c>
      <c r="N486" t="s">
        <v>263</v>
      </c>
      <c r="O486">
        <v>42023</v>
      </c>
      <c r="P486">
        <v>99.39</v>
      </c>
      <c r="Q486">
        <v>162.93</v>
      </c>
      <c r="R486">
        <f t="shared" si="43"/>
        <v>63.540000000000006</v>
      </c>
      <c r="S486">
        <v>48</v>
      </c>
      <c r="T486">
        <f t="shared" si="44"/>
        <v>7820.64</v>
      </c>
      <c r="U486">
        <v>0.04</v>
      </c>
      <c r="V486">
        <f t="shared" si="45"/>
        <v>312.82560000000001</v>
      </c>
      <c r="W486">
        <f t="shared" si="46"/>
        <v>7507.8144000000002</v>
      </c>
      <c r="X486">
        <v>19.989999999999998</v>
      </c>
      <c r="Y486">
        <f t="shared" si="47"/>
        <v>7527.8044</v>
      </c>
    </row>
    <row r="487" spans="1:25" x14ac:dyDescent="0.25">
      <c r="A487" t="s">
        <v>1378</v>
      </c>
      <c r="B487">
        <v>42024</v>
      </c>
      <c r="C487" t="str">
        <f t="shared" si="42"/>
        <v>2015</v>
      </c>
      <c r="D487" t="s">
        <v>882</v>
      </c>
      <c r="E487" t="s">
        <v>816</v>
      </c>
      <c r="F487" t="s">
        <v>257</v>
      </c>
      <c r="G487" t="s">
        <v>258</v>
      </c>
      <c r="H487" t="s">
        <v>274</v>
      </c>
      <c r="I487" t="s">
        <v>492</v>
      </c>
      <c r="J487" t="s">
        <v>294</v>
      </c>
      <c r="K487" t="s">
        <v>1266</v>
      </c>
      <c r="L487" t="s">
        <v>245</v>
      </c>
      <c r="M487" t="s">
        <v>253</v>
      </c>
      <c r="N487" t="s">
        <v>247</v>
      </c>
      <c r="O487">
        <v>42025</v>
      </c>
      <c r="P487">
        <v>4.4800000000000004</v>
      </c>
      <c r="Q487">
        <v>8.14</v>
      </c>
      <c r="R487">
        <f t="shared" si="43"/>
        <v>3.66</v>
      </c>
      <c r="S487">
        <v>23</v>
      </c>
      <c r="T487">
        <f t="shared" si="44"/>
        <v>187.22000000000003</v>
      </c>
      <c r="U487">
        <v>7.0000000000000007E-2</v>
      </c>
      <c r="V487">
        <f t="shared" si="45"/>
        <v>13.105400000000003</v>
      </c>
      <c r="W487">
        <f t="shared" si="46"/>
        <v>174.11460000000002</v>
      </c>
      <c r="X487">
        <v>3.12</v>
      </c>
      <c r="Y487">
        <f t="shared" si="47"/>
        <v>177.23460000000003</v>
      </c>
    </row>
    <row r="488" spans="1:25" x14ac:dyDescent="0.25">
      <c r="A488" t="s">
        <v>1379</v>
      </c>
      <c r="B488">
        <v>42024</v>
      </c>
      <c r="C488" t="str">
        <f t="shared" si="42"/>
        <v>2015</v>
      </c>
      <c r="D488" t="s">
        <v>882</v>
      </c>
      <c r="E488" t="s">
        <v>816</v>
      </c>
      <c r="F488" t="s">
        <v>257</v>
      </c>
      <c r="G488" t="s">
        <v>258</v>
      </c>
      <c r="H488" t="s">
        <v>274</v>
      </c>
      <c r="I488" t="s">
        <v>492</v>
      </c>
      <c r="J488" t="s">
        <v>294</v>
      </c>
      <c r="K488" t="s">
        <v>453</v>
      </c>
      <c r="L488" t="s">
        <v>245</v>
      </c>
      <c r="M488" t="s">
        <v>246</v>
      </c>
      <c r="N488" t="s">
        <v>247</v>
      </c>
      <c r="O488">
        <v>42025</v>
      </c>
      <c r="P488">
        <v>1.18</v>
      </c>
      <c r="Q488">
        <v>1.88</v>
      </c>
      <c r="R488">
        <f t="shared" si="43"/>
        <v>0.7</v>
      </c>
      <c r="S488">
        <v>33</v>
      </c>
      <c r="T488">
        <f t="shared" si="44"/>
        <v>62.04</v>
      </c>
      <c r="U488">
        <v>0.05</v>
      </c>
      <c r="V488">
        <f t="shared" si="45"/>
        <v>3.1020000000000003</v>
      </c>
      <c r="W488">
        <f t="shared" si="46"/>
        <v>58.938000000000002</v>
      </c>
      <c r="X488">
        <v>1.49</v>
      </c>
      <c r="Y488">
        <f t="shared" si="47"/>
        <v>60.428000000000004</v>
      </c>
    </row>
    <row r="489" spans="1:25" x14ac:dyDescent="0.25">
      <c r="A489" t="s">
        <v>1380</v>
      </c>
      <c r="B489">
        <v>42025</v>
      </c>
      <c r="C489" t="str">
        <f t="shared" si="42"/>
        <v>2015</v>
      </c>
      <c r="D489" t="s">
        <v>1381</v>
      </c>
      <c r="E489" t="s">
        <v>341</v>
      </c>
      <c r="F489" t="s">
        <v>257</v>
      </c>
      <c r="G489" t="s">
        <v>258</v>
      </c>
      <c r="H489" t="s">
        <v>293</v>
      </c>
      <c r="I489" t="s">
        <v>342</v>
      </c>
      <c r="J489" t="s">
        <v>243</v>
      </c>
      <c r="K489" t="s">
        <v>472</v>
      </c>
      <c r="L489" t="s">
        <v>245</v>
      </c>
      <c r="M489" t="s">
        <v>246</v>
      </c>
      <c r="N489" t="s">
        <v>247</v>
      </c>
      <c r="O489">
        <v>42027</v>
      </c>
      <c r="P489">
        <v>2.25</v>
      </c>
      <c r="Q489">
        <v>3.69</v>
      </c>
      <c r="R489">
        <f t="shared" si="43"/>
        <v>1.44</v>
      </c>
      <c r="S489">
        <v>13</v>
      </c>
      <c r="T489">
        <f t="shared" si="44"/>
        <v>47.97</v>
      </c>
      <c r="U489">
        <v>0.05</v>
      </c>
      <c r="V489">
        <f t="shared" si="45"/>
        <v>2.3985000000000003</v>
      </c>
      <c r="W489">
        <f t="shared" si="46"/>
        <v>45.5715</v>
      </c>
      <c r="X489">
        <v>2.5</v>
      </c>
      <c r="Y489">
        <f t="shared" si="47"/>
        <v>48.0715</v>
      </c>
    </row>
    <row r="490" spans="1:25" x14ac:dyDescent="0.25">
      <c r="A490" t="s">
        <v>1382</v>
      </c>
      <c r="B490">
        <v>42026</v>
      </c>
      <c r="C490" t="str">
        <f t="shared" si="42"/>
        <v>2015</v>
      </c>
      <c r="D490" t="s">
        <v>1102</v>
      </c>
      <c r="E490" t="s">
        <v>1103</v>
      </c>
      <c r="F490" t="s">
        <v>448</v>
      </c>
      <c r="G490" t="s">
        <v>449</v>
      </c>
      <c r="H490" t="s">
        <v>259</v>
      </c>
      <c r="I490" t="s">
        <v>284</v>
      </c>
      <c r="J490" t="s">
        <v>261</v>
      </c>
      <c r="K490" t="s">
        <v>413</v>
      </c>
      <c r="L490" t="s">
        <v>268</v>
      </c>
      <c r="M490" t="s">
        <v>414</v>
      </c>
      <c r="N490" t="s">
        <v>247</v>
      </c>
      <c r="O490">
        <v>42027</v>
      </c>
      <c r="P490">
        <v>8.82</v>
      </c>
      <c r="Q490">
        <v>20.99</v>
      </c>
      <c r="R490">
        <f t="shared" si="43"/>
        <v>12.169999999999998</v>
      </c>
      <c r="S490">
        <v>3</v>
      </c>
      <c r="T490">
        <f t="shared" si="44"/>
        <v>62.97</v>
      </c>
      <c r="U490">
        <v>0.01</v>
      </c>
      <c r="V490">
        <f t="shared" si="45"/>
        <v>0.62970000000000004</v>
      </c>
      <c r="W490">
        <f t="shared" si="46"/>
        <v>62.340299999999999</v>
      </c>
      <c r="X490">
        <v>4.8099999999999996</v>
      </c>
      <c r="Y490">
        <f t="shared" si="47"/>
        <v>67.150300000000001</v>
      </c>
    </row>
    <row r="491" spans="1:25" x14ac:dyDescent="0.25">
      <c r="A491" t="s">
        <v>1383</v>
      </c>
      <c r="B491">
        <v>42026</v>
      </c>
      <c r="C491" t="str">
        <f t="shared" si="42"/>
        <v>2015</v>
      </c>
      <c r="D491" t="s">
        <v>1102</v>
      </c>
      <c r="E491" t="s">
        <v>1103</v>
      </c>
      <c r="F491" t="s">
        <v>448</v>
      </c>
      <c r="G491" t="s">
        <v>449</v>
      </c>
      <c r="H491" t="s">
        <v>259</v>
      </c>
      <c r="I491" t="s">
        <v>284</v>
      </c>
      <c r="J491" t="s">
        <v>261</v>
      </c>
      <c r="K491" t="s">
        <v>421</v>
      </c>
      <c r="L491" t="s">
        <v>245</v>
      </c>
      <c r="M491" t="s">
        <v>246</v>
      </c>
      <c r="N491" t="s">
        <v>263</v>
      </c>
      <c r="O491">
        <v>42026</v>
      </c>
      <c r="P491">
        <v>13.88</v>
      </c>
      <c r="Q491">
        <v>22.38</v>
      </c>
      <c r="R491">
        <f t="shared" si="43"/>
        <v>8.4999999999999982</v>
      </c>
      <c r="S491">
        <v>42</v>
      </c>
      <c r="T491">
        <f t="shared" si="44"/>
        <v>939.95999999999992</v>
      </c>
      <c r="U491">
        <v>7.0000000000000007E-2</v>
      </c>
      <c r="V491">
        <f t="shared" si="45"/>
        <v>65.797200000000004</v>
      </c>
      <c r="W491">
        <f t="shared" si="46"/>
        <v>874.16279999999995</v>
      </c>
      <c r="X491">
        <v>15.1</v>
      </c>
      <c r="Y491">
        <f t="shared" si="47"/>
        <v>889.26279999999997</v>
      </c>
    </row>
    <row r="492" spans="1:25" x14ac:dyDescent="0.25">
      <c r="A492" t="s">
        <v>1383</v>
      </c>
      <c r="B492">
        <v>42026</v>
      </c>
      <c r="C492" t="str">
        <f t="shared" si="42"/>
        <v>2015</v>
      </c>
      <c r="D492" t="s">
        <v>1102</v>
      </c>
      <c r="E492" t="s">
        <v>1103</v>
      </c>
      <c r="F492" t="s">
        <v>448</v>
      </c>
      <c r="G492" t="s">
        <v>449</v>
      </c>
      <c r="H492" t="s">
        <v>259</v>
      </c>
      <c r="I492" t="s">
        <v>284</v>
      </c>
      <c r="J492" t="s">
        <v>261</v>
      </c>
      <c r="K492" t="s">
        <v>373</v>
      </c>
      <c r="L492" t="s">
        <v>268</v>
      </c>
      <c r="M492" t="s">
        <v>246</v>
      </c>
      <c r="N492" t="s">
        <v>247</v>
      </c>
      <c r="O492">
        <v>42028</v>
      </c>
      <c r="P492">
        <v>6.39</v>
      </c>
      <c r="Q492">
        <v>19.98</v>
      </c>
      <c r="R492">
        <f t="shared" si="43"/>
        <v>13.59</v>
      </c>
      <c r="S492">
        <v>45</v>
      </c>
      <c r="T492">
        <f t="shared" si="44"/>
        <v>899.1</v>
      </c>
      <c r="U492">
        <v>0.06</v>
      </c>
      <c r="V492">
        <f t="shared" si="45"/>
        <v>53.945999999999998</v>
      </c>
      <c r="W492">
        <f t="shared" si="46"/>
        <v>845.154</v>
      </c>
      <c r="X492">
        <v>4</v>
      </c>
      <c r="Y492">
        <f t="shared" si="47"/>
        <v>849.154</v>
      </c>
    </row>
    <row r="493" spans="1:25" x14ac:dyDescent="0.25">
      <c r="A493" t="s">
        <v>1384</v>
      </c>
      <c r="B493">
        <v>42027</v>
      </c>
      <c r="C493" t="str">
        <f t="shared" si="42"/>
        <v>2015</v>
      </c>
      <c r="D493" t="s">
        <v>574</v>
      </c>
      <c r="E493" t="s">
        <v>575</v>
      </c>
      <c r="F493" t="s">
        <v>257</v>
      </c>
      <c r="G493" t="s">
        <v>258</v>
      </c>
      <c r="H493" t="s">
        <v>274</v>
      </c>
      <c r="I493" t="s">
        <v>381</v>
      </c>
      <c r="J493" t="s">
        <v>294</v>
      </c>
      <c r="K493" t="s">
        <v>262</v>
      </c>
      <c r="L493" t="s">
        <v>245</v>
      </c>
      <c r="M493" t="s">
        <v>253</v>
      </c>
      <c r="N493" t="s">
        <v>247</v>
      </c>
      <c r="O493">
        <v>42029</v>
      </c>
      <c r="P493">
        <v>2.41</v>
      </c>
      <c r="Q493">
        <v>3.71</v>
      </c>
      <c r="R493">
        <f t="shared" si="43"/>
        <v>1.2999999999999998</v>
      </c>
      <c r="S493">
        <v>14</v>
      </c>
      <c r="T493">
        <f t="shared" si="44"/>
        <v>51.94</v>
      </c>
      <c r="U493">
        <v>0.09</v>
      </c>
      <c r="V493">
        <f t="shared" si="45"/>
        <v>4.6745999999999999</v>
      </c>
      <c r="W493">
        <f t="shared" si="46"/>
        <v>47.2654</v>
      </c>
      <c r="X493">
        <v>1.93</v>
      </c>
      <c r="Y493">
        <f t="shared" si="47"/>
        <v>49.195399999999999</v>
      </c>
    </row>
    <row r="494" spans="1:25" x14ac:dyDescent="0.25">
      <c r="A494" t="s">
        <v>1385</v>
      </c>
      <c r="B494">
        <v>42030</v>
      </c>
      <c r="C494" t="str">
        <f t="shared" si="42"/>
        <v>2015</v>
      </c>
      <c r="D494" t="s">
        <v>771</v>
      </c>
      <c r="E494" t="s">
        <v>288</v>
      </c>
      <c r="F494" t="s">
        <v>257</v>
      </c>
      <c r="G494" t="s">
        <v>258</v>
      </c>
      <c r="H494" t="s">
        <v>274</v>
      </c>
      <c r="I494" t="s">
        <v>284</v>
      </c>
      <c r="J494" t="s">
        <v>294</v>
      </c>
      <c r="K494" t="s">
        <v>317</v>
      </c>
      <c r="L494" t="s">
        <v>245</v>
      </c>
      <c r="M494" t="s">
        <v>253</v>
      </c>
      <c r="N494" t="s">
        <v>247</v>
      </c>
      <c r="O494">
        <v>42032</v>
      </c>
      <c r="P494">
        <v>0.71</v>
      </c>
      <c r="Q494">
        <v>1.1399999999999999</v>
      </c>
      <c r="R494">
        <f t="shared" si="43"/>
        <v>0.42999999999999994</v>
      </c>
      <c r="S494">
        <v>42</v>
      </c>
      <c r="T494">
        <f t="shared" si="44"/>
        <v>47.879999999999995</v>
      </c>
      <c r="U494">
        <v>0.06</v>
      </c>
      <c r="V494">
        <f t="shared" si="45"/>
        <v>2.8727999999999998</v>
      </c>
      <c r="W494">
        <f t="shared" si="46"/>
        <v>45.007199999999997</v>
      </c>
      <c r="X494">
        <v>0.7</v>
      </c>
      <c r="Y494">
        <f t="shared" si="47"/>
        <v>45.7072</v>
      </c>
    </row>
    <row r="495" spans="1:25" x14ac:dyDescent="0.25">
      <c r="A495" t="s">
        <v>1386</v>
      </c>
      <c r="B495">
        <v>42032</v>
      </c>
      <c r="C495" t="str">
        <f t="shared" si="42"/>
        <v>2015</v>
      </c>
      <c r="D495" t="s">
        <v>826</v>
      </c>
      <c r="E495" t="s">
        <v>352</v>
      </c>
      <c r="F495" t="s">
        <v>257</v>
      </c>
      <c r="G495" t="s">
        <v>258</v>
      </c>
      <c r="H495" t="s">
        <v>293</v>
      </c>
      <c r="I495" t="s">
        <v>275</v>
      </c>
      <c r="J495" t="s">
        <v>304</v>
      </c>
      <c r="K495" t="s">
        <v>799</v>
      </c>
      <c r="L495" t="s">
        <v>245</v>
      </c>
      <c r="M495" t="s">
        <v>246</v>
      </c>
      <c r="N495" t="s">
        <v>247</v>
      </c>
      <c r="O495">
        <v>42033</v>
      </c>
      <c r="P495">
        <v>2.29</v>
      </c>
      <c r="Q495">
        <v>3.69</v>
      </c>
      <c r="R495">
        <f t="shared" si="43"/>
        <v>1.4</v>
      </c>
      <c r="S495">
        <v>4</v>
      </c>
      <c r="T495">
        <f t="shared" si="44"/>
        <v>14.76</v>
      </c>
      <c r="U495">
        <v>0.01</v>
      </c>
      <c r="V495">
        <f t="shared" si="45"/>
        <v>0.14760000000000001</v>
      </c>
      <c r="W495">
        <f t="shared" si="46"/>
        <v>14.612399999999999</v>
      </c>
      <c r="X495">
        <v>0.5</v>
      </c>
      <c r="Y495">
        <f t="shared" si="47"/>
        <v>15.112399999999999</v>
      </c>
    </row>
    <row r="496" spans="1:25" x14ac:dyDescent="0.25">
      <c r="A496" t="s">
        <v>1387</v>
      </c>
      <c r="B496">
        <v>42034</v>
      </c>
      <c r="C496" t="str">
        <f t="shared" si="42"/>
        <v>2015</v>
      </c>
      <c r="D496" t="s">
        <v>619</v>
      </c>
      <c r="E496" t="s">
        <v>620</v>
      </c>
      <c r="F496" t="s">
        <v>257</v>
      </c>
      <c r="G496" t="s">
        <v>258</v>
      </c>
      <c r="H496" t="s">
        <v>259</v>
      </c>
      <c r="I496" t="s">
        <v>275</v>
      </c>
      <c r="J496" t="s">
        <v>294</v>
      </c>
      <c r="K496" t="s">
        <v>377</v>
      </c>
      <c r="L496" t="s">
        <v>268</v>
      </c>
      <c r="M496" t="s">
        <v>246</v>
      </c>
      <c r="N496" t="s">
        <v>247</v>
      </c>
      <c r="O496">
        <v>42035</v>
      </c>
      <c r="P496">
        <v>32.020000000000003</v>
      </c>
      <c r="Q496">
        <v>152.47999999999999</v>
      </c>
      <c r="R496">
        <f t="shared" si="43"/>
        <v>120.45999999999998</v>
      </c>
      <c r="S496">
        <v>21</v>
      </c>
      <c r="T496">
        <f t="shared" si="44"/>
        <v>3202.08</v>
      </c>
      <c r="U496">
        <v>0.03</v>
      </c>
      <c r="V496">
        <f t="shared" si="45"/>
        <v>96.062399999999997</v>
      </c>
      <c r="W496">
        <f t="shared" si="46"/>
        <v>3106.0176000000001</v>
      </c>
      <c r="X496">
        <v>4</v>
      </c>
      <c r="Y496">
        <f t="shared" si="47"/>
        <v>3110.0176000000001</v>
      </c>
    </row>
    <row r="497" spans="1:25" x14ac:dyDescent="0.25">
      <c r="A497" t="s">
        <v>1388</v>
      </c>
      <c r="B497">
        <v>42035</v>
      </c>
      <c r="C497" t="str">
        <f t="shared" si="42"/>
        <v>2015</v>
      </c>
      <c r="D497" t="s">
        <v>995</v>
      </c>
      <c r="E497" t="s">
        <v>767</v>
      </c>
      <c r="F497" t="s">
        <v>257</v>
      </c>
      <c r="G497" t="s">
        <v>258</v>
      </c>
      <c r="H497" t="s">
        <v>259</v>
      </c>
      <c r="I497" t="s">
        <v>260</v>
      </c>
      <c r="J497" t="s">
        <v>243</v>
      </c>
      <c r="K497" t="s">
        <v>594</v>
      </c>
      <c r="L497" t="s">
        <v>268</v>
      </c>
      <c r="M497" t="s">
        <v>269</v>
      </c>
      <c r="N497" t="s">
        <v>270</v>
      </c>
      <c r="O497">
        <v>42037</v>
      </c>
      <c r="P497">
        <v>278.99</v>
      </c>
      <c r="Q497">
        <v>449.99</v>
      </c>
      <c r="R497">
        <f t="shared" si="43"/>
        <v>171</v>
      </c>
      <c r="S497">
        <v>25</v>
      </c>
      <c r="T497">
        <f t="shared" si="44"/>
        <v>11249.75</v>
      </c>
      <c r="U497">
        <v>0.01</v>
      </c>
      <c r="V497">
        <f t="shared" si="45"/>
        <v>112.4975</v>
      </c>
      <c r="W497">
        <f t="shared" si="46"/>
        <v>11137.252500000001</v>
      </c>
      <c r="X497">
        <v>49</v>
      </c>
      <c r="Y497">
        <f t="shared" si="47"/>
        <v>11186.252500000001</v>
      </c>
    </row>
    <row r="498" spans="1:25" x14ac:dyDescent="0.25">
      <c r="A498" t="s">
        <v>1389</v>
      </c>
      <c r="B498">
        <v>42036</v>
      </c>
      <c r="C498" t="str">
        <f t="shared" si="42"/>
        <v>2015</v>
      </c>
      <c r="D498" t="s">
        <v>1390</v>
      </c>
      <c r="E498" t="s">
        <v>292</v>
      </c>
      <c r="F498" t="s">
        <v>257</v>
      </c>
      <c r="G498" t="s">
        <v>258</v>
      </c>
      <c r="H498" t="s">
        <v>241</v>
      </c>
      <c r="I498" t="s">
        <v>260</v>
      </c>
      <c r="J498" t="s">
        <v>243</v>
      </c>
      <c r="K498" t="s">
        <v>668</v>
      </c>
      <c r="L498" t="s">
        <v>440</v>
      </c>
      <c r="M498" t="s">
        <v>647</v>
      </c>
      <c r="N498" t="s">
        <v>247</v>
      </c>
      <c r="O498">
        <v>42038</v>
      </c>
      <c r="P498">
        <v>56.16</v>
      </c>
      <c r="Q498">
        <v>136.97999999999999</v>
      </c>
      <c r="R498">
        <f t="shared" si="43"/>
        <v>80.819999999999993</v>
      </c>
      <c r="S498">
        <v>2</v>
      </c>
      <c r="T498">
        <f t="shared" si="44"/>
        <v>273.95999999999998</v>
      </c>
      <c r="U498">
        <v>0.08</v>
      </c>
      <c r="V498">
        <f t="shared" si="45"/>
        <v>21.916799999999999</v>
      </c>
      <c r="W498">
        <f t="shared" si="46"/>
        <v>252.04319999999998</v>
      </c>
      <c r="X498">
        <v>24.49</v>
      </c>
      <c r="Y498">
        <f t="shared" si="47"/>
        <v>276.53319999999997</v>
      </c>
    </row>
    <row r="499" spans="1:25" x14ac:dyDescent="0.25">
      <c r="A499" t="s">
        <v>1391</v>
      </c>
      <c r="B499">
        <v>42036</v>
      </c>
      <c r="C499" t="str">
        <f t="shared" si="42"/>
        <v>2015</v>
      </c>
      <c r="D499" t="s">
        <v>1149</v>
      </c>
      <c r="E499" t="s">
        <v>1150</v>
      </c>
      <c r="F499" t="s">
        <v>448</v>
      </c>
      <c r="G499" t="s">
        <v>449</v>
      </c>
      <c r="H499" t="s">
        <v>274</v>
      </c>
      <c r="I499" t="s">
        <v>284</v>
      </c>
      <c r="J499" t="s">
        <v>261</v>
      </c>
      <c r="K499" t="s">
        <v>644</v>
      </c>
      <c r="L499" t="s">
        <v>245</v>
      </c>
      <c r="M499" t="s">
        <v>246</v>
      </c>
      <c r="N499" t="s">
        <v>247</v>
      </c>
      <c r="O499">
        <v>42038</v>
      </c>
      <c r="P499">
        <v>18.38</v>
      </c>
      <c r="Q499">
        <v>29.17</v>
      </c>
      <c r="R499">
        <f t="shared" si="43"/>
        <v>10.790000000000003</v>
      </c>
      <c r="S499">
        <v>43</v>
      </c>
      <c r="T499">
        <f t="shared" si="44"/>
        <v>1254.3100000000002</v>
      </c>
      <c r="U499">
        <v>0.05</v>
      </c>
      <c r="V499">
        <f t="shared" si="45"/>
        <v>62.715500000000013</v>
      </c>
      <c r="W499">
        <f t="shared" si="46"/>
        <v>1191.5945000000002</v>
      </c>
      <c r="X499">
        <v>6.27</v>
      </c>
      <c r="Y499">
        <f t="shared" si="47"/>
        <v>1197.8645000000001</v>
      </c>
    </row>
    <row r="500" spans="1:25" x14ac:dyDescent="0.25">
      <c r="A500" t="s">
        <v>1392</v>
      </c>
      <c r="B500">
        <v>42038</v>
      </c>
      <c r="C500" t="str">
        <f t="shared" si="42"/>
        <v>2015</v>
      </c>
      <c r="D500" t="s">
        <v>1393</v>
      </c>
      <c r="E500" t="s">
        <v>593</v>
      </c>
      <c r="F500" t="s">
        <v>257</v>
      </c>
      <c r="G500" t="s">
        <v>258</v>
      </c>
      <c r="H500" t="s">
        <v>293</v>
      </c>
      <c r="I500" t="s">
        <v>321</v>
      </c>
      <c r="J500" t="s">
        <v>243</v>
      </c>
      <c r="K500" t="s">
        <v>413</v>
      </c>
      <c r="L500" t="s">
        <v>268</v>
      </c>
      <c r="M500" t="s">
        <v>414</v>
      </c>
      <c r="N500" t="s">
        <v>247</v>
      </c>
      <c r="O500">
        <v>42041</v>
      </c>
      <c r="P500">
        <v>8.82</v>
      </c>
      <c r="Q500">
        <v>20.99</v>
      </c>
      <c r="R500">
        <f t="shared" si="43"/>
        <v>12.169999999999998</v>
      </c>
      <c r="S500">
        <v>23</v>
      </c>
      <c r="T500">
        <f t="shared" si="44"/>
        <v>482.77</v>
      </c>
      <c r="U500">
        <v>0.1</v>
      </c>
      <c r="V500">
        <f t="shared" si="45"/>
        <v>48.277000000000001</v>
      </c>
      <c r="W500">
        <f t="shared" si="46"/>
        <v>434.49299999999999</v>
      </c>
      <c r="X500">
        <v>4.8099999999999996</v>
      </c>
      <c r="Y500">
        <f t="shared" si="47"/>
        <v>439.303</v>
      </c>
    </row>
    <row r="501" spans="1:25" x14ac:dyDescent="0.25">
      <c r="A501" t="s">
        <v>1394</v>
      </c>
      <c r="B501">
        <v>42038</v>
      </c>
      <c r="C501" t="str">
        <f t="shared" si="42"/>
        <v>2015</v>
      </c>
      <c r="D501" t="s">
        <v>1395</v>
      </c>
      <c r="E501" t="s">
        <v>730</v>
      </c>
      <c r="F501" t="s">
        <v>257</v>
      </c>
      <c r="G501" t="s">
        <v>258</v>
      </c>
      <c r="H501" t="s">
        <v>241</v>
      </c>
      <c r="I501" t="s">
        <v>321</v>
      </c>
      <c r="J501" t="s">
        <v>304</v>
      </c>
      <c r="K501" t="s">
        <v>493</v>
      </c>
      <c r="L501" t="s">
        <v>245</v>
      </c>
      <c r="M501" t="s">
        <v>253</v>
      </c>
      <c r="N501" t="s">
        <v>263</v>
      </c>
      <c r="O501">
        <v>42038</v>
      </c>
      <c r="P501">
        <v>1.76</v>
      </c>
      <c r="Q501">
        <v>3.38</v>
      </c>
      <c r="R501">
        <f t="shared" si="43"/>
        <v>1.6199999999999999</v>
      </c>
      <c r="S501">
        <v>5</v>
      </c>
      <c r="T501">
        <f t="shared" si="44"/>
        <v>16.899999999999999</v>
      </c>
      <c r="U501">
        <v>0.08</v>
      </c>
      <c r="V501">
        <f t="shared" si="45"/>
        <v>1.3519999999999999</v>
      </c>
      <c r="W501">
        <f t="shared" si="46"/>
        <v>15.547999999999998</v>
      </c>
      <c r="X501">
        <v>0.85</v>
      </c>
      <c r="Y501">
        <f t="shared" si="47"/>
        <v>16.398</v>
      </c>
    </row>
    <row r="502" spans="1:25" x14ac:dyDescent="0.25">
      <c r="A502" t="s">
        <v>1396</v>
      </c>
      <c r="B502">
        <v>42038</v>
      </c>
      <c r="C502" t="str">
        <f t="shared" si="42"/>
        <v>2015</v>
      </c>
      <c r="D502" t="s">
        <v>1397</v>
      </c>
      <c r="E502" t="s">
        <v>643</v>
      </c>
      <c r="F502" t="s">
        <v>257</v>
      </c>
      <c r="G502" t="s">
        <v>258</v>
      </c>
      <c r="H502" t="s">
        <v>259</v>
      </c>
      <c r="I502" t="s">
        <v>342</v>
      </c>
      <c r="J502" t="s">
        <v>279</v>
      </c>
      <c r="K502" t="s">
        <v>387</v>
      </c>
      <c r="L502" t="s">
        <v>245</v>
      </c>
      <c r="M502" t="s">
        <v>323</v>
      </c>
      <c r="N502" t="s">
        <v>247</v>
      </c>
      <c r="O502">
        <v>42065</v>
      </c>
      <c r="P502">
        <v>4.79</v>
      </c>
      <c r="Q502">
        <v>11.97</v>
      </c>
      <c r="R502">
        <f t="shared" si="43"/>
        <v>7.1800000000000006</v>
      </c>
      <c r="S502">
        <v>17</v>
      </c>
      <c r="T502">
        <f t="shared" si="44"/>
        <v>203.49</v>
      </c>
      <c r="U502">
        <v>0.03</v>
      </c>
      <c r="V502">
        <f t="shared" si="45"/>
        <v>6.1047000000000002</v>
      </c>
      <c r="W502">
        <f t="shared" si="46"/>
        <v>197.3853</v>
      </c>
      <c r="X502">
        <v>5.81</v>
      </c>
      <c r="Y502">
        <f t="shared" si="47"/>
        <v>203.1953</v>
      </c>
    </row>
    <row r="503" spans="1:25" x14ac:dyDescent="0.25">
      <c r="A503" t="s">
        <v>1398</v>
      </c>
      <c r="B503">
        <v>42039</v>
      </c>
      <c r="C503" t="str">
        <f t="shared" si="42"/>
        <v>2015</v>
      </c>
      <c r="D503" t="s">
        <v>431</v>
      </c>
      <c r="E503" t="s">
        <v>432</v>
      </c>
      <c r="F503" t="s">
        <v>257</v>
      </c>
      <c r="G503" t="s">
        <v>258</v>
      </c>
      <c r="H503" t="s">
        <v>241</v>
      </c>
      <c r="I503" t="s">
        <v>333</v>
      </c>
      <c r="J503" t="s">
        <v>304</v>
      </c>
      <c r="K503" t="s">
        <v>425</v>
      </c>
      <c r="L503" t="s">
        <v>245</v>
      </c>
      <c r="M503" t="s">
        <v>253</v>
      </c>
      <c r="N503" t="s">
        <v>247</v>
      </c>
      <c r="O503">
        <v>42041</v>
      </c>
      <c r="P503">
        <v>21.56</v>
      </c>
      <c r="Q503">
        <v>36.549999999999997</v>
      </c>
      <c r="R503">
        <f t="shared" si="43"/>
        <v>14.989999999999998</v>
      </c>
      <c r="S503">
        <v>34</v>
      </c>
      <c r="T503">
        <f t="shared" si="44"/>
        <v>1242.6999999999998</v>
      </c>
      <c r="U503">
        <v>0.03</v>
      </c>
      <c r="V503">
        <f t="shared" si="45"/>
        <v>37.280999999999992</v>
      </c>
      <c r="W503">
        <f t="shared" si="46"/>
        <v>1205.4189999999999</v>
      </c>
      <c r="X503">
        <v>13.89</v>
      </c>
      <c r="Y503">
        <f t="shared" si="47"/>
        <v>1219.309</v>
      </c>
    </row>
    <row r="504" spans="1:25" x14ac:dyDescent="0.25">
      <c r="A504" t="s">
        <v>1399</v>
      </c>
      <c r="B504">
        <v>42039</v>
      </c>
      <c r="C504" t="str">
        <f t="shared" si="42"/>
        <v>2015</v>
      </c>
      <c r="D504" t="s">
        <v>1400</v>
      </c>
      <c r="E504" t="s">
        <v>511</v>
      </c>
      <c r="F504" t="s">
        <v>257</v>
      </c>
      <c r="G504" t="s">
        <v>258</v>
      </c>
      <c r="H504" t="s">
        <v>293</v>
      </c>
      <c r="I504" t="s">
        <v>381</v>
      </c>
      <c r="J504" t="s">
        <v>261</v>
      </c>
      <c r="K504" t="s">
        <v>888</v>
      </c>
      <c r="L504" t="s">
        <v>245</v>
      </c>
      <c r="M504" t="s">
        <v>253</v>
      </c>
      <c r="N504" t="s">
        <v>247</v>
      </c>
      <c r="O504">
        <v>42041</v>
      </c>
      <c r="P504">
        <v>2.31</v>
      </c>
      <c r="Q504">
        <v>3.78</v>
      </c>
      <c r="R504">
        <f t="shared" si="43"/>
        <v>1.4699999999999998</v>
      </c>
      <c r="S504">
        <v>34</v>
      </c>
      <c r="T504">
        <f t="shared" si="44"/>
        <v>128.51999999999998</v>
      </c>
      <c r="U504">
        <v>0.03</v>
      </c>
      <c r="V504">
        <f t="shared" si="45"/>
        <v>3.8555999999999995</v>
      </c>
      <c r="W504">
        <f t="shared" si="46"/>
        <v>124.66439999999999</v>
      </c>
      <c r="X504">
        <v>0.71</v>
      </c>
      <c r="Y504">
        <f t="shared" si="47"/>
        <v>125.37439999999998</v>
      </c>
    </row>
    <row r="505" spans="1:25" x14ac:dyDescent="0.25">
      <c r="A505" t="s">
        <v>1401</v>
      </c>
      <c r="B505">
        <v>42042</v>
      </c>
      <c r="C505" t="str">
        <f t="shared" si="42"/>
        <v>2015</v>
      </c>
      <c r="D505" t="s">
        <v>1402</v>
      </c>
      <c r="E505" t="s">
        <v>1093</v>
      </c>
      <c r="F505" t="s">
        <v>257</v>
      </c>
      <c r="G505" t="s">
        <v>258</v>
      </c>
      <c r="H505" t="s">
        <v>293</v>
      </c>
      <c r="I505" t="s">
        <v>372</v>
      </c>
      <c r="J505" t="s">
        <v>304</v>
      </c>
      <c r="K505" t="s">
        <v>482</v>
      </c>
      <c r="L505" t="s">
        <v>268</v>
      </c>
      <c r="M505" t="s">
        <v>246</v>
      </c>
      <c r="N505" t="s">
        <v>247</v>
      </c>
      <c r="O505">
        <v>42053</v>
      </c>
      <c r="P505">
        <v>60.59</v>
      </c>
      <c r="Q505">
        <v>100.98</v>
      </c>
      <c r="R505">
        <f t="shared" si="43"/>
        <v>40.39</v>
      </c>
      <c r="S505">
        <v>13</v>
      </c>
      <c r="T505">
        <f t="shared" si="44"/>
        <v>1312.74</v>
      </c>
      <c r="U505">
        <v>0.04</v>
      </c>
      <c r="V505">
        <f t="shared" si="45"/>
        <v>52.509599999999999</v>
      </c>
      <c r="W505">
        <f t="shared" si="46"/>
        <v>1260.2303999999999</v>
      </c>
      <c r="X505">
        <v>7.18</v>
      </c>
      <c r="Y505">
        <f t="shared" si="47"/>
        <v>1267.4104</v>
      </c>
    </row>
    <row r="506" spans="1:25" x14ac:dyDescent="0.25">
      <c r="A506" t="s">
        <v>1403</v>
      </c>
      <c r="B506">
        <v>42043</v>
      </c>
      <c r="C506" t="str">
        <f t="shared" si="42"/>
        <v>2015</v>
      </c>
      <c r="D506" t="s">
        <v>1404</v>
      </c>
      <c r="E506" t="s">
        <v>238</v>
      </c>
      <c r="F506" t="s">
        <v>239</v>
      </c>
      <c r="G506" t="s">
        <v>240</v>
      </c>
      <c r="H506" t="s">
        <v>293</v>
      </c>
      <c r="I506" t="s">
        <v>242</v>
      </c>
      <c r="J506" t="s">
        <v>304</v>
      </c>
      <c r="K506" t="s">
        <v>285</v>
      </c>
      <c r="L506" t="s">
        <v>245</v>
      </c>
      <c r="M506" t="s">
        <v>246</v>
      </c>
      <c r="N506" t="s">
        <v>247</v>
      </c>
      <c r="O506">
        <v>42045</v>
      </c>
      <c r="P506">
        <v>99.39</v>
      </c>
      <c r="Q506">
        <v>162.93</v>
      </c>
      <c r="R506">
        <f t="shared" si="43"/>
        <v>63.540000000000006</v>
      </c>
      <c r="S506">
        <v>39</v>
      </c>
      <c r="T506">
        <f t="shared" si="44"/>
        <v>6354.27</v>
      </c>
      <c r="U506">
        <v>0.03</v>
      </c>
      <c r="V506">
        <f t="shared" si="45"/>
        <v>190.62810000000002</v>
      </c>
      <c r="W506">
        <f t="shared" si="46"/>
        <v>6163.6419000000005</v>
      </c>
      <c r="X506">
        <v>19.989999999999998</v>
      </c>
      <c r="Y506">
        <f t="shared" si="47"/>
        <v>6183.6319000000003</v>
      </c>
    </row>
    <row r="507" spans="1:25" x14ac:dyDescent="0.25">
      <c r="A507" t="s">
        <v>1405</v>
      </c>
      <c r="B507">
        <v>42044</v>
      </c>
      <c r="C507" t="str">
        <f t="shared" si="42"/>
        <v>2015</v>
      </c>
      <c r="D507" t="s">
        <v>1323</v>
      </c>
      <c r="E507" t="s">
        <v>552</v>
      </c>
      <c r="F507" t="s">
        <v>257</v>
      </c>
      <c r="G507" t="s">
        <v>258</v>
      </c>
      <c r="H507" t="s">
        <v>274</v>
      </c>
      <c r="I507" t="s">
        <v>284</v>
      </c>
      <c r="J507" t="s">
        <v>279</v>
      </c>
      <c r="K507" t="s">
        <v>698</v>
      </c>
      <c r="L507" t="s">
        <v>245</v>
      </c>
      <c r="M507" t="s">
        <v>253</v>
      </c>
      <c r="N507" t="s">
        <v>263</v>
      </c>
      <c r="O507">
        <v>42051</v>
      </c>
      <c r="P507">
        <v>3.32</v>
      </c>
      <c r="Q507">
        <v>5.18</v>
      </c>
      <c r="R507">
        <f t="shared" si="43"/>
        <v>1.8599999999999999</v>
      </c>
      <c r="S507">
        <v>11</v>
      </c>
      <c r="T507">
        <f t="shared" si="44"/>
        <v>56.98</v>
      </c>
      <c r="U507">
        <v>0.06</v>
      </c>
      <c r="V507">
        <f t="shared" si="45"/>
        <v>3.4187999999999996</v>
      </c>
      <c r="W507">
        <f t="shared" si="46"/>
        <v>53.561199999999999</v>
      </c>
      <c r="X507">
        <v>2.04</v>
      </c>
      <c r="Y507">
        <f t="shared" si="47"/>
        <v>55.601199999999999</v>
      </c>
    </row>
    <row r="508" spans="1:25" x14ac:dyDescent="0.25">
      <c r="A508" t="s">
        <v>1406</v>
      </c>
      <c r="B508">
        <v>42047</v>
      </c>
      <c r="C508" t="str">
        <f t="shared" si="42"/>
        <v>2015</v>
      </c>
      <c r="D508" t="s">
        <v>1056</v>
      </c>
      <c r="E508" t="s">
        <v>467</v>
      </c>
      <c r="F508" t="s">
        <v>257</v>
      </c>
      <c r="G508" t="s">
        <v>258</v>
      </c>
      <c r="H508" t="s">
        <v>259</v>
      </c>
      <c r="I508" t="s">
        <v>342</v>
      </c>
      <c r="J508" t="s">
        <v>279</v>
      </c>
      <c r="K508" t="s">
        <v>676</v>
      </c>
      <c r="L508" t="s">
        <v>245</v>
      </c>
      <c r="M508" t="s">
        <v>323</v>
      </c>
      <c r="N508" t="s">
        <v>247</v>
      </c>
      <c r="O508">
        <v>42047</v>
      </c>
      <c r="P508">
        <v>5.19</v>
      </c>
      <c r="Q508">
        <v>12.98</v>
      </c>
      <c r="R508">
        <f t="shared" si="43"/>
        <v>7.79</v>
      </c>
      <c r="S508">
        <v>50</v>
      </c>
      <c r="T508">
        <f t="shared" si="44"/>
        <v>649</v>
      </c>
      <c r="U508">
        <v>0.08</v>
      </c>
      <c r="V508">
        <f t="shared" si="45"/>
        <v>51.92</v>
      </c>
      <c r="W508">
        <f t="shared" si="46"/>
        <v>597.08000000000004</v>
      </c>
      <c r="X508">
        <v>3.14</v>
      </c>
      <c r="Y508">
        <f t="shared" si="47"/>
        <v>600.22</v>
      </c>
    </row>
    <row r="509" spans="1:25" x14ac:dyDescent="0.25">
      <c r="A509" t="s">
        <v>1407</v>
      </c>
      <c r="B509">
        <v>42047</v>
      </c>
      <c r="C509" t="str">
        <f t="shared" si="42"/>
        <v>2015</v>
      </c>
      <c r="D509" t="s">
        <v>1190</v>
      </c>
      <c r="E509" t="s">
        <v>552</v>
      </c>
      <c r="F509" t="s">
        <v>257</v>
      </c>
      <c r="G509" t="s">
        <v>258</v>
      </c>
      <c r="H509" t="s">
        <v>241</v>
      </c>
      <c r="I509" t="s">
        <v>284</v>
      </c>
      <c r="J509" t="s">
        <v>294</v>
      </c>
      <c r="K509" t="s">
        <v>464</v>
      </c>
      <c r="L509" t="s">
        <v>268</v>
      </c>
      <c r="M509" t="s">
        <v>246</v>
      </c>
      <c r="N509" t="s">
        <v>247</v>
      </c>
      <c r="O509">
        <v>42048</v>
      </c>
      <c r="P509">
        <v>156.5</v>
      </c>
      <c r="Q509">
        <v>300.97000000000003</v>
      </c>
      <c r="R509">
        <f t="shared" si="43"/>
        <v>144.47000000000003</v>
      </c>
      <c r="S509">
        <v>41</v>
      </c>
      <c r="T509">
        <f t="shared" si="44"/>
        <v>12339.77</v>
      </c>
      <c r="U509">
        <v>0.1</v>
      </c>
      <c r="V509">
        <f t="shared" si="45"/>
        <v>1233.9770000000001</v>
      </c>
      <c r="W509">
        <f t="shared" si="46"/>
        <v>11105.793</v>
      </c>
      <c r="X509">
        <v>7.18</v>
      </c>
      <c r="Y509">
        <f t="shared" si="47"/>
        <v>11112.973</v>
      </c>
    </row>
    <row r="510" spans="1:25" x14ac:dyDescent="0.25">
      <c r="A510" t="s">
        <v>1408</v>
      </c>
      <c r="B510">
        <v>42049</v>
      </c>
      <c r="C510" t="str">
        <f t="shared" si="42"/>
        <v>2015</v>
      </c>
      <c r="D510" t="s">
        <v>1409</v>
      </c>
      <c r="E510" t="s">
        <v>1041</v>
      </c>
      <c r="F510" t="s">
        <v>257</v>
      </c>
      <c r="G510" t="s">
        <v>258</v>
      </c>
      <c r="H510" t="s">
        <v>274</v>
      </c>
      <c r="I510" t="s">
        <v>372</v>
      </c>
      <c r="J510" t="s">
        <v>304</v>
      </c>
      <c r="K510" t="s">
        <v>329</v>
      </c>
      <c r="L510" t="s">
        <v>245</v>
      </c>
      <c r="M510" t="s">
        <v>246</v>
      </c>
      <c r="N510" t="s">
        <v>263</v>
      </c>
      <c r="O510">
        <v>42050</v>
      </c>
      <c r="P510">
        <v>4.59</v>
      </c>
      <c r="Q510">
        <v>7.28</v>
      </c>
      <c r="R510">
        <f t="shared" si="43"/>
        <v>2.6900000000000004</v>
      </c>
      <c r="S510">
        <v>5</v>
      </c>
      <c r="T510">
        <f t="shared" si="44"/>
        <v>36.4</v>
      </c>
      <c r="U510">
        <v>0.05</v>
      </c>
      <c r="V510">
        <f t="shared" si="45"/>
        <v>1.82</v>
      </c>
      <c r="W510">
        <f t="shared" si="46"/>
        <v>34.58</v>
      </c>
      <c r="X510">
        <v>11.15</v>
      </c>
      <c r="Y510">
        <f t="shared" si="47"/>
        <v>45.73</v>
      </c>
    </row>
    <row r="511" spans="1:25" x14ac:dyDescent="0.25">
      <c r="A511" t="s">
        <v>1410</v>
      </c>
      <c r="B511">
        <v>42050</v>
      </c>
      <c r="C511" t="str">
        <f t="shared" si="42"/>
        <v>2015</v>
      </c>
      <c r="D511" t="s">
        <v>716</v>
      </c>
      <c r="E511" t="s">
        <v>717</v>
      </c>
      <c r="F511" t="s">
        <v>448</v>
      </c>
      <c r="G511" t="s">
        <v>449</v>
      </c>
      <c r="H511" t="s">
        <v>241</v>
      </c>
      <c r="I511" t="s">
        <v>504</v>
      </c>
      <c r="J511" t="s">
        <v>304</v>
      </c>
      <c r="K511" t="s">
        <v>1249</v>
      </c>
      <c r="L511" t="s">
        <v>245</v>
      </c>
      <c r="M511" t="s">
        <v>246</v>
      </c>
      <c r="N511" t="s">
        <v>247</v>
      </c>
      <c r="O511">
        <v>42051</v>
      </c>
      <c r="P511">
        <v>1.19</v>
      </c>
      <c r="Q511">
        <v>1.98</v>
      </c>
      <c r="R511">
        <f t="shared" si="43"/>
        <v>0.79</v>
      </c>
      <c r="S511">
        <v>3</v>
      </c>
      <c r="T511">
        <f t="shared" si="44"/>
        <v>5.9399999999999995</v>
      </c>
      <c r="U511">
        <v>0.05</v>
      </c>
      <c r="V511">
        <f t="shared" si="45"/>
        <v>0.29699999999999999</v>
      </c>
      <c r="W511">
        <f t="shared" si="46"/>
        <v>5.6429999999999998</v>
      </c>
      <c r="X511">
        <v>4.7699999999999996</v>
      </c>
      <c r="Y511">
        <f t="shared" si="47"/>
        <v>10.413</v>
      </c>
    </row>
    <row r="512" spans="1:25" x14ac:dyDescent="0.25">
      <c r="A512" t="s">
        <v>1411</v>
      </c>
      <c r="B512">
        <v>42052</v>
      </c>
      <c r="C512" t="str">
        <f t="shared" si="42"/>
        <v>2015</v>
      </c>
      <c r="D512" t="s">
        <v>781</v>
      </c>
      <c r="E512" t="s">
        <v>782</v>
      </c>
      <c r="F512" t="s">
        <v>257</v>
      </c>
      <c r="G512" t="s">
        <v>258</v>
      </c>
      <c r="H512" t="s">
        <v>259</v>
      </c>
      <c r="I512" t="s">
        <v>381</v>
      </c>
      <c r="J512" t="s">
        <v>304</v>
      </c>
      <c r="K512" t="s">
        <v>387</v>
      </c>
      <c r="L512" t="s">
        <v>245</v>
      </c>
      <c r="M512" t="s">
        <v>323</v>
      </c>
      <c r="N512" t="s">
        <v>247</v>
      </c>
      <c r="O512">
        <v>42054</v>
      </c>
      <c r="P512">
        <v>4.79</v>
      </c>
      <c r="Q512">
        <v>11.97</v>
      </c>
      <c r="R512">
        <f t="shared" si="43"/>
        <v>7.1800000000000006</v>
      </c>
      <c r="S512">
        <v>30</v>
      </c>
      <c r="T512">
        <f t="shared" si="44"/>
        <v>359.1</v>
      </c>
      <c r="U512">
        <v>0.08</v>
      </c>
      <c r="V512">
        <f t="shared" si="45"/>
        <v>28.728000000000002</v>
      </c>
      <c r="W512">
        <f t="shared" si="46"/>
        <v>330.37200000000001</v>
      </c>
      <c r="X512">
        <v>5.81</v>
      </c>
      <c r="Y512">
        <f t="shared" si="47"/>
        <v>336.18200000000002</v>
      </c>
    </row>
    <row r="513" spans="1:25" x14ac:dyDescent="0.25">
      <c r="A513" t="s">
        <v>1412</v>
      </c>
      <c r="B513">
        <v>42053</v>
      </c>
      <c r="C513" t="str">
        <f t="shared" si="42"/>
        <v>2015</v>
      </c>
      <c r="D513" t="s">
        <v>1413</v>
      </c>
      <c r="E513" t="s">
        <v>511</v>
      </c>
      <c r="F513" t="s">
        <v>257</v>
      </c>
      <c r="G513" t="s">
        <v>258</v>
      </c>
      <c r="H513" t="s">
        <v>259</v>
      </c>
      <c r="I513" t="s">
        <v>381</v>
      </c>
      <c r="J513" t="s">
        <v>243</v>
      </c>
      <c r="K513" t="s">
        <v>625</v>
      </c>
      <c r="L513" t="s">
        <v>245</v>
      </c>
      <c r="M513" t="s">
        <v>246</v>
      </c>
      <c r="N513" t="s">
        <v>247</v>
      </c>
      <c r="O513">
        <v>42055</v>
      </c>
      <c r="P513">
        <v>1.84</v>
      </c>
      <c r="Q513">
        <v>2.88</v>
      </c>
      <c r="R513">
        <f t="shared" si="43"/>
        <v>1.0399999999999998</v>
      </c>
      <c r="S513">
        <v>22</v>
      </c>
      <c r="T513">
        <f t="shared" si="44"/>
        <v>63.36</v>
      </c>
      <c r="U513">
        <v>0.1</v>
      </c>
      <c r="V513">
        <f t="shared" si="45"/>
        <v>6.3360000000000003</v>
      </c>
      <c r="W513">
        <f t="shared" si="46"/>
        <v>57.024000000000001</v>
      </c>
      <c r="X513">
        <v>1.49</v>
      </c>
      <c r="Y513">
        <f t="shared" si="47"/>
        <v>58.514000000000003</v>
      </c>
    </row>
    <row r="514" spans="1:25" x14ac:dyDescent="0.25">
      <c r="A514" t="s">
        <v>1414</v>
      </c>
      <c r="B514">
        <v>42053</v>
      </c>
      <c r="C514" t="str">
        <f t="shared" si="42"/>
        <v>2015</v>
      </c>
      <c r="D514" t="s">
        <v>955</v>
      </c>
      <c r="E514" t="s">
        <v>522</v>
      </c>
      <c r="F514" t="s">
        <v>239</v>
      </c>
      <c r="G514" t="s">
        <v>240</v>
      </c>
      <c r="H514" t="s">
        <v>241</v>
      </c>
      <c r="I514" t="s">
        <v>251</v>
      </c>
      <c r="J514" t="s">
        <v>243</v>
      </c>
      <c r="K514" t="s">
        <v>811</v>
      </c>
      <c r="L514" t="s">
        <v>245</v>
      </c>
      <c r="M514" t="s">
        <v>246</v>
      </c>
      <c r="N514" t="s">
        <v>247</v>
      </c>
      <c r="O514">
        <v>42056</v>
      </c>
      <c r="P514">
        <v>3.37</v>
      </c>
      <c r="Q514">
        <v>5.53</v>
      </c>
      <c r="R514">
        <f t="shared" si="43"/>
        <v>2.16</v>
      </c>
      <c r="S514">
        <v>12</v>
      </c>
      <c r="T514">
        <f t="shared" si="44"/>
        <v>66.36</v>
      </c>
      <c r="U514">
        <v>0.06</v>
      </c>
      <c r="V514">
        <f t="shared" si="45"/>
        <v>3.9815999999999998</v>
      </c>
      <c r="W514">
        <f t="shared" si="46"/>
        <v>62.378399999999999</v>
      </c>
      <c r="X514">
        <v>6.98</v>
      </c>
      <c r="Y514">
        <f t="shared" si="47"/>
        <v>69.358400000000003</v>
      </c>
    </row>
    <row r="515" spans="1:25" x14ac:dyDescent="0.25">
      <c r="A515" t="s">
        <v>1415</v>
      </c>
      <c r="B515">
        <v>42053</v>
      </c>
      <c r="C515" t="str">
        <f t="shared" si="42"/>
        <v>2015</v>
      </c>
      <c r="D515" t="s">
        <v>955</v>
      </c>
      <c r="E515" t="s">
        <v>522</v>
      </c>
      <c r="F515" t="s">
        <v>239</v>
      </c>
      <c r="G515" t="s">
        <v>240</v>
      </c>
      <c r="H515" t="s">
        <v>241</v>
      </c>
      <c r="I515" t="s">
        <v>251</v>
      </c>
      <c r="J515" t="s">
        <v>243</v>
      </c>
      <c r="K515" t="s">
        <v>953</v>
      </c>
      <c r="L515" t="s">
        <v>245</v>
      </c>
      <c r="M515" t="s">
        <v>253</v>
      </c>
      <c r="N515" t="s">
        <v>247</v>
      </c>
      <c r="O515">
        <v>42054</v>
      </c>
      <c r="P515">
        <v>2.16</v>
      </c>
      <c r="Q515">
        <v>3.85</v>
      </c>
      <c r="R515">
        <f t="shared" si="43"/>
        <v>1.69</v>
      </c>
      <c r="S515">
        <v>12</v>
      </c>
      <c r="T515">
        <f t="shared" si="44"/>
        <v>46.2</v>
      </c>
      <c r="U515">
        <v>0.1</v>
      </c>
      <c r="V515">
        <f t="shared" si="45"/>
        <v>4.62</v>
      </c>
      <c r="W515">
        <f t="shared" si="46"/>
        <v>41.580000000000005</v>
      </c>
      <c r="X515">
        <v>0.7</v>
      </c>
      <c r="Y515">
        <f t="shared" si="47"/>
        <v>42.280000000000008</v>
      </c>
    </row>
    <row r="516" spans="1:25" x14ac:dyDescent="0.25">
      <c r="A516" t="s">
        <v>1416</v>
      </c>
      <c r="B516">
        <v>42058</v>
      </c>
      <c r="C516" t="str">
        <f t="shared" si="42"/>
        <v>2015</v>
      </c>
      <c r="D516" t="s">
        <v>1417</v>
      </c>
      <c r="E516" t="s">
        <v>1418</v>
      </c>
      <c r="F516" t="s">
        <v>257</v>
      </c>
      <c r="G516" t="s">
        <v>258</v>
      </c>
      <c r="H516" t="s">
        <v>241</v>
      </c>
      <c r="I516" t="s">
        <v>309</v>
      </c>
      <c r="J516" t="s">
        <v>261</v>
      </c>
      <c r="K516" t="s">
        <v>305</v>
      </c>
      <c r="L516" t="s">
        <v>245</v>
      </c>
      <c r="M516" t="s">
        <v>246</v>
      </c>
      <c r="N516" t="s">
        <v>247</v>
      </c>
      <c r="O516">
        <v>42061</v>
      </c>
      <c r="P516">
        <v>4.8899999999999997</v>
      </c>
      <c r="Q516">
        <v>7.64</v>
      </c>
      <c r="R516">
        <f t="shared" si="43"/>
        <v>2.75</v>
      </c>
      <c r="S516">
        <v>32</v>
      </c>
      <c r="T516">
        <f t="shared" si="44"/>
        <v>244.48</v>
      </c>
      <c r="U516">
        <v>0.06</v>
      </c>
      <c r="V516">
        <f t="shared" si="45"/>
        <v>14.668799999999999</v>
      </c>
      <c r="W516">
        <f t="shared" si="46"/>
        <v>229.81119999999999</v>
      </c>
      <c r="X516">
        <v>1.39</v>
      </c>
      <c r="Y516">
        <f t="shared" si="47"/>
        <v>231.20119999999997</v>
      </c>
    </row>
    <row r="517" spans="1:25" x14ac:dyDescent="0.25">
      <c r="A517" t="s">
        <v>1419</v>
      </c>
      <c r="B517">
        <v>42059</v>
      </c>
      <c r="C517" t="str">
        <f t="shared" si="42"/>
        <v>2015</v>
      </c>
      <c r="D517" t="s">
        <v>759</v>
      </c>
      <c r="E517" t="s">
        <v>760</v>
      </c>
      <c r="F517" t="s">
        <v>448</v>
      </c>
      <c r="G517" t="s">
        <v>449</v>
      </c>
      <c r="H517" t="s">
        <v>259</v>
      </c>
      <c r="I517" t="s">
        <v>333</v>
      </c>
      <c r="J517" t="s">
        <v>304</v>
      </c>
      <c r="K517" t="s">
        <v>1051</v>
      </c>
      <c r="L517" t="s">
        <v>245</v>
      </c>
      <c r="M517" t="s">
        <v>253</v>
      </c>
      <c r="N517" t="s">
        <v>247</v>
      </c>
      <c r="O517">
        <v>42060</v>
      </c>
      <c r="P517">
        <v>0.87</v>
      </c>
      <c r="Q517">
        <v>1.81</v>
      </c>
      <c r="R517">
        <f t="shared" si="43"/>
        <v>0.94000000000000006</v>
      </c>
      <c r="S517">
        <v>41</v>
      </c>
      <c r="T517">
        <f t="shared" si="44"/>
        <v>74.210000000000008</v>
      </c>
      <c r="U517">
        <v>0.03</v>
      </c>
      <c r="V517">
        <f t="shared" si="45"/>
        <v>2.2263000000000002</v>
      </c>
      <c r="W517">
        <f t="shared" si="46"/>
        <v>71.983700000000013</v>
      </c>
      <c r="X517">
        <v>0.75</v>
      </c>
      <c r="Y517">
        <f t="shared" si="47"/>
        <v>72.733700000000013</v>
      </c>
    </row>
    <row r="518" spans="1:25" x14ac:dyDescent="0.25">
      <c r="A518" t="s">
        <v>1420</v>
      </c>
      <c r="B518">
        <v>42059</v>
      </c>
      <c r="C518" t="str">
        <f t="shared" ref="C518:C581" si="48">TEXT(B518,"yyyy")</f>
        <v>2015</v>
      </c>
      <c r="D518" t="s">
        <v>1421</v>
      </c>
      <c r="E518" t="s">
        <v>1422</v>
      </c>
      <c r="F518" t="s">
        <v>239</v>
      </c>
      <c r="G518" t="s">
        <v>240</v>
      </c>
      <c r="H518" t="s">
        <v>293</v>
      </c>
      <c r="I518" t="s">
        <v>251</v>
      </c>
      <c r="J518" t="s">
        <v>261</v>
      </c>
      <c r="K518" t="s">
        <v>799</v>
      </c>
      <c r="L518" t="s">
        <v>245</v>
      </c>
      <c r="M518" t="s">
        <v>246</v>
      </c>
      <c r="N518" t="s">
        <v>247</v>
      </c>
      <c r="O518">
        <v>42059</v>
      </c>
      <c r="P518">
        <v>2.29</v>
      </c>
      <c r="Q518">
        <v>3.69</v>
      </c>
      <c r="R518">
        <f t="shared" ref="R518:R581" si="49">Q518-P518</f>
        <v>1.4</v>
      </c>
      <c r="S518">
        <v>12</v>
      </c>
      <c r="T518">
        <f t="shared" ref="T518:T581" si="50">Q518*S518</f>
        <v>44.28</v>
      </c>
      <c r="U518">
        <v>0.02</v>
      </c>
      <c r="V518">
        <f t="shared" ref="V518:V581" si="51">T518*U518</f>
        <v>0.88560000000000005</v>
      </c>
      <c r="W518">
        <f t="shared" ref="W518:W581" si="52">T518-V518</f>
        <v>43.394400000000005</v>
      </c>
      <c r="X518">
        <v>0.5</v>
      </c>
      <c r="Y518">
        <f t="shared" ref="Y518:Y581" si="53">W518+X518</f>
        <v>43.894400000000005</v>
      </c>
    </row>
    <row r="519" spans="1:25" x14ac:dyDescent="0.25">
      <c r="A519" t="s">
        <v>1423</v>
      </c>
      <c r="B519">
        <v>42062</v>
      </c>
      <c r="C519" t="str">
        <f t="shared" si="48"/>
        <v>2015</v>
      </c>
      <c r="D519" t="s">
        <v>1424</v>
      </c>
      <c r="E519" t="s">
        <v>363</v>
      </c>
      <c r="F519" t="s">
        <v>257</v>
      </c>
      <c r="G519" t="s">
        <v>258</v>
      </c>
      <c r="H519" t="s">
        <v>274</v>
      </c>
      <c r="I519" t="s">
        <v>284</v>
      </c>
      <c r="J519" t="s">
        <v>243</v>
      </c>
      <c r="K519" t="s">
        <v>1119</v>
      </c>
      <c r="L519" t="s">
        <v>245</v>
      </c>
      <c r="M519" t="s">
        <v>246</v>
      </c>
      <c r="N519" t="s">
        <v>263</v>
      </c>
      <c r="O519">
        <v>42063</v>
      </c>
      <c r="P519">
        <v>1.84</v>
      </c>
      <c r="Q519">
        <v>2.88</v>
      </c>
      <c r="R519">
        <f t="shared" si="49"/>
        <v>1.0399999999999998</v>
      </c>
      <c r="S519">
        <v>9</v>
      </c>
      <c r="T519">
        <f t="shared" si="50"/>
        <v>25.919999999999998</v>
      </c>
      <c r="U519">
        <v>0</v>
      </c>
      <c r="V519">
        <f t="shared" si="51"/>
        <v>0</v>
      </c>
      <c r="W519">
        <f t="shared" si="52"/>
        <v>25.919999999999998</v>
      </c>
      <c r="X519">
        <v>0.99</v>
      </c>
      <c r="Y519">
        <f t="shared" si="53"/>
        <v>26.909999999999997</v>
      </c>
    </row>
    <row r="520" spans="1:25" x14ac:dyDescent="0.25">
      <c r="A520" t="s">
        <v>1425</v>
      </c>
      <c r="B520">
        <v>42064</v>
      </c>
      <c r="C520" t="str">
        <f t="shared" si="48"/>
        <v>2015</v>
      </c>
      <c r="D520" t="s">
        <v>1426</v>
      </c>
      <c r="E520" t="s">
        <v>507</v>
      </c>
      <c r="F520" t="s">
        <v>257</v>
      </c>
      <c r="G520" t="s">
        <v>258</v>
      </c>
      <c r="H520" t="s">
        <v>274</v>
      </c>
      <c r="I520" t="s">
        <v>372</v>
      </c>
      <c r="J520" t="s">
        <v>279</v>
      </c>
      <c r="K520" t="s">
        <v>384</v>
      </c>
      <c r="L520" t="s">
        <v>268</v>
      </c>
      <c r="M520" t="s">
        <v>246</v>
      </c>
      <c r="N520" t="s">
        <v>247</v>
      </c>
      <c r="O520">
        <v>42064</v>
      </c>
      <c r="P520">
        <v>10.07</v>
      </c>
      <c r="Q520">
        <v>15.98</v>
      </c>
      <c r="R520">
        <f t="shared" si="49"/>
        <v>5.91</v>
      </c>
      <c r="S520">
        <v>26</v>
      </c>
      <c r="T520">
        <f t="shared" si="50"/>
        <v>415.48</v>
      </c>
      <c r="U520">
        <v>0.01</v>
      </c>
      <c r="V520">
        <f t="shared" si="51"/>
        <v>4.1547999999999998</v>
      </c>
      <c r="W520">
        <f t="shared" si="52"/>
        <v>411.3252</v>
      </c>
      <c r="X520">
        <v>4</v>
      </c>
      <c r="Y520">
        <f t="shared" si="53"/>
        <v>415.3252</v>
      </c>
    </row>
    <row r="521" spans="1:25" x14ac:dyDescent="0.25">
      <c r="A521" t="s">
        <v>1427</v>
      </c>
      <c r="B521">
        <v>42065</v>
      </c>
      <c r="C521" t="str">
        <f t="shared" si="48"/>
        <v>2015</v>
      </c>
      <c r="D521" t="s">
        <v>1428</v>
      </c>
      <c r="E521" t="s">
        <v>393</v>
      </c>
      <c r="F521" t="s">
        <v>257</v>
      </c>
      <c r="G521" t="s">
        <v>258</v>
      </c>
      <c r="H521" t="s">
        <v>259</v>
      </c>
      <c r="I521" t="s">
        <v>342</v>
      </c>
      <c r="J521" t="s">
        <v>304</v>
      </c>
      <c r="K521" t="s">
        <v>1429</v>
      </c>
      <c r="L521" t="s">
        <v>245</v>
      </c>
      <c r="M521" t="s">
        <v>246</v>
      </c>
      <c r="N521" t="s">
        <v>263</v>
      </c>
      <c r="O521">
        <v>42066</v>
      </c>
      <c r="P521">
        <v>3.99</v>
      </c>
      <c r="Q521">
        <v>6.23</v>
      </c>
      <c r="R521">
        <f t="shared" si="49"/>
        <v>2.2400000000000002</v>
      </c>
      <c r="S521">
        <v>4</v>
      </c>
      <c r="T521">
        <f t="shared" si="50"/>
        <v>24.92</v>
      </c>
      <c r="U521">
        <v>0.1</v>
      </c>
      <c r="V521">
        <f t="shared" si="51"/>
        <v>2.4920000000000004</v>
      </c>
      <c r="W521">
        <f t="shared" si="52"/>
        <v>22.428000000000001</v>
      </c>
      <c r="X521">
        <v>6.97</v>
      </c>
      <c r="Y521">
        <f t="shared" si="53"/>
        <v>29.398</v>
      </c>
    </row>
    <row r="522" spans="1:25" x14ac:dyDescent="0.25">
      <c r="A522" t="s">
        <v>1430</v>
      </c>
      <c r="B522">
        <v>42065</v>
      </c>
      <c r="C522" t="str">
        <f t="shared" si="48"/>
        <v>2015</v>
      </c>
      <c r="D522" t="s">
        <v>1431</v>
      </c>
      <c r="E522" t="s">
        <v>938</v>
      </c>
      <c r="F522" t="s">
        <v>239</v>
      </c>
      <c r="G522" t="s">
        <v>240</v>
      </c>
      <c r="H522" t="s">
        <v>274</v>
      </c>
      <c r="I522" t="s">
        <v>242</v>
      </c>
      <c r="J522" t="s">
        <v>261</v>
      </c>
      <c r="K522" t="s">
        <v>334</v>
      </c>
      <c r="L522" t="s">
        <v>245</v>
      </c>
      <c r="M522" t="s">
        <v>253</v>
      </c>
      <c r="N522" t="s">
        <v>247</v>
      </c>
      <c r="O522">
        <v>42067</v>
      </c>
      <c r="P522">
        <v>1.3</v>
      </c>
      <c r="Q522">
        <v>2.88</v>
      </c>
      <c r="R522">
        <f t="shared" si="49"/>
        <v>1.5799999999999998</v>
      </c>
      <c r="S522">
        <v>43</v>
      </c>
      <c r="T522">
        <f t="shared" si="50"/>
        <v>123.83999999999999</v>
      </c>
      <c r="U522">
        <v>0.1</v>
      </c>
      <c r="V522">
        <f t="shared" si="51"/>
        <v>12.384</v>
      </c>
      <c r="W522">
        <f t="shared" si="52"/>
        <v>111.45599999999999</v>
      </c>
      <c r="X522">
        <v>1.01</v>
      </c>
      <c r="Y522">
        <f t="shared" si="53"/>
        <v>112.46599999999999</v>
      </c>
    </row>
    <row r="523" spans="1:25" x14ac:dyDescent="0.25">
      <c r="A523" t="s">
        <v>1432</v>
      </c>
      <c r="B523">
        <v>42066</v>
      </c>
      <c r="C523" t="str">
        <f t="shared" si="48"/>
        <v>2015</v>
      </c>
      <c r="D523" t="s">
        <v>1433</v>
      </c>
      <c r="E523" t="s">
        <v>467</v>
      </c>
      <c r="F523" t="s">
        <v>257</v>
      </c>
      <c r="G523" t="s">
        <v>258</v>
      </c>
      <c r="H523" t="s">
        <v>241</v>
      </c>
      <c r="I523" t="s">
        <v>342</v>
      </c>
      <c r="J523" t="s">
        <v>243</v>
      </c>
      <c r="K523" t="s">
        <v>803</v>
      </c>
      <c r="L523" t="s">
        <v>245</v>
      </c>
      <c r="M523" t="s">
        <v>253</v>
      </c>
      <c r="N523" t="s">
        <v>247</v>
      </c>
      <c r="O523">
        <v>42067</v>
      </c>
      <c r="P523">
        <v>5.22</v>
      </c>
      <c r="Q523">
        <v>9.85</v>
      </c>
      <c r="R523">
        <f t="shared" si="49"/>
        <v>4.63</v>
      </c>
      <c r="S523">
        <v>41</v>
      </c>
      <c r="T523">
        <f t="shared" si="50"/>
        <v>403.84999999999997</v>
      </c>
      <c r="U523">
        <v>0.05</v>
      </c>
      <c r="V523">
        <f t="shared" si="51"/>
        <v>20.192499999999999</v>
      </c>
      <c r="W523">
        <f t="shared" si="52"/>
        <v>383.65749999999997</v>
      </c>
      <c r="X523">
        <v>4.82</v>
      </c>
      <c r="Y523">
        <f t="shared" si="53"/>
        <v>388.47749999999996</v>
      </c>
    </row>
    <row r="524" spans="1:25" x14ac:dyDescent="0.25">
      <c r="A524" t="s">
        <v>1434</v>
      </c>
      <c r="B524">
        <v>42067</v>
      </c>
      <c r="C524" t="str">
        <f t="shared" si="48"/>
        <v>2015</v>
      </c>
      <c r="D524" t="s">
        <v>1435</v>
      </c>
      <c r="E524" t="s">
        <v>1133</v>
      </c>
      <c r="F524" t="s">
        <v>257</v>
      </c>
      <c r="G524" t="s">
        <v>258</v>
      </c>
      <c r="H524" t="s">
        <v>259</v>
      </c>
      <c r="I524" t="s">
        <v>372</v>
      </c>
      <c r="J524" t="s">
        <v>243</v>
      </c>
      <c r="K524" t="s">
        <v>953</v>
      </c>
      <c r="L524" t="s">
        <v>245</v>
      </c>
      <c r="M524" t="s">
        <v>253</v>
      </c>
      <c r="N524" t="s">
        <v>247</v>
      </c>
      <c r="O524">
        <v>42069</v>
      </c>
      <c r="P524">
        <v>2.16</v>
      </c>
      <c r="Q524">
        <v>3.85</v>
      </c>
      <c r="R524">
        <f t="shared" si="49"/>
        <v>1.69</v>
      </c>
      <c r="S524">
        <v>4</v>
      </c>
      <c r="T524">
        <f t="shared" si="50"/>
        <v>15.4</v>
      </c>
      <c r="U524">
        <v>0.09</v>
      </c>
      <c r="V524">
        <f t="shared" si="51"/>
        <v>1.3859999999999999</v>
      </c>
      <c r="W524">
        <f t="shared" si="52"/>
        <v>14.014000000000001</v>
      </c>
      <c r="X524">
        <v>0.7</v>
      </c>
      <c r="Y524">
        <f t="shared" si="53"/>
        <v>14.714</v>
      </c>
    </row>
    <row r="525" spans="1:25" x14ac:dyDescent="0.25">
      <c r="A525" t="s">
        <v>1436</v>
      </c>
      <c r="B525">
        <v>42069</v>
      </c>
      <c r="C525" t="str">
        <f t="shared" si="48"/>
        <v>2015</v>
      </c>
      <c r="D525" t="s">
        <v>844</v>
      </c>
      <c r="E525" t="s">
        <v>528</v>
      </c>
      <c r="F525" t="s">
        <v>239</v>
      </c>
      <c r="G525" t="s">
        <v>240</v>
      </c>
      <c r="H525" t="s">
        <v>293</v>
      </c>
      <c r="I525" t="s">
        <v>251</v>
      </c>
      <c r="J525" t="s">
        <v>243</v>
      </c>
      <c r="K525" t="s">
        <v>300</v>
      </c>
      <c r="L525" t="s">
        <v>245</v>
      </c>
      <c r="M525" t="s">
        <v>246</v>
      </c>
      <c r="N525" t="s">
        <v>247</v>
      </c>
      <c r="O525">
        <v>42070</v>
      </c>
      <c r="P525">
        <v>5.33</v>
      </c>
      <c r="Q525">
        <v>8.6</v>
      </c>
      <c r="R525">
        <f t="shared" si="49"/>
        <v>3.2699999999999996</v>
      </c>
      <c r="S525">
        <v>2</v>
      </c>
      <c r="T525">
        <f t="shared" si="50"/>
        <v>17.2</v>
      </c>
      <c r="U525">
        <v>0.05</v>
      </c>
      <c r="V525">
        <f t="shared" si="51"/>
        <v>0.86</v>
      </c>
      <c r="W525">
        <f t="shared" si="52"/>
        <v>16.34</v>
      </c>
      <c r="X525">
        <v>6.19</v>
      </c>
      <c r="Y525">
        <f t="shared" si="53"/>
        <v>22.53</v>
      </c>
    </row>
    <row r="526" spans="1:25" x14ac:dyDescent="0.25">
      <c r="A526" t="s">
        <v>1437</v>
      </c>
      <c r="B526">
        <v>42074</v>
      </c>
      <c r="C526" t="str">
        <f t="shared" si="48"/>
        <v>2015</v>
      </c>
      <c r="D526" t="s">
        <v>1438</v>
      </c>
      <c r="E526" t="s">
        <v>1439</v>
      </c>
      <c r="F526" t="s">
        <v>257</v>
      </c>
      <c r="G526" t="s">
        <v>258</v>
      </c>
      <c r="H526" t="s">
        <v>293</v>
      </c>
      <c r="I526" t="s">
        <v>333</v>
      </c>
      <c r="J526" t="s">
        <v>243</v>
      </c>
      <c r="K526" t="s">
        <v>435</v>
      </c>
      <c r="L526" t="s">
        <v>245</v>
      </c>
      <c r="M526" t="s">
        <v>253</v>
      </c>
      <c r="N526" t="s">
        <v>247</v>
      </c>
      <c r="O526">
        <v>42075</v>
      </c>
      <c r="P526">
        <v>3.75</v>
      </c>
      <c r="Q526">
        <v>7.08</v>
      </c>
      <c r="R526">
        <f t="shared" si="49"/>
        <v>3.33</v>
      </c>
      <c r="S526">
        <v>12</v>
      </c>
      <c r="T526">
        <f t="shared" si="50"/>
        <v>84.960000000000008</v>
      </c>
      <c r="U526">
        <v>0.1</v>
      </c>
      <c r="V526">
        <f t="shared" si="51"/>
        <v>8.4960000000000004</v>
      </c>
      <c r="W526">
        <f t="shared" si="52"/>
        <v>76.464000000000013</v>
      </c>
      <c r="X526">
        <v>2.35</v>
      </c>
      <c r="Y526">
        <f t="shared" si="53"/>
        <v>78.814000000000007</v>
      </c>
    </row>
    <row r="527" spans="1:25" x14ac:dyDescent="0.25">
      <c r="A527" t="s">
        <v>1440</v>
      </c>
      <c r="B527">
        <v>42075</v>
      </c>
      <c r="C527" t="str">
        <f t="shared" si="48"/>
        <v>2015</v>
      </c>
      <c r="D527" t="s">
        <v>1441</v>
      </c>
      <c r="E527" t="s">
        <v>928</v>
      </c>
      <c r="F527" t="s">
        <v>257</v>
      </c>
      <c r="G527" t="s">
        <v>258</v>
      </c>
      <c r="H527" t="s">
        <v>241</v>
      </c>
      <c r="I527" t="s">
        <v>284</v>
      </c>
      <c r="J527" t="s">
        <v>261</v>
      </c>
      <c r="K527" t="s">
        <v>617</v>
      </c>
      <c r="L527" t="s">
        <v>245</v>
      </c>
      <c r="M527" t="s">
        <v>246</v>
      </c>
      <c r="N527" t="s">
        <v>247</v>
      </c>
      <c r="O527">
        <v>42076</v>
      </c>
      <c r="P527">
        <v>1.94</v>
      </c>
      <c r="Q527">
        <v>3.08</v>
      </c>
      <c r="R527">
        <f t="shared" si="49"/>
        <v>1.1400000000000001</v>
      </c>
      <c r="S527">
        <v>4</v>
      </c>
      <c r="T527">
        <f t="shared" si="50"/>
        <v>12.32</v>
      </c>
      <c r="U527">
        <v>0.03</v>
      </c>
      <c r="V527">
        <f t="shared" si="51"/>
        <v>0.36959999999999998</v>
      </c>
      <c r="W527">
        <f t="shared" si="52"/>
        <v>11.9504</v>
      </c>
      <c r="X527">
        <v>0.99</v>
      </c>
      <c r="Y527">
        <f t="shared" si="53"/>
        <v>12.9404</v>
      </c>
    </row>
    <row r="528" spans="1:25" x14ac:dyDescent="0.25">
      <c r="A528" t="s">
        <v>1442</v>
      </c>
      <c r="B528">
        <v>42078</v>
      </c>
      <c r="C528" t="str">
        <f t="shared" si="48"/>
        <v>2015</v>
      </c>
      <c r="D528" t="s">
        <v>1402</v>
      </c>
      <c r="E528" t="s">
        <v>1093</v>
      </c>
      <c r="F528" t="s">
        <v>257</v>
      </c>
      <c r="G528" t="s">
        <v>258</v>
      </c>
      <c r="H528" t="s">
        <v>274</v>
      </c>
      <c r="I528" t="s">
        <v>372</v>
      </c>
      <c r="J528" t="s">
        <v>243</v>
      </c>
      <c r="K528" t="s">
        <v>661</v>
      </c>
      <c r="L528" t="s">
        <v>245</v>
      </c>
      <c r="M528" t="s">
        <v>246</v>
      </c>
      <c r="N528" t="s">
        <v>247</v>
      </c>
      <c r="O528">
        <v>42080</v>
      </c>
      <c r="P528">
        <v>2.1800000000000002</v>
      </c>
      <c r="Q528">
        <v>3.52</v>
      </c>
      <c r="R528">
        <f t="shared" si="49"/>
        <v>1.3399999999999999</v>
      </c>
      <c r="S528">
        <v>49</v>
      </c>
      <c r="T528">
        <f t="shared" si="50"/>
        <v>172.48</v>
      </c>
      <c r="U528">
        <v>0.08</v>
      </c>
      <c r="V528">
        <f t="shared" si="51"/>
        <v>13.798399999999999</v>
      </c>
      <c r="W528">
        <f t="shared" si="52"/>
        <v>158.6816</v>
      </c>
      <c r="X528">
        <v>6.83</v>
      </c>
      <c r="Y528">
        <f t="shared" si="53"/>
        <v>165.51160000000002</v>
      </c>
    </row>
    <row r="529" spans="1:25" x14ac:dyDescent="0.25">
      <c r="A529" t="s">
        <v>1443</v>
      </c>
      <c r="B529">
        <v>42079</v>
      </c>
      <c r="C529" t="str">
        <f t="shared" si="48"/>
        <v>2015</v>
      </c>
      <c r="D529" t="s">
        <v>1444</v>
      </c>
      <c r="E529" t="s">
        <v>328</v>
      </c>
      <c r="F529" t="s">
        <v>257</v>
      </c>
      <c r="G529" t="s">
        <v>258</v>
      </c>
      <c r="H529" t="s">
        <v>241</v>
      </c>
      <c r="I529" t="s">
        <v>299</v>
      </c>
      <c r="J529" t="s">
        <v>294</v>
      </c>
      <c r="K529" t="s">
        <v>1025</v>
      </c>
      <c r="L529" t="s">
        <v>268</v>
      </c>
      <c r="M529" t="s">
        <v>269</v>
      </c>
      <c r="N529" t="s">
        <v>270</v>
      </c>
      <c r="O529">
        <v>42080</v>
      </c>
      <c r="P529">
        <v>315.61</v>
      </c>
      <c r="Q529">
        <v>500.97</v>
      </c>
      <c r="R529">
        <f t="shared" si="49"/>
        <v>185.36</v>
      </c>
      <c r="S529">
        <v>3</v>
      </c>
      <c r="T529">
        <f t="shared" si="50"/>
        <v>1502.91</v>
      </c>
      <c r="U529">
        <v>0.06</v>
      </c>
      <c r="V529">
        <f t="shared" si="51"/>
        <v>90.174599999999998</v>
      </c>
      <c r="W529">
        <f t="shared" si="52"/>
        <v>1412.7354</v>
      </c>
      <c r="X529">
        <v>69.3</v>
      </c>
      <c r="Y529">
        <f t="shared" si="53"/>
        <v>1482.0354</v>
      </c>
    </row>
    <row r="530" spans="1:25" x14ac:dyDescent="0.25">
      <c r="A530" t="s">
        <v>1445</v>
      </c>
      <c r="B530">
        <v>42079</v>
      </c>
      <c r="C530" t="str">
        <f t="shared" si="48"/>
        <v>2015</v>
      </c>
      <c r="D530" t="s">
        <v>1446</v>
      </c>
      <c r="E530" t="s">
        <v>528</v>
      </c>
      <c r="F530" t="s">
        <v>239</v>
      </c>
      <c r="G530" t="s">
        <v>240</v>
      </c>
      <c r="H530" t="s">
        <v>293</v>
      </c>
      <c r="I530" t="s">
        <v>251</v>
      </c>
      <c r="J530" t="s">
        <v>243</v>
      </c>
      <c r="K530" t="s">
        <v>734</v>
      </c>
      <c r="L530" t="s">
        <v>245</v>
      </c>
      <c r="M530" t="s">
        <v>246</v>
      </c>
      <c r="N530" t="s">
        <v>247</v>
      </c>
      <c r="O530">
        <v>42079</v>
      </c>
      <c r="P530">
        <v>14.95</v>
      </c>
      <c r="Q530">
        <v>34.76</v>
      </c>
      <c r="R530">
        <f t="shared" si="49"/>
        <v>19.809999999999999</v>
      </c>
      <c r="S530">
        <v>43</v>
      </c>
      <c r="T530">
        <f t="shared" si="50"/>
        <v>1494.6799999999998</v>
      </c>
      <c r="U530">
        <v>0</v>
      </c>
      <c r="V530">
        <f t="shared" si="51"/>
        <v>0</v>
      </c>
      <c r="W530">
        <f t="shared" si="52"/>
        <v>1494.6799999999998</v>
      </c>
      <c r="X530">
        <v>8.2200000000000006</v>
      </c>
      <c r="Y530">
        <f t="shared" si="53"/>
        <v>1502.8999999999999</v>
      </c>
    </row>
    <row r="531" spans="1:25" x14ac:dyDescent="0.25">
      <c r="A531" t="s">
        <v>1447</v>
      </c>
      <c r="B531">
        <v>42080</v>
      </c>
      <c r="C531" t="str">
        <f t="shared" si="48"/>
        <v>2015</v>
      </c>
      <c r="D531" t="s">
        <v>1448</v>
      </c>
      <c r="E531" t="s">
        <v>528</v>
      </c>
      <c r="F531" t="s">
        <v>239</v>
      </c>
      <c r="G531" t="s">
        <v>240</v>
      </c>
      <c r="H531" t="s">
        <v>274</v>
      </c>
      <c r="I531" t="s">
        <v>251</v>
      </c>
      <c r="J531" t="s">
        <v>304</v>
      </c>
      <c r="K531" t="s">
        <v>475</v>
      </c>
      <c r="L531" t="s">
        <v>245</v>
      </c>
      <c r="M531" t="s">
        <v>246</v>
      </c>
      <c r="N531" t="s">
        <v>247</v>
      </c>
      <c r="O531">
        <v>42080</v>
      </c>
      <c r="P531">
        <v>12.39</v>
      </c>
      <c r="Q531">
        <v>19.98</v>
      </c>
      <c r="R531">
        <f t="shared" si="49"/>
        <v>7.59</v>
      </c>
      <c r="S531">
        <v>32</v>
      </c>
      <c r="T531">
        <f t="shared" si="50"/>
        <v>639.36</v>
      </c>
      <c r="U531">
        <v>0.05</v>
      </c>
      <c r="V531">
        <f t="shared" si="51"/>
        <v>31.968000000000004</v>
      </c>
      <c r="W531">
        <f t="shared" si="52"/>
        <v>607.39200000000005</v>
      </c>
      <c r="X531">
        <v>5.77</v>
      </c>
      <c r="Y531">
        <f t="shared" si="53"/>
        <v>613.16200000000003</v>
      </c>
    </row>
    <row r="532" spans="1:25" x14ac:dyDescent="0.25">
      <c r="A532" t="s">
        <v>1449</v>
      </c>
      <c r="B532">
        <v>42081</v>
      </c>
      <c r="C532" t="str">
        <f t="shared" si="48"/>
        <v>2015</v>
      </c>
      <c r="D532" t="s">
        <v>1450</v>
      </c>
      <c r="E532" t="s">
        <v>341</v>
      </c>
      <c r="F532" t="s">
        <v>257</v>
      </c>
      <c r="G532" t="s">
        <v>258</v>
      </c>
      <c r="H532" t="s">
        <v>259</v>
      </c>
      <c r="I532" t="s">
        <v>342</v>
      </c>
      <c r="J532" t="s">
        <v>261</v>
      </c>
      <c r="K532" t="s">
        <v>1351</v>
      </c>
      <c r="L532" t="s">
        <v>245</v>
      </c>
      <c r="M532" t="s">
        <v>323</v>
      </c>
      <c r="N532" t="s">
        <v>247</v>
      </c>
      <c r="O532">
        <v>42084</v>
      </c>
      <c r="P532">
        <v>2.87</v>
      </c>
      <c r="Q532">
        <v>6.84</v>
      </c>
      <c r="R532">
        <f t="shared" si="49"/>
        <v>3.9699999999999998</v>
      </c>
      <c r="S532">
        <v>35</v>
      </c>
      <c r="T532">
        <f t="shared" si="50"/>
        <v>239.4</v>
      </c>
      <c r="U532">
        <v>0.02</v>
      </c>
      <c r="V532">
        <f t="shared" si="51"/>
        <v>4.7880000000000003</v>
      </c>
      <c r="W532">
        <f t="shared" si="52"/>
        <v>234.61199999999999</v>
      </c>
      <c r="X532">
        <v>4.42</v>
      </c>
      <c r="Y532">
        <f t="shared" si="53"/>
        <v>239.03199999999998</v>
      </c>
    </row>
    <row r="533" spans="1:25" x14ac:dyDescent="0.25">
      <c r="A533" t="s">
        <v>1451</v>
      </c>
      <c r="B533">
        <v>42083</v>
      </c>
      <c r="C533" t="str">
        <f t="shared" si="48"/>
        <v>2015</v>
      </c>
      <c r="D533" t="s">
        <v>1452</v>
      </c>
      <c r="E533" t="s">
        <v>528</v>
      </c>
      <c r="F533" t="s">
        <v>239</v>
      </c>
      <c r="G533" t="s">
        <v>240</v>
      </c>
      <c r="H533" t="s">
        <v>293</v>
      </c>
      <c r="I533" t="s">
        <v>251</v>
      </c>
      <c r="J533" t="s">
        <v>261</v>
      </c>
      <c r="K533" t="s">
        <v>457</v>
      </c>
      <c r="L533" t="s">
        <v>268</v>
      </c>
      <c r="M533" t="s">
        <v>246</v>
      </c>
      <c r="N533" t="s">
        <v>263</v>
      </c>
      <c r="O533">
        <v>42084</v>
      </c>
      <c r="P533">
        <v>6.4</v>
      </c>
      <c r="Q533">
        <v>29.1</v>
      </c>
      <c r="R533">
        <f t="shared" si="49"/>
        <v>22.700000000000003</v>
      </c>
      <c r="S533">
        <v>50</v>
      </c>
      <c r="T533">
        <f t="shared" si="50"/>
        <v>1455</v>
      </c>
      <c r="U533">
        <v>0.09</v>
      </c>
      <c r="V533">
        <f t="shared" si="51"/>
        <v>130.94999999999999</v>
      </c>
      <c r="W533">
        <f t="shared" si="52"/>
        <v>1324.05</v>
      </c>
      <c r="X533">
        <v>4</v>
      </c>
      <c r="Y533">
        <f t="shared" si="53"/>
        <v>1328.05</v>
      </c>
    </row>
    <row r="534" spans="1:25" x14ac:dyDescent="0.25">
      <c r="A534" t="s">
        <v>1453</v>
      </c>
      <c r="B534">
        <v>42084</v>
      </c>
      <c r="C534" t="str">
        <f t="shared" si="48"/>
        <v>2015</v>
      </c>
      <c r="D534" t="s">
        <v>446</v>
      </c>
      <c r="E534" t="s">
        <v>447</v>
      </c>
      <c r="F534" t="s">
        <v>448</v>
      </c>
      <c r="G534" t="s">
        <v>449</v>
      </c>
      <c r="H534" t="s">
        <v>293</v>
      </c>
      <c r="I534" t="s">
        <v>333</v>
      </c>
      <c r="J534" t="s">
        <v>279</v>
      </c>
      <c r="K534" t="s">
        <v>439</v>
      </c>
      <c r="L534" t="s">
        <v>440</v>
      </c>
      <c r="M534" t="s">
        <v>323</v>
      </c>
      <c r="N534" t="s">
        <v>247</v>
      </c>
      <c r="O534">
        <v>42091</v>
      </c>
      <c r="P534">
        <v>5.5</v>
      </c>
      <c r="Q534">
        <v>12.22</v>
      </c>
      <c r="R534">
        <f t="shared" si="49"/>
        <v>6.7200000000000006</v>
      </c>
      <c r="S534">
        <v>5</v>
      </c>
      <c r="T534">
        <f t="shared" si="50"/>
        <v>61.1</v>
      </c>
      <c r="U534">
        <v>0.04</v>
      </c>
      <c r="V534">
        <f t="shared" si="51"/>
        <v>2.444</v>
      </c>
      <c r="W534">
        <f t="shared" si="52"/>
        <v>58.655999999999999</v>
      </c>
      <c r="X534">
        <v>2.85</v>
      </c>
      <c r="Y534">
        <f t="shared" si="53"/>
        <v>61.506</v>
      </c>
    </row>
    <row r="535" spans="1:25" x14ac:dyDescent="0.25">
      <c r="A535" t="s">
        <v>1454</v>
      </c>
      <c r="B535">
        <v>42084</v>
      </c>
      <c r="C535" t="str">
        <f t="shared" si="48"/>
        <v>2015</v>
      </c>
      <c r="D535" t="s">
        <v>646</v>
      </c>
      <c r="E535" t="s">
        <v>376</v>
      </c>
      <c r="F535" t="s">
        <v>239</v>
      </c>
      <c r="G535" t="s">
        <v>240</v>
      </c>
      <c r="H535" t="s">
        <v>293</v>
      </c>
      <c r="I535" t="s">
        <v>242</v>
      </c>
      <c r="J535" t="s">
        <v>261</v>
      </c>
      <c r="K535" t="s">
        <v>435</v>
      </c>
      <c r="L535" t="s">
        <v>245</v>
      </c>
      <c r="M535" t="s">
        <v>253</v>
      </c>
      <c r="N535" t="s">
        <v>247</v>
      </c>
      <c r="O535">
        <v>42085</v>
      </c>
      <c r="P535">
        <v>3.75</v>
      </c>
      <c r="Q535">
        <v>7.08</v>
      </c>
      <c r="R535">
        <f t="shared" si="49"/>
        <v>3.33</v>
      </c>
      <c r="S535">
        <v>31</v>
      </c>
      <c r="T535">
        <f t="shared" si="50"/>
        <v>219.48</v>
      </c>
      <c r="U535">
        <v>0.01</v>
      </c>
      <c r="V535">
        <f t="shared" si="51"/>
        <v>2.1947999999999999</v>
      </c>
      <c r="W535">
        <f t="shared" si="52"/>
        <v>217.2852</v>
      </c>
      <c r="X535">
        <v>2.35</v>
      </c>
      <c r="Y535">
        <f t="shared" si="53"/>
        <v>219.6352</v>
      </c>
    </row>
    <row r="536" spans="1:25" x14ac:dyDescent="0.25">
      <c r="A536" t="s">
        <v>1455</v>
      </c>
      <c r="B536">
        <v>42085</v>
      </c>
      <c r="C536" t="str">
        <f t="shared" si="48"/>
        <v>2015</v>
      </c>
      <c r="D536" t="s">
        <v>1456</v>
      </c>
      <c r="E536" t="s">
        <v>650</v>
      </c>
      <c r="F536" t="s">
        <v>257</v>
      </c>
      <c r="G536" t="s">
        <v>258</v>
      </c>
      <c r="H536" t="s">
        <v>241</v>
      </c>
      <c r="I536" t="s">
        <v>299</v>
      </c>
      <c r="J536" t="s">
        <v>243</v>
      </c>
      <c r="K536" t="s">
        <v>329</v>
      </c>
      <c r="L536" t="s">
        <v>245</v>
      </c>
      <c r="M536" t="s">
        <v>246</v>
      </c>
      <c r="N536" t="s">
        <v>263</v>
      </c>
      <c r="O536">
        <v>42086</v>
      </c>
      <c r="P536">
        <v>4.59</v>
      </c>
      <c r="Q536">
        <v>7.28</v>
      </c>
      <c r="R536">
        <f t="shared" si="49"/>
        <v>2.6900000000000004</v>
      </c>
      <c r="S536">
        <v>40</v>
      </c>
      <c r="T536">
        <f t="shared" si="50"/>
        <v>291.2</v>
      </c>
      <c r="U536">
        <v>0.04</v>
      </c>
      <c r="V536">
        <f t="shared" si="51"/>
        <v>11.648</v>
      </c>
      <c r="W536">
        <f t="shared" si="52"/>
        <v>279.55199999999996</v>
      </c>
      <c r="X536">
        <v>11.15</v>
      </c>
      <c r="Y536">
        <f t="shared" si="53"/>
        <v>290.70199999999994</v>
      </c>
    </row>
    <row r="537" spans="1:25" x14ac:dyDescent="0.25">
      <c r="A537" t="s">
        <v>1457</v>
      </c>
      <c r="B537">
        <v>42087</v>
      </c>
      <c r="C537" t="str">
        <f t="shared" si="48"/>
        <v>2015</v>
      </c>
      <c r="D537" t="s">
        <v>1458</v>
      </c>
      <c r="E537" t="s">
        <v>1459</v>
      </c>
      <c r="F537" t="s">
        <v>257</v>
      </c>
      <c r="G537" t="s">
        <v>258</v>
      </c>
      <c r="H537" t="s">
        <v>259</v>
      </c>
      <c r="I537" t="s">
        <v>260</v>
      </c>
      <c r="J537" t="s">
        <v>304</v>
      </c>
      <c r="K537" t="s">
        <v>811</v>
      </c>
      <c r="L537" t="s">
        <v>245</v>
      </c>
      <c r="M537" t="s">
        <v>246</v>
      </c>
      <c r="N537" t="s">
        <v>247</v>
      </c>
      <c r="O537">
        <v>42089</v>
      </c>
      <c r="P537">
        <v>3.37</v>
      </c>
      <c r="Q537">
        <v>5.53</v>
      </c>
      <c r="R537">
        <f t="shared" si="49"/>
        <v>2.16</v>
      </c>
      <c r="S537">
        <v>23</v>
      </c>
      <c r="T537">
        <f t="shared" si="50"/>
        <v>127.19000000000001</v>
      </c>
      <c r="U537">
        <v>0.1</v>
      </c>
      <c r="V537">
        <f t="shared" si="51"/>
        <v>12.719000000000001</v>
      </c>
      <c r="W537">
        <f t="shared" si="52"/>
        <v>114.471</v>
      </c>
      <c r="X537">
        <v>6.98</v>
      </c>
      <c r="Y537">
        <f t="shared" si="53"/>
        <v>121.45100000000001</v>
      </c>
    </row>
    <row r="538" spans="1:25" x14ac:dyDescent="0.25">
      <c r="A538" t="s">
        <v>1460</v>
      </c>
      <c r="B538">
        <v>42087</v>
      </c>
      <c r="C538" t="str">
        <f t="shared" si="48"/>
        <v>2015</v>
      </c>
      <c r="D538" t="s">
        <v>1461</v>
      </c>
      <c r="E538" t="s">
        <v>303</v>
      </c>
      <c r="F538" t="s">
        <v>239</v>
      </c>
      <c r="G538" t="s">
        <v>240</v>
      </c>
      <c r="H538" t="s">
        <v>259</v>
      </c>
      <c r="I538" t="s">
        <v>242</v>
      </c>
      <c r="J538" t="s">
        <v>261</v>
      </c>
      <c r="K538" t="s">
        <v>349</v>
      </c>
      <c r="L538" t="s">
        <v>245</v>
      </c>
      <c r="M538" t="s">
        <v>246</v>
      </c>
      <c r="N538" t="s">
        <v>247</v>
      </c>
      <c r="O538">
        <v>42088</v>
      </c>
      <c r="P538">
        <v>3.52</v>
      </c>
      <c r="Q538">
        <v>5.68</v>
      </c>
      <c r="R538">
        <f t="shared" si="49"/>
        <v>2.1599999999999997</v>
      </c>
      <c r="S538">
        <v>8</v>
      </c>
      <c r="T538">
        <f t="shared" si="50"/>
        <v>45.44</v>
      </c>
      <c r="U538">
        <v>0.02</v>
      </c>
      <c r="V538">
        <f t="shared" si="51"/>
        <v>0.90879999999999994</v>
      </c>
      <c r="W538">
        <f t="shared" si="52"/>
        <v>44.531199999999998</v>
      </c>
      <c r="X538">
        <v>1.39</v>
      </c>
      <c r="Y538">
        <f t="shared" si="53"/>
        <v>45.921199999999999</v>
      </c>
    </row>
    <row r="539" spans="1:25" x14ac:dyDescent="0.25">
      <c r="A539" t="s">
        <v>1462</v>
      </c>
      <c r="B539">
        <v>42088</v>
      </c>
      <c r="C539" t="str">
        <f t="shared" si="48"/>
        <v>2015</v>
      </c>
      <c r="D539" t="s">
        <v>1316</v>
      </c>
      <c r="E539" t="s">
        <v>376</v>
      </c>
      <c r="F539" t="s">
        <v>239</v>
      </c>
      <c r="G539" t="s">
        <v>240</v>
      </c>
      <c r="H539" t="s">
        <v>241</v>
      </c>
      <c r="I539" t="s">
        <v>242</v>
      </c>
      <c r="J539" t="s">
        <v>294</v>
      </c>
      <c r="K539" t="s">
        <v>413</v>
      </c>
      <c r="L539" t="s">
        <v>268</v>
      </c>
      <c r="M539" t="s">
        <v>414</v>
      </c>
      <c r="N539" t="s">
        <v>247</v>
      </c>
      <c r="O539">
        <v>42090</v>
      </c>
      <c r="P539">
        <v>8.82</v>
      </c>
      <c r="Q539">
        <v>20.99</v>
      </c>
      <c r="R539">
        <f t="shared" si="49"/>
        <v>12.169999999999998</v>
      </c>
      <c r="S539">
        <v>45</v>
      </c>
      <c r="T539">
        <f t="shared" si="50"/>
        <v>944.55</v>
      </c>
      <c r="U539">
        <v>0.03</v>
      </c>
      <c r="V539">
        <f t="shared" si="51"/>
        <v>28.336499999999997</v>
      </c>
      <c r="W539">
        <f t="shared" si="52"/>
        <v>916.21349999999995</v>
      </c>
      <c r="X539">
        <v>4.8099999999999996</v>
      </c>
      <c r="Y539">
        <f t="shared" si="53"/>
        <v>921.0234999999999</v>
      </c>
    </row>
    <row r="540" spans="1:25" x14ac:dyDescent="0.25">
      <c r="A540" t="s">
        <v>1463</v>
      </c>
      <c r="B540">
        <v>42088</v>
      </c>
      <c r="C540" t="str">
        <f t="shared" si="48"/>
        <v>2015</v>
      </c>
      <c r="D540" t="s">
        <v>1450</v>
      </c>
      <c r="E540" t="s">
        <v>341</v>
      </c>
      <c r="F540" t="s">
        <v>257</v>
      </c>
      <c r="G540" t="s">
        <v>258</v>
      </c>
      <c r="H540" t="s">
        <v>259</v>
      </c>
      <c r="I540" t="s">
        <v>342</v>
      </c>
      <c r="J540" t="s">
        <v>294</v>
      </c>
      <c r="K540" t="s">
        <v>630</v>
      </c>
      <c r="L540" t="s">
        <v>245</v>
      </c>
      <c r="M540" t="s">
        <v>253</v>
      </c>
      <c r="N540" t="s">
        <v>263</v>
      </c>
      <c r="O540">
        <v>42090</v>
      </c>
      <c r="P540">
        <v>1.53</v>
      </c>
      <c r="Q540">
        <v>2.78</v>
      </c>
      <c r="R540">
        <f t="shared" si="49"/>
        <v>1.2499999999999998</v>
      </c>
      <c r="S540">
        <v>34</v>
      </c>
      <c r="T540">
        <f t="shared" si="50"/>
        <v>94.52</v>
      </c>
      <c r="U540">
        <v>0</v>
      </c>
      <c r="V540">
        <f t="shared" si="51"/>
        <v>0</v>
      </c>
      <c r="W540">
        <f t="shared" si="52"/>
        <v>94.52</v>
      </c>
      <c r="X540">
        <v>1.34</v>
      </c>
      <c r="Y540">
        <f t="shared" si="53"/>
        <v>95.86</v>
      </c>
    </row>
    <row r="541" spans="1:25" x14ac:dyDescent="0.25">
      <c r="A541" t="s">
        <v>1464</v>
      </c>
      <c r="B541">
        <v>42093</v>
      </c>
      <c r="C541" t="str">
        <f t="shared" si="48"/>
        <v>2015</v>
      </c>
      <c r="D541" t="s">
        <v>1023</v>
      </c>
      <c r="E541" t="s">
        <v>356</v>
      </c>
      <c r="F541" t="s">
        <v>239</v>
      </c>
      <c r="G541" t="s">
        <v>240</v>
      </c>
      <c r="H541" t="s">
        <v>293</v>
      </c>
      <c r="I541" t="s">
        <v>251</v>
      </c>
      <c r="J541" t="s">
        <v>304</v>
      </c>
      <c r="K541" t="s">
        <v>586</v>
      </c>
      <c r="L541" t="s">
        <v>268</v>
      </c>
      <c r="M541" t="s">
        <v>246</v>
      </c>
      <c r="N541" t="s">
        <v>247</v>
      </c>
      <c r="O541">
        <v>42095</v>
      </c>
      <c r="P541">
        <v>54.52</v>
      </c>
      <c r="Q541">
        <v>100.97</v>
      </c>
      <c r="R541">
        <f t="shared" si="49"/>
        <v>46.449999999999996</v>
      </c>
      <c r="S541">
        <v>13</v>
      </c>
      <c r="T541">
        <f t="shared" si="50"/>
        <v>1312.61</v>
      </c>
      <c r="U541">
        <v>0.06</v>
      </c>
      <c r="V541">
        <f t="shared" si="51"/>
        <v>78.756599999999992</v>
      </c>
      <c r="W541">
        <f t="shared" si="52"/>
        <v>1233.8534</v>
      </c>
      <c r="X541">
        <v>7.18</v>
      </c>
      <c r="Y541">
        <f t="shared" si="53"/>
        <v>1241.0334</v>
      </c>
    </row>
    <row r="542" spans="1:25" x14ac:dyDescent="0.25">
      <c r="A542" t="s">
        <v>1465</v>
      </c>
      <c r="B542">
        <v>42098</v>
      </c>
      <c r="C542" t="str">
        <f t="shared" si="48"/>
        <v>2015</v>
      </c>
      <c r="D542" t="s">
        <v>1466</v>
      </c>
      <c r="E542" t="s">
        <v>798</v>
      </c>
      <c r="F542" t="s">
        <v>448</v>
      </c>
      <c r="G542" t="s">
        <v>449</v>
      </c>
      <c r="H542" t="s">
        <v>241</v>
      </c>
      <c r="I542" t="s">
        <v>299</v>
      </c>
      <c r="J542" t="s">
        <v>304</v>
      </c>
      <c r="K542" t="s">
        <v>267</v>
      </c>
      <c r="L542" t="s">
        <v>268</v>
      </c>
      <c r="M542" t="s">
        <v>269</v>
      </c>
      <c r="N542" t="s">
        <v>270</v>
      </c>
      <c r="O542">
        <v>42099</v>
      </c>
      <c r="P542">
        <v>75</v>
      </c>
      <c r="Q542">
        <v>120.97</v>
      </c>
      <c r="R542">
        <f t="shared" si="49"/>
        <v>45.97</v>
      </c>
      <c r="S542">
        <v>38</v>
      </c>
      <c r="T542">
        <f t="shared" si="50"/>
        <v>4596.8599999999997</v>
      </c>
      <c r="U542">
        <v>0.09</v>
      </c>
      <c r="V542">
        <f t="shared" si="51"/>
        <v>413.71739999999994</v>
      </c>
      <c r="W542">
        <f t="shared" si="52"/>
        <v>4183.1426000000001</v>
      </c>
      <c r="X542">
        <v>26.3</v>
      </c>
      <c r="Y542">
        <f t="shared" si="53"/>
        <v>4209.4426000000003</v>
      </c>
    </row>
    <row r="543" spans="1:25" x14ac:dyDescent="0.25">
      <c r="A543" t="s">
        <v>1467</v>
      </c>
      <c r="B543">
        <v>42098</v>
      </c>
      <c r="C543" t="str">
        <f t="shared" si="48"/>
        <v>2015</v>
      </c>
      <c r="D543" t="s">
        <v>1000</v>
      </c>
      <c r="E543" t="s">
        <v>1001</v>
      </c>
      <c r="F543" t="s">
        <v>239</v>
      </c>
      <c r="G543" t="s">
        <v>240</v>
      </c>
      <c r="H543" t="s">
        <v>293</v>
      </c>
      <c r="I543" t="s">
        <v>251</v>
      </c>
      <c r="J543" t="s">
        <v>243</v>
      </c>
      <c r="K543" t="s">
        <v>941</v>
      </c>
      <c r="L543" t="s">
        <v>245</v>
      </c>
      <c r="M543" t="s">
        <v>253</v>
      </c>
      <c r="N543" t="s">
        <v>247</v>
      </c>
      <c r="O543">
        <v>42099</v>
      </c>
      <c r="P543">
        <v>2.59</v>
      </c>
      <c r="Q543">
        <v>3.98</v>
      </c>
      <c r="R543">
        <f t="shared" si="49"/>
        <v>1.3900000000000001</v>
      </c>
      <c r="S543">
        <v>2</v>
      </c>
      <c r="T543">
        <f t="shared" si="50"/>
        <v>7.96</v>
      </c>
      <c r="U543">
        <v>0.04</v>
      </c>
      <c r="V543">
        <f t="shared" si="51"/>
        <v>0.31840000000000002</v>
      </c>
      <c r="W543">
        <f t="shared" si="52"/>
        <v>7.6416000000000004</v>
      </c>
      <c r="X543">
        <v>2.97</v>
      </c>
      <c r="Y543">
        <f t="shared" si="53"/>
        <v>10.611600000000001</v>
      </c>
    </row>
    <row r="544" spans="1:25" x14ac:dyDescent="0.25">
      <c r="A544" t="s">
        <v>1468</v>
      </c>
      <c r="B544">
        <v>42102</v>
      </c>
      <c r="C544" t="str">
        <f t="shared" si="48"/>
        <v>2015</v>
      </c>
      <c r="D544" t="s">
        <v>690</v>
      </c>
      <c r="E544" t="s">
        <v>691</v>
      </c>
      <c r="F544" t="s">
        <v>448</v>
      </c>
      <c r="G544" t="s">
        <v>449</v>
      </c>
      <c r="H544" t="s">
        <v>241</v>
      </c>
      <c r="I544" t="s">
        <v>504</v>
      </c>
      <c r="J544" t="s">
        <v>261</v>
      </c>
      <c r="K544" t="s">
        <v>811</v>
      </c>
      <c r="L544" t="s">
        <v>245</v>
      </c>
      <c r="M544" t="s">
        <v>246</v>
      </c>
      <c r="N544" t="s">
        <v>247</v>
      </c>
      <c r="O544">
        <v>42103</v>
      </c>
      <c r="P544">
        <v>3.37</v>
      </c>
      <c r="Q544">
        <v>5.53</v>
      </c>
      <c r="R544">
        <f t="shared" si="49"/>
        <v>2.16</v>
      </c>
      <c r="S544">
        <v>9</v>
      </c>
      <c r="T544">
        <f t="shared" si="50"/>
        <v>49.77</v>
      </c>
      <c r="U544">
        <v>0.09</v>
      </c>
      <c r="V544">
        <f t="shared" si="51"/>
        <v>4.4793000000000003</v>
      </c>
      <c r="W544">
        <f t="shared" si="52"/>
        <v>45.290700000000001</v>
      </c>
      <c r="X544">
        <v>6.98</v>
      </c>
      <c r="Y544">
        <f t="shared" si="53"/>
        <v>52.270700000000005</v>
      </c>
    </row>
    <row r="545" spans="1:25" x14ac:dyDescent="0.25">
      <c r="A545" t="s">
        <v>1469</v>
      </c>
      <c r="B545">
        <v>42102</v>
      </c>
      <c r="C545" t="str">
        <f t="shared" si="48"/>
        <v>2015</v>
      </c>
      <c r="D545" t="s">
        <v>1470</v>
      </c>
      <c r="E545" t="s">
        <v>1118</v>
      </c>
      <c r="F545" t="s">
        <v>257</v>
      </c>
      <c r="G545" t="s">
        <v>258</v>
      </c>
      <c r="H545" t="s">
        <v>293</v>
      </c>
      <c r="I545" t="s">
        <v>284</v>
      </c>
      <c r="J545" t="s">
        <v>294</v>
      </c>
      <c r="K545" t="s">
        <v>485</v>
      </c>
      <c r="L545" t="s">
        <v>245</v>
      </c>
      <c r="M545" t="s">
        <v>253</v>
      </c>
      <c r="N545" t="s">
        <v>247</v>
      </c>
      <c r="O545">
        <v>42103</v>
      </c>
      <c r="P545">
        <v>3.48</v>
      </c>
      <c r="Q545">
        <v>5.43</v>
      </c>
      <c r="R545">
        <f t="shared" si="49"/>
        <v>1.9499999999999997</v>
      </c>
      <c r="S545">
        <v>13</v>
      </c>
      <c r="T545">
        <f t="shared" si="50"/>
        <v>70.59</v>
      </c>
      <c r="U545">
        <v>0.02</v>
      </c>
      <c r="V545">
        <f t="shared" si="51"/>
        <v>1.4118000000000002</v>
      </c>
      <c r="W545">
        <f t="shared" si="52"/>
        <v>69.178200000000004</v>
      </c>
      <c r="X545">
        <v>0.95</v>
      </c>
      <c r="Y545">
        <f t="shared" si="53"/>
        <v>70.128200000000007</v>
      </c>
    </row>
    <row r="546" spans="1:25" x14ac:dyDescent="0.25">
      <c r="A546" t="s">
        <v>1471</v>
      </c>
      <c r="B546">
        <v>42104</v>
      </c>
      <c r="C546" t="str">
        <f t="shared" si="48"/>
        <v>2015</v>
      </c>
      <c r="D546" t="s">
        <v>1472</v>
      </c>
      <c r="E546" t="s">
        <v>575</v>
      </c>
      <c r="F546" t="s">
        <v>257</v>
      </c>
      <c r="G546" t="s">
        <v>258</v>
      </c>
      <c r="H546" t="s">
        <v>274</v>
      </c>
      <c r="I546" t="s">
        <v>381</v>
      </c>
      <c r="J546" t="s">
        <v>243</v>
      </c>
      <c r="K546" t="s">
        <v>1473</v>
      </c>
      <c r="L546" t="s">
        <v>245</v>
      </c>
      <c r="M546" t="s">
        <v>246</v>
      </c>
      <c r="N546" t="s">
        <v>247</v>
      </c>
      <c r="O546">
        <v>42107</v>
      </c>
      <c r="P546">
        <v>3.53</v>
      </c>
      <c r="Q546">
        <v>8.6199999999999992</v>
      </c>
      <c r="R546">
        <f t="shared" si="49"/>
        <v>5.09</v>
      </c>
      <c r="S546">
        <v>50</v>
      </c>
      <c r="T546">
        <f t="shared" si="50"/>
        <v>430.99999999999994</v>
      </c>
      <c r="U546">
        <v>7.0000000000000007E-2</v>
      </c>
      <c r="V546">
        <f t="shared" si="51"/>
        <v>30.169999999999998</v>
      </c>
      <c r="W546">
        <f t="shared" si="52"/>
        <v>400.82999999999993</v>
      </c>
      <c r="X546">
        <v>4.5</v>
      </c>
      <c r="Y546">
        <f t="shared" si="53"/>
        <v>405.32999999999993</v>
      </c>
    </row>
    <row r="547" spans="1:25" x14ac:dyDescent="0.25">
      <c r="A547" t="s">
        <v>1474</v>
      </c>
      <c r="B547">
        <v>42104</v>
      </c>
      <c r="C547" t="str">
        <f t="shared" si="48"/>
        <v>2015</v>
      </c>
      <c r="D547" t="s">
        <v>1475</v>
      </c>
      <c r="E547" t="s">
        <v>816</v>
      </c>
      <c r="F547" t="s">
        <v>257</v>
      </c>
      <c r="G547" t="s">
        <v>258</v>
      </c>
      <c r="H547" t="s">
        <v>259</v>
      </c>
      <c r="I547" t="s">
        <v>492</v>
      </c>
      <c r="J547" t="s">
        <v>261</v>
      </c>
      <c r="K547" t="s">
        <v>630</v>
      </c>
      <c r="L547" t="s">
        <v>245</v>
      </c>
      <c r="M547" t="s">
        <v>253</v>
      </c>
      <c r="N547" t="s">
        <v>247</v>
      </c>
      <c r="O547">
        <v>42105</v>
      </c>
      <c r="P547">
        <v>1.53</v>
      </c>
      <c r="Q547">
        <v>2.78</v>
      </c>
      <c r="R547">
        <f t="shared" si="49"/>
        <v>1.2499999999999998</v>
      </c>
      <c r="S547">
        <v>19</v>
      </c>
      <c r="T547">
        <f t="shared" si="50"/>
        <v>52.819999999999993</v>
      </c>
      <c r="U547">
        <v>0.06</v>
      </c>
      <c r="V547">
        <f t="shared" si="51"/>
        <v>3.1691999999999996</v>
      </c>
      <c r="W547">
        <f t="shared" si="52"/>
        <v>49.650799999999997</v>
      </c>
      <c r="X547">
        <v>1.34</v>
      </c>
      <c r="Y547">
        <f t="shared" si="53"/>
        <v>50.9908</v>
      </c>
    </row>
    <row r="548" spans="1:25" x14ac:dyDescent="0.25">
      <c r="A548" t="s">
        <v>1476</v>
      </c>
      <c r="B548">
        <v>42105</v>
      </c>
      <c r="C548" t="str">
        <f t="shared" si="48"/>
        <v>2015</v>
      </c>
      <c r="D548" t="s">
        <v>474</v>
      </c>
      <c r="E548" t="s">
        <v>1439</v>
      </c>
      <c r="F548" t="s">
        <v>448</v>
      </c>
      <c r="G548" t="s">
        <v>449</v>
      </c>
      <c r="H548" t="s">
        <v>293</v>
      </c>
      <c r="I548" t="s">
        <v>381</v>
      </c>
      <c r="J548" t="s">
        <v>304</v>
      </c>
      <c r="K548" t="s">
        <v>384</v>
      </c>
      <c r="L548" t="s">
        <v>268</v>
      </c>
      <c r="M548" t="s">
        <v>246</v>
      </c>
      <c r="N548" t="s">
        <v>247</v>
      </c>
      <c r="O548">
        <v>42106</v>
      </c>
      <c r="P548">
        <v>10.07</v>
      </c>
      <c r="Q548">
        <v>15.98</v>
      </c>
      <c r="R548">
        <f t="shared" si="49"/>
        <v>5.91</v>
      </c>
      <c r="S548">
        <v>40</v>
      </c>
      <c r="T548">
        <f t="shared" si="50"/>
        <v>639.20000000000005</v>
      </c>
      <c r="U548">
        <v>0.01</v>
      </c>
      <c r="V548">
        <f t="shared" si="51"/>
        <v>6.3920000000000003</v>
      </c>
      <c r="W548">
        <f t="shared" si="52"/>
        <v>632.80799999999999</v>
      </c>
      <c r="X548">
        <v>4</v>
      </c>
      <c r="Y548">
        <f t="shared" si="53"/>
        <v>636.80799999999999</v>
      </c>
    </row>
    <row r="549" spans="1:25" x14ac:dyDescent="0.25">
      <c r="A549" t="s">
        <v>1477</v>
      </c>
      <c r="B549">
        <v>42107</v>
      </c>
      <c r="C549" t="str">
        <f t="shared" si="48"/>
        <v>2015</v>
      </c>
      <c r="D549" t="s">
        <v>1478</v>
      </c>
      <c r="E549" t="s">
        <v>1479</v>
      </c>
      <c r="F549" t="s">
        <v>257</v>
      </c>
      <c r="G549" t="s">
        <v>258</v>
      </c>
      <c r="H549" t="s">
        <v>259</v>
      </c>
      <c r="I549" t="s">
        <v>309</v>
      </c>
      <c r="J549" t="s">
        <v>243</v>
      </c>
      <c r="K549" t="s">
        <v>953</v>
      </c>
      <c r="L549" t="s">
        <v>245</v>
      </c>
      <c r="M549" t="s">
        <v>253</v>
      </c>
      <c r="N549" t="s">
        <v>247</v>
      </c>
      <c r="O549">
        <v>42108</v>
      </c>
      <c r="P549">
        <v>2.16</v>
      </c>
      <c r="Q549">
        <v>3.85</v>
      </c>
      <c r="R549">
        <f t="shared" si="49"/>
        <v>1.69</v>
      </c>
      <c r="S549">
        <v>42</v>
      </c>
      <c r="T549">
        <f t="shared" si="50"/>
        <v>161.70000000000002</v>
      </c>
      <c r="U549">
        <v>0.01</v>
      </c>
      <c r="V549">
        <f t="shared" si="51"/>
        <v>1.6170000000000002</v>
      </c>
      <c r="W549">
        <f t="shared" si="52"/>
        <v>160.08300000000003</v>
      </c>
      <c r="X549">
        <v>0.7</v>
      </c>
      <c r="Y549">
        <f t="shared" si="53"/>
        <v>160.78300000000002</v>
      </c>
    </row>
    <row r="550" spans="1:25" x14ac:dyDescent="0.25">
      <c r="A550" t="s">
        <v>1480</v>
      </c>
      <c r="B550">
        <v>42112</v>
      </c>
      <c r="C550" t="str">
        <f t="shared" si="48"/>
        <v>2015</v>
      </c>
      <c r="D550" t="s">
        <v>1159</v>
      </c>
      <c r="E550" t="s">
        <v>376</v>
      </c>
      <c r="F550" t="s">
        <v>239</v>
      </c>
      <c r="G550" t="s">
        <v>240</v>
      </c>
      <c r="H550" t="s">
        <v>259</v>
      </c>
      <c r="I550" t="s">
        <v>242</v>
      </c>
      <c r="J550" t="s">
        <v>304</v>
      </c>
      <c r="K550" t="s">
        <v>811</v>
      </c>
      <c r="L550" t="s">
        <v>245</v>
      </c>
      <c r="M550" t="s">
        <v>246</v>
      </c>
      <c r="N550" t="s">
        <v>247</v>
      </c>
      <c r="O550">
        <v>42113</v>
      </c>
      <c r="P550">
        <v>3.37</v>
      </c>
      <c r="Q550">
        <v>5.53</v>
      </c>
      <c r="R550">
        <f t="shared" si="49"/>
        <v>2.16</v>
      </c>
      <c r="S550">
        <v>30</v>
      </c>
      <c r="T550">
        <f t="shared" si="50"/>
        <v>165.9</v>
      </c>
      <c r="U550">
        <v>0.01</v>
      </c>
      <c r="V550">
        <f t="shared" si="51"/>
        <v>1.659</v>
      </c>
      <c r="W550">
        <f t="shared" si="52"/>
        <v>164.24100000000001</v>
      </c>
      <c r="X550">
        <v>6.98</v>
      </c>
      <c r="Y550">
        <f t="shared" si="53"/>
        <v>171.221</v>
      </c>
    </row>
    <row r="551" spans="1:25" x14ac:dyDescent="0.25">
      <c r="A551" t="s">
        <v>1481</v>
      </c>
      <c r="B551">
        <v>42112</v>
      </c>
      <c r="C551" t="str">
        <f t="shared" si="48"/>
        <v>2015</v>
      </c>
      <c r="D551" t="s">
        <v>1079</v>
      </c>
      <c r="E551" t="s">
        <v>1080</v>
      </c>
      <c r="F551" t="s">
        <v>239</v>
      </c>
      <c r="G551" t="s">
        <v>240</v>
      </c>
      <c r="H551" t="s">
        <v>259</v>
      </c>
      <c r="I551" t="s">
        <v>251</v>
      </c>
      <c r="J551" t="s">
        <v>304</v>
      </c>
      <c r="K551" t="s">
        <v>811</v>
      </c>
      <c r="L551" t="s">
        <v>245</v>
      </c>
      <c r="M551" t="s">
        <v>246</v>
      </c>
      <c r="N551" t="s">
        <v>247</v>
      </c>
      <c r="O551">
        <v>42113</v>
      </c>
      <c r="P551">
        <v>3.37</v>
      </c>
      <c r="Q551">
        <v>5.53</v>
      </c>
      <c r="R551">
        <f t="shared" si="49"/>
        <v>2.16</v>
      </c>
      <c r="S551">
        <v>27</v>
      </c>
      <c r="T551">
        <f t="shared" si="50"/>
        <v>149.31</v>
      </c>
      <c r="U551">
        <v>0.04</v>
      </c>
      <c r="V551">
        <f t="shared" si="51"/>
        <v>5.9724000000000004</v>
      </c>
      <c r="W551">
        <f t="shared" si="52"/>
        <v>143.33760000000001</v>
      </c>
      <c r="X551">
        <v>6.98</v>
      </c>
      <c r="Y551">
        <f t="shared" si="53"/>
        <v>150.3176</v>
      </c>
    </row>
    <row r="552" spans="1:25" x14ac:dyDescent="0.25">
      <c r="A552" t="s">
        <v>1482</v>
      </c>
      <c r="B552">
        <v>42112</v>
      </c>
      <c r="C552" t="str">
        <f t="shared" si="48"/>
        <v>2015</v>
      </c>
      <c r="D552" t="s">
        <v>1483</v>
      </c>
      <c r="E552" t="s">
        <v>1484</v>
      </c>
      <c r="F552" t="s">
        <v>257</v>
      </c>
      <c r="G552" t="s">
        <v>258</v>
      </c>
      <c r="H552" t="s">
        <v>293</v>
      </c>
      <c r="I552" t="s">
        <v>492</v>
      </c>
      <c r="J552" t="s">
        <v>304</v>
      </c>
      <c r="K552" t="s">
        <v>653</v>
      </c>
      <c r="L552" t="s">
        <v>245</v>
      </c>
      <c r="M552" t="s">
        <v>246</v>
      </c>
      <c r="N552" t="s">
        <v>247</v>
      </c>
      <c r="O552">
        <v>42112</v>
      </c>
      <c r="P552">
        <v>3.5</v>
      </c>
      <c r="Q552">
        <v>5.74</v>
      </c>
      <c r="R552">
        <f t="shared" si="49"/>
        <v>2.2400000000000002</v>
      </c>
      <c r="S552">
        <v>23</v>
      </c>
      <c r="T552">
        <f t="shared" si="50"/>
        <v>132.02000000000001</v>
      </c>
      <c r="U552">
        <v>0.06</v>
      </c>
      <c r="V552">
        <f t="shared" si="51"/>
        <v>7.9212000000000007</v>
      </c>
      <c r="W552">
        <f t="shared" si="52"/>
        <v>124.09880000000001</v>
      </c>
      <c r="X552">
        <v>5.01</v>
      </c>
      <c r="Y552">
        <f t="shared" si="53"/>
        <v>129.1088</v>
      </c>
    </row>
    <row r="553" spans="1:25" x14ac:dyDescent="0.25">
      <c r="A553" t="s">
        <v>1485</v>
      </c>
      <c r="B553">
        <v>42113</v>
      </c>
      <c r="C553" t="str">
        <f t="shared" si="48"/>
        <v>2015</v>
      </c>
      <c r="D553" t="s">
        <v>446</v>
      </c>
      <c r="E553" t="s">
        <v>447</v>
      </c>
      <c r="F553" t="s">
        <v>448</v>
      </c>
      <c r="G553" t="s">
        <v>449</v>
      </c>
      <c r="H553" t="s">
        <v>259</v>
      </c>
      <c r="I553" t="s">
        <v>333</v>
      </c>
      <c r="J553" t="s">
        <v>294</v>
      </c>
      <c r="K553" t="s">
        <v>373</v>
      </c>
      <c r="L553" t="s">
        <v>268</v>
      </c>
      <c r="M553" t="s">
        <v>246</v>
      </c>
      <c r="N553" t="s">
        <v>263</v>
      </c>
      <c r="O553">
        <v>42113</v>
      </c>
      <c r="P553">
        <v>6.39</v>
      </c>
      <c r="Q553">
        <v>19.98</v>
      </c>
      <c r="R553">
        <f t="shared" si="49"/>
        <v>13.59</v>
      </c>
      <c r="S553">
        <v>6</v>
      </c>
      <c r="T553">
        <f t="shared" si="50"/>
        <v>119.88</v>
      </c>
      <c r="U553">
        <v>0.08</v>
      </c>
      <c r="V553">
        <f t="shared" si="51"/>
        <v>9.5904000000000007</v>
      </c>
      <c r="W553">
        <f t="shared" si="52"/>
        <v>110.28959999999999</v>
      </c>
      <c r="X553">
        <v>4</v>
      </c>
      <c r="Y553">
        <f t="shared" si="53"/>
        <v>114.28959999999999</v>
      </c>
    </row>
    <row r="554" spans="1:25" x14ac:dyDescent="0.25">
      <c r="A554" t="s">
        <v>1486</v>
      </c>
      <c r="B554">
        <v>42114</v>
      </c>
      <c r="C554" t="str">
        <f t="shared" si="48"/>
        <v>2015</v>
      </c>
      <c r="D554" t="s">
        <v>1487</v>
      </c>
      <c r="E554" t="s">
        <v>320</v>
      </c>
      <c r="F554" t="s">
        <v>257</v>
      </c>
      <c r="G554" t="s">
        <v>258</v>
      </c>
      <c r="H554" t="s">
        <v>259</v>
      </c>
      <c r="I554" t="s">
        <v>381</v>
      </c>
      <c r="J554" t="s">
        <v>243</v>
      </c>
      <c r="K554" t="s">
        <v>600</v>
      </c>
      <c r="L554" t="s">
        <v>245</v>
      </c>
      <c r="M554" t="s">
        <v>253</v>
      </c>
      <c r="N554" t="s">
        <v>263</v>
      </c>
      <c r="O554">
        <v>42116</v>
      </c>
      <c r="P554">
        <v>2.98</v>
      </c>
      <c r="Q554">
        <v>5.84</v>
      </c>
      <c r="R554">
        <f t="shared" si="49"/>
        <v>2.86</v>
      </c>
      <c r="S554">
        <v>12</v>
      </c>
      <c r="T554">
        <f t="shared" si="50"/>
        <v>70.08</v>
      </c>
      <c r="U554">
        <v>0.02</v>
      </c>
      <c r="V554">
        <f t="shared" si="51"/>
        <v>1.4016</v>
      </c>
      <c r="W554">
        <f t="shared" si="52"/>
        <v>68.678399999999996</v>
      </c>
      <c r="X554">
        <v>0.83</v>
      </c>
      <c r="Y554">
        <f t="shared" si="53"/>
        <v>69.508399999999995</v>
      </c>
    </row>
    <row r="555" spans="1:25" x14ac:dyDescent="0.25">
      <c r="A555" t="s">
        <v>1488</v>
      </c>
      <c r="B555">
        <v>42117</v>
      </c>
      <c r="C555" t="str">
        <f t="shared" si="48"/>
        <v>2015</v>
      </c>
      <c r="D555" t="s">
        <v>497</v>
      </c>
      <c r="E555" t="s">
        <v>346</v>
      </c>
      <c r="F555" t="s">
        <v>257</v>
      </c>
      <c r="G555" t="s">
        <v>258</v>
      </c>
      <c r="H555" t="s">
        <v>293</v>
      </c>
      <c r="I555" t="s">
        <v>309</v>
      </c>
      <c r="J555" t="s">
        <v>243</v>
      </c>
      <c r="K555" t="s">
        <v>939</v>
      </c>
      <c r="L555" t="s">
        <v>268</v>
      </c>
      <c r="M555" t="s">
        <v>647</v>
      </c>
      <c r="N555" t="s">
        <v>247</v>
      </c>
      <c r="O555">
        <v>42117</v>
      </c>
      <c r="P555">
        <v>377.99</v>
      </c>
      <c r="Q555">
        <v>599.99</v>
      </c>
      <c r="R555">
        <f t="shared" si="49"/>
        <v>222</v>
      </c>
      <c r="S555">
        <v>50</v>
      </c>
      <c r="T555">
        <f t="shared" si="50"/>
        <v>29999.5</v>
      </c>
      <c r="U555">
        <v>0.09</v>
      </c>
      <c r="V555">
        <f t="shared" si="51"/>
        <v>2699.9549999999999</v>
      </c>
      <c r="W555">
        <f t="shared" si="52"/>
        <v>27299.544999999998</v>
      </c>
      <c r="X555">
        <v>24.49</v>
      </c>
      <c r="Y555">
        <f t="shared" si="53"/>
        <v>27324.035</v>
      </c>
    </row>
    <row r="556" spans="1:25" x14ac:dyDescent="0.25">
      <c r="A556" t="s">
        <v>1489</v>
      </c>
      <c r="B556">
        <v>42118</v>
      </c>
      <c r="C556" t="str">
        <f t="shared" si="48"/>
        <v>2015</v>
      </c>
      <c r="D556" t="s">
        <v>401</v>
      </c>
      <c r="E556" t="s">
        <v>402</v>
      </c>
      <c r="F556" t="s">
        <v>257</v>
      </c>
      <c r="G556" t="s">
        <v>258</v>
      </c>
      <c r="H556" t="s">
        <v>259</v>
      </c>
      <c r="I556" t="s">
        <v>333</v>
      </c>
      <c r="J556" t="s">
        <v>279</v>
      </c>
      <c r="K556" t="s">
        <v>493</v>
      </c>
      <c r="L556" t="s">
        <v>245</v>
      </c>
      <c r="M556" t="s">
        <v>253</v>
      </c>
      <c r="N556" t="s">
        <v>247</v>
      </c>
      <c r="O556">
        <v>42118</v>
      </c>
      <c r="P556">
        <v>1.76</v>
      </c>
      <c r="Q556">
        <v>3.38</v>
      </c>
      <c r="R556">
        <f t="shared" si="49"/>
        <v>1.6199999999999999</v>
      </c>
      <c r="S556">
        <v>31</v>
      </c>
      <c r="T556">
        <f t="shared" si="50"/>
        <v>104.78</v>
      </c>
      <c r="U556">
        <v>0.04</v>
      </c>
      <c r="V556">
        <f t="shared" si="51"/>
        <v>4.1912000000000003</v>
      </c>
      <c r="W556">
        <f t="shared" si="52"/>
        <v>100.58880000000001</v>
      </c>
      <c r="X556">
        <v>0.85</v>
      </c>
      <c r="Y556">
        <f t="shared" si="53"/>
        <v>101.4388</v>
      </c>
    </row>
    <row r="557" spans="1:25" x14ac:dyDescent="0.25">
      <c r="A557" t="s">
        <v>1490</v>
      </c>
      <c r="B557">
        <v>42119</v>
      </c>
      <c r="C557" t="str">
        <f t="shared" si="48"/>
        <v>2015</v>
      </c>
      <c r="D557" t="s">
        <v>1491</v>
      </c>
      <c r="E557" t="s">
        <v>367</v>
      </c>
      <c r="F557" t="s">
        <v>239</v>
      </c>
      <c r="G557" t="s">
        <v>240</v>
      </c>
      <c r="H557" t="s">
        <v>293</v>
      </c>
      <c r="I557" t="s">
        <v>251</v>
      </c>
      <c r="J557" t="s">
        <v>261</v>
      </c>
      <c r="K557" t="s">
        <v>582</v>
      </c>
      <c r="L557" t="s">
        <v>245</v>
      </c>
      <c r="M557" t="s">
        <v>253</v>
      </c>
      <c r="N557" t="s">
        <v>247</v>
      </c>
      <c r="O557">
        <v>42120</v>
      </c>
      <c r="P557">
        <v>0.24</v>
      </c>
      <c r="Q557">
        <v>1.26</v>
      </c>
      <c r="R557">
        <f t="shared" si="49"/>
        <v>1.02</v>
      </c>
      <c r="S557">
        <v>35</v>
      </c>
      <c r="T557">
        <f t="shared" si="50"/>
        <v>44.1</v>
      </c>
      <c r="U557">
        <v>0.1</v>
      </c>
      <c r="V557">
        <f t="shared" si="51"/>
        <v>4.41</v>
      </c>
      <c r="W557">
        <f t="shared" si="52"/>
        <v>39.69</v>
      </c>
      <c r="X557">
        <v>0.7</v>
      </c>
      <c r="Y557">
        <f t="shared" si="53"/>
        <v>40.39</v>
      </c>
    </row>
    <row r="558" spans="1:25" x14ac:dyDescent="0.25">
      <c r="A558" t="s">
        <v>1492</v>
      </c>
      <c r="B558">
        <v>42119</v>
      </c>
      <c r="C558" t="str">
        <f t="shared" si="48"/>
        <v>2015</v>
      </c>
      <c r="D558" t="s">
        <v>1491</v>
      </c>
      <c r="E558" t="s">
        <v>367</v>
      </c>
      <c r="F558" t="s">
        <v>239</v>
      </c>
      <c r="G558" t="s">
        <v>240</v>
      </c>
      <c r="H558" t="s">
        <v>293</v>
      </c>
      <c r="I558" t="s">
        <v>251</v>
      </c>
      <c r="J558" t="s">
        <v>261</v>
      </c>
      <c r="K558" t="s">
        <v>252</v>
      </c>
      <c r="L558" t="s">
        <v>245</v>
      </c>
      <c r="M558" t="s">
        <v>253</v>
      </c>
      <c r="N558" t="s">
        <v>247</v>
      </c>
      <c r="O558">
        <v>42121</v>
      </c>
      <c r="P558">
        <v>2.39</v>
      </c>
      <c r="Q558">
        <v>4.26</v>
      </c>
      <c r="R558">
        <f t="shared" si="49"/>
        <v>1.8699999999999997</v>
      </c>
      <c r="S558">
        <v>8</v>
      </c>
      <c r="T558">
        <f t="shared" si="50"/>
        <v>34.08</v>
      </c>
      <c r="U558">
        <v>0.1</v>
      </c>
      <c r="V558">
        <f t="shared" si="51"/>
        <v>3.4079999999999999</v>
      </c>
      <c r="W558">
        <f t="shared" si="52"/>
        <v>30.671999999999997</v>
      </c>
      <c r="X558">
        <v>1.2</v>
      </c>
      <c r="Y558">
        <f t="shared" si="53"/>
        <v>31.871999999999996</v>
      </c>
    </row>
    <row r="559" spans="1:25" x14ac:dyDescent="0.25">
      <c r="A559" t="s">
        <v>1493</v>
      </c>
      <c r="B559">
        <v>42119</v>
      </c>
      <c r="C559" t="str">
        <f t="shared" si="48"/>
        <v>2015</v>
      </c>
      <c r="D559" t="s">
        <v>1494</v>
      </c>
      <c r="E559" t="s">
        <v>367</v>
      </c>
      <c r="F559" t="s">
        <v>239</v>
      </c>
      <c r="G559" t="s">
        <v>240</v>
      </c>
      <c r="H559" t="s">
        <v>293</v>
      </c>
      <c r="I559" t="s">
        <v>251</v>
      </c>
      <c r="J559" t="s">
        <v>261</v>
      </c>
      <c r="K559" t="s">
        <v>594</v>
      </c>
      <c r="L559" t="s">
        <v>268</v>
      </c>
      <c r="M559" t="s">
        <v>647</v>
      </c>
      <c r="N559" t="s">
        <v>247</v>
      </c>
      <c r="O559">
        <v>42121</v>
      </c>
      <c r="P559">
        <v>216</v>
      </c>
      <c r="Q559">
        <v>449.99</v>
      </c>
      <c r="R559">
        <f t="shared" si="49"/>
        <v>233.99</v>
      </c>
      <c r="S559">
        <v>2</v>
      </c>
      <c r="T559">
        <f t="shared" si="50"/>
        <v>899.98</v>
      </c>
      <c r="U559">
        <v>0.08</v>
      </c>
      <c r="V559">
        <f t="shared" si="51"/>
        <v>71.998400000000004</v>
      </c>
      <c r="W559">
        <f t="shared" si="52"/>
        <v>827.98160000000007</v>
      </c>
      <c r="X559">
        <v>24.49</v>
      </c>
      <c r="Y559">
        <f t="shared" si="53"/>
        <v>852.47160000000008</v>
      </c>
    </row>
    <row r="560" spans="1:25" x14ac:dyDescent="0.25">
      <c r="A560" t="s">
        <v>1495</v>
      </c>
      <c r="B560">
        <v>42120</v>
      </c>
      <c r="C560" t="str">
        <f t="shared" si="48"/>
        <v>2015</v>
      </c>
      <c r="D560" t="s">
        <v>828</v>
      </c>
      <c r="E560" t="s">
        <v>829</v>
      </c>
      <c r="F560" t="s">
        <v>448</v>
      </c>
      <c r="G560" t="s">
        <v>449</v>
      </c>
      <c r="H560" t="s">
        <v>259</v>
      </c>
      <c r="I560" t="s">
        <v>381</v>
      </c>
      <c r="J560" t="s">
        <v>261</v>
      </c>
      <c r="K560" t="s">
        <v>413</v>
      </c>
      <c r="L560" t="s">
        <v>268</v>
      </c>
      <c r="M560" t="s">
        <v>414</v>
      </c>
      <c r="N560" t="s">
        <v>247</v>
      </c>
      <c r="O560">
        <v>42120</v>
      </c>
      <c r="P560">
        <v>8.82</v>
      </c>
      <c r="Q560">
        <v>20.99</v>
      </c>
      <c r="R560">
        <f t="shared" si="49"/>
        <v>12.169999999999998</v>
      </c>
      <c r="S560">
        <v>19</v>
      </c>
      <c r="T560">
        <f t="shared" si="50"/>
        <v>398.80999999999995</v>
      </c>
      <c r="U560">
        <v>0.01</v>
      </c>
      <c r="V560">
        <f t="shared" si="51"/>
        <v>3.9880999999999998</v>
      </c>
      <c r="W560">
        <f t="shared" si="52"/>
        <v>394.82189999999997</v>
      </c>
      <c r="X560">
        <v>4.8099999999999996</v>
      </c>
      <c r="Y560">
        <f t="shared" si="53"/>
        <v>399.63189999999997</v>
      </c>
    </row>
    <row r="561" spans="1:25" x14ac:dyDescent="0.25">
      <c r="A561" t="s">
        <v>1496</v>
      </c>
      <c r="B561">
        <v>42120</v>
      </c>
      <c r="C561" t="str">
        <f t="shared" si="48"/>
        <v>2015</v>
      </c>
      <c r="D561" t="s">
        <v>1497</v>
      </c>
      <c r="E561" t="s">
        <v>637</v>
      </c>
      <c r="F561" t="s">
        <v>239</v>
      </c>
      <c r="G561" t="s">
        <v>240</v>
      </c>
      <c r="H561" t="s">
        <v>241</v>
      </c>
      <c r="I561" t="s">
        <v>242</v>
      </c>
      <c r="J561" t="s">
        <v>261</v>
      </c>
      <c r="K561" t="s">
        <v>421</v>
      </c>
      <c r="L561" t="s">
        <v>245</v>
      </c>
      <c r="M561" t="s">
        <v>246</v>
      </c>
      <c r="N561" t="s">
        <v>247</v>
      </c>
      <c r="O561">
        <v>42122</v>
      </c>
      <c r="P561">
        <v>13.88</v>
      </c>
      <c r="Q561">
        <v>22.38</v>
      </c>
      <c r="R561">
        <f t="shared" si="49"/>
        <v>8.4999999999999982</v>
      </c>
      <c r="S561">
        <v>6</v>
      </c>
      <c r="T561">
        <f t="shared" si="50"/>
        <v>134.28</v>
      </c>
      <c r="U561">
        <v>0</v>
      </c>
      <c r="V561">
        <f t="shared" si="51"/>
        <v>0</v>
      </c>
      <c r="W561">
        <f t="shared" si="52"/>
        <v>134.28</v>
      </c>
      <c r="X561">
        <v>15.1</v>
      </c>
      <c r="Y561">
        <f t="shared" si="53"/>
        <v>149.38</v>
      </c>
    </row>
    <row r="562" spans="1:25" x14ac:dyDescent="0.25">
      <c r="A562" t="s">
        <v>1498</v>
      </c>
      <c r="B562">
        <v>42122</v>
      </c>
      <c r="C562" t="str">
        <f t="shared" si="48"/>
        <v>2015</v>
      </c>
      <c r="D562" t="s">
        <v>1499</v>
      </c>
      <c r="E562" t="s">
        <v>356</v>
      </c>
      <c r="F562" t="s">
        <v>239</v>
      </c>
      <c r="G562" t="s">
        <v>240</v>
      </c>
      <c r="H562" t="s">
        <v>241</v>
      </c>
      <c r="I562" t="s">
        <v>251</v>
      </c>
      <c r="J562" t="s">
        <v>279</v>
      </c>
      <c r="K562" t="s">
        <v>603</v>
      </c>
      <c r="L562" t="s">
        <v>245</v>
      </c>
      <c r="M562" t="s">
        <v>246</v>
      </c>
      <c r="N562" t="s">
        <v>263</v>
      </c>
      <c r="O562">
        <v>42124</v>
      </c>
      <c r="P562">
        <v>3.65</v>
      </c>
      <c r="Q562">
        <v>5.98</v>
      </c>
      <c r="R562">
        <f t="shared" si="49"/>
        <v>2.3300000000000005</v>
      </c>
      <c r="S562">
        <v>50</v>
      </c>
      <c r="T562">
        <f t="shared" si="50"/>
        <v>299</v>
      </c>
      <c r="U562">
        <v>0.09</v>
      </c>
      <c r="V562">
        <f t="shared" si="51"/>
        <v>26.91</v>
      </c>
      <c r="W562">
        <f t="shared" si="52"/>
        <v>272.08999999999997</v>
      </c>
      <c r="X562">
        <v>1.49</v>
      </c>
      <c r="Y562">
        <f t="shared" si="53"/>
        <v>273.58</v>
      </c>
    </row>
    <row r="563" spans="1:25" x14ac:dyDescent="0.25">
      <c r="A563" t="s">
        <v>1500</v>
      </c>
      <c r="B563">
        <v>42122</v>
      </c>
      <c r="C563" t="str">
        <f t="shared" si="48"/>
        <v>2015</v>
      </c>
      <c r="D563" t="s">
        <v>1501</v>
      </c>
      <c r="E563" t="s">
        <v>359</v>
      </c>
      <c r="F563" t="s">
        <v>239</v>
      </c>
      <c r="G563" t="s">
        <v>240</v>
      </c>
      <c r="H563" t="s">
        <v>259</v>
      </c>
      <c r="I563" t="s">
        <v>251</v>
      </c>
      <c r="J563" t="s">
        <v>294</v>
      </c>
      <c r="K563" t="s">
        <v>1025</v>
      </c>
      <c r="L563" t="s">
        <v>268</v>
      </c>
      <c r="M563" t="s">
        <v>269</v>
      </c>
      <c r="N563" t="s">
        <v>270</v>
      </c>
      <c r="O563">
        <v>42125</v>
      </c>
      <c r="P563">
        <v>315.61</v>
      </c>
      <c r="Q563">
        <v>500.97</v>
      </c>
      <c r="R563">
        <f t="shared" si="49"/>
        <v>185.36</v>
      </c>
      <c r="S563">
        <v>44</v>
      </c>
      <c r="T563">
        <f t="shared" si="50"/>
        <v>22042.68</v>
      </c>
      <c r="U563">
        <v>0.09</v>
      </c>
      <c r="V563">
        <f t="shared" si="51"/>
        <v>1983.8411999999998</v>
      </c>
      <c r="W563">
        <f t="shared" si="52"/>
        <v>20058.838800000001</v>
      </c>
      <c r="X563">
        <v>69.3</v>
      </c>
      <c r="Y563">
        <f t="shared" si="53"/>
        <v>20128.138800000001</v>
      </c>
    </row>
    <row r="564" spans="1:25" x14ac:dyDescent="0.25">
      <c r="A564" t="s">
        <v>1502</v>
      </c>
      <c r="B564">
        <v>42123</v>
      </c>
      <c r="C564" t="str">
        <f t="shared" si="48"/>
        <v>2015</v>
      </c>
      <c r="D564" t="s">
        <v>1503</v>
      </c>
      <c r="E564" t="s">
        <v>760</v>
      </c>
      <c r="F564" t="s">
        <v>448</v>
      </c>
      <c r="G564" t="s">
        <v>449</v>
      </c>
      <c r="H564" t="s">
        <v>259</v>
      </c>
      <c r="I564" t="s">
        <v>333</v>
      </c>
      <c r="J564" t="s">
        <v>279</v>
      </c>
      <c r="K564" t="s">
        <v>1119</v>
      </c>
      <c r="L564" t="s">
        <v>245</v>
      </c>
      <c r="M564" t="s">
        <v>246</v>
      </c>
      <c r="N564" t="s">
        <v>247</v>
      </c>
      <c r="O564">
        <v>42128</v>
      </c>
      <c r="P564">
        <v>1.84</v>
      </c>
      <c r="Q564">
        <v>2.88</v>
      </c>
      <c r="R564">
        <f t="shared" si="49"/>
        <v>1.0399999999999998</v>
      </c>
      <c r="S564">
        <v>29</v>
      </c>
      <c r="T564">
        <f t="shared" si="50"/>
        <v>83.52</v>
      </c>
      <c r="U564">
        <v>0.03</v>
      </c>
      <c r="V564">
        <f t="shared" si="51"/>
        <v>2.5055999999999998</v>
      </c>
      <c r="W564">
        <f t="shared" si="52"/>
        <v>81.014399999999995</v>
      </c>
      <c r="X564">
        <v>0.99</v>
      </c>
      <c r="Y564">
        <f t="shared" si="53"/>
        <v>82.00439999999999</v>
      </c>
    </row>
    <row r="565" spans="1:25" x14ac:dyDescent="0.25">
      <c r="A565" t="s">
        <v>1504</v>
      </c>
      <c r="B565">
        <v>42124</v>
      </c>
      <c r="C565" t="str">
        <f t="shared" si="48"/>
        <v>2015</v>
      </c>
      <c r="D565" t="s">
        <v>585</v>
      </c>
      <c r="E565" t="s">
        <v>376</v>
      </c>
      <c r="F565" t="s">
        <v>239</v>
      </c>
      <c r="G565" t="s">
        <v>240</v>
      </c>
      <c r="H565" t="s">
        <v>274</v>
      </c>
      <c r="I565" t="s">
        <v>242</v>
      </c>
      <c r="J565" t="s">
        <v>243</v>
      </c>
      <c r="K565" t="s">
        <v>634</v>
      </c>
      <c r="L565" t="s">
        <v>245</v>
      </c>
      <c r="M565" t="s">
        <v>246</v>
      </c>
      <c r="N565" t="s">
        <v>247</v>
      </c>
      <c r="O565">
        <v>42126</v>
      </c>
      <c r="P565">
        <v>2.2599999999999998</v>
      </c>
      <c r="Q565">
        <v>3.58</v>
      </c>
      <c r="R565">
        <f t="shared" si="49"/>
        <v>1.3200000000000003</v>
      </c>
      <c r="S565">
        <v>7</v>
      </c>
      <c r="T565">
        <f t="shared" si="50"/>
        <v>25.060000000000002</v>
      </c>
      <c r="U565">
        <v>0.09</v>
      </c>
      <c r="V565">
        <f t="shared" si="51"/>
        <v>2.2554000000000003</v>
      </c>
      <c r="W565">
        <f t="shared" si="52"/>
        <v>22.804600000000001</v>
      </c>
      <c r="X565">
        <v>5.47</v>
      </c>
      <c r="Y565">
        <f t="shared" si="53"/>
        <v>28.2746</v>
      </c>
    </row>
    <row r="566" spans="1:25" x14ac:dyDescent="0.25">
      <c r="A566" t="s">
        <v>1505</v>
      </c>
      <c r="B566">
        <v>42125</v>
      </c>
      <c r="C566" t="str">
        <f t="shared" si="48"/>
        <v>2015</v>
      </c>
      <c r="D566" t="s">
        <v>970</v>
      </c>
      <c r="E566" t="s">
        <v>971</v>
      </c>
      <c r="F566" t="s">
        <v>257</v>
      </c>
      <c r="G566" t="s">
        <v>258</v>
      </c>
      <c r="H566" t="s">
        <v>293</v>
      </c>
      <c r="I566" t="s">
        <v>299</v>
      </c>
      <c r="J566" t="s">
        <v>294</v>
      </c>
      <c r="K566" t="s">
        <v>1191</v>
      </c>
      <c r="L566" t="s">
        <v>245</v>
      </c>
      <c r="M566" t="s">
        <v>246</v>
      </c>
      <c r="N566" t="s">
        <v>247</v>
      </c>
      <c r="O566">
        <v>42126</v>
      </c>
      <c r="P566">
        <v>4.03</v>
      </c>
      <c r="Q566">
        <v>9.3800000000000008</v>
      </c>
      <c r="R566">
        <f t="shared" si="49"/>
        <v>5.3500000000000005</v>
      </c>
      <c r="S566">
        <v>31</v>
      </c>
      <c r="T566">
        <f t="shared" si="50"/>
        <v>290.78000000000003</v>
      </c>
      <c r="U566">
        <v>0.08</v>
      </c>
      <c r="V566">
        <f t="shared" si="51"/>
        <v>23.262400000000003</v>
      </c>
      <c r="W566">
        <f t="shared" si="52"/>
        <v>267.51760000000002</v>
      </c>
      <c r="X566">
        <v>7.28</v>
      </c>
      <c r="Y566">
        <f t="shared" si="53"/>
        <v>274.79759999999999</v>
      </c>
    </row>
    <row r="567" spans="1:25" x14ac:dyDescent="0.25">
      <c r="A567" t="s">
        <v>1506</v>
      </c>
      <c r="B567">
        <v>42126</v>
      </c>
      <c r="C567" t="str">
        <f t="shared" si="48"/>
        <v>2015</v>
      </c>
      <c r="D567" t="s">
        <v>1507</v>
      </c>
      <c r="E567" t="s">
        <v>1338</v>
      </c>
      <c r="F567" t="s">
        <v>257</v>
      </c>
      <c r="G567" t="s">
        <v>258</v>
      </c>
      <c r="H567" t="s">
        <v>241</v>
      </c>
      <c r="I567" t="s">
        <v>372</v>
      </c>
      <c r="J567" t="s">
        <v>261</v>
      </c>
      <c r="K567" t="s">
        <v>322</v>
      </c>
      <c r="L567" t="s">
        <v>245</v>
      </c>
      <c r="M567" t="s">
        <v>323</v>
      </c>
      <c r="N567" t="s">
        <v>247</v>
      </c>
      <c r="O567">
        <v>42127</v>
      </c>
      <c r="P567">
        <v>3.42</v>
      </c>
      <c r="Q567">
        <v>8.34</v>
      </c>
      <c r="R567">
        <f t="shared" si="49"/>
        <v>4.92</v>
      </c>
      <c r="S567">
        <v>21</v>
      </c>
      <c r="T567">
        <f t="shared" si="50"/>
        <v>175.14</v>
      </c>
      <c r="U567">
        <v>0.03</v>
      </c>
      <c r="V567">
        <f t="shared" si="51"/>
        <v>5.2541999999999991</v>
      </c>
      <c r="W567">
        <f t="shared" si="52"/>
        <v>169.88579999999999</v>
      </c>
      <c r="X567">
        <v>2.64</v>
      </c>
      <c r="Y567">
        <f t="shared" si="53"/>
        <v>172.52579999999998</v>
      </c>
    </row>
    <row r="568" spans="1:25" x14ac:dyDescent="0.25">
      <c r="A568" t="s">
        <v>1508</v>
      </c>
      <c r="B568">
        <v>42127</v>
      </c>
      <c r="C568" t="str">
        <f t="shared" si="48"/>
        <v>2015</v>
      </c>
      <c r="D568" t="s">
        <v>932</v>
      </c>
      <c r="E568" t="s">
        <v>637</v>
      </c>
      <c r="F568" t="s">
        <v>239</v>
      </c>
      <c r="G568" t="s">
        <v>240</v>
      </c>
      <c r="H568" t="s">
        <v>259</v>
      </c>
      <c r="I568" t="s">
        <v>251</v>
      </c>
      <c r="J568" t="s">
        <v>261</v>
      </c>
      <c r="K568" t="s">
        <v>384</v>
      </c>
      <c r="L568" t="s">
        <v>268</v>
      </c>
      <c r="M568" t="s">
        <v>246</v>
      </c>
      <c r="N568" t="s">
        <v>247</v>
      </c>
      <c r="O568">
        <v>42129</v>
      </c>
      <c r="P568">
        <v>10.07</v>
      </c>
      <c r="Q568">
        <v>15.98</v>
      </c>
      <c r="R568">
        <f t="shared" si="49"/>
        <v>5.91</v>
      </c>
      <c r="S568">
        <v>26</v>
      </c>
      <c r="T568">
        <f t="shared" si="50"/>
        <v>415.48</v>
      </c>
      <c r="U568">
        <v>0.03</v>
      </c>
      <c r="V568">
        <f t="shared" si="51"/>
        <v>12.464399999999999</v>
      </c>
      <c r="W568">
        <f t="shared" si="52"/>
        <v>403.01560000000001</v>
      </c>
      <c r="X568">
        <v>4</v>
      </c>
      <c r="Y568">
        <f t="shared" si="53"/>
        <v>407.01560000000001</v>
      </c>
    </row>
    <row r="569" spans="1:25" x14ac:dyDescent="0.25">
      <c r="A569" t="s">
        <v>1509</v>
      </c>
      <c r="B569">
        <v>42128</v>
      </c>
      <c r="C569" t="str">
        <f t="shared" si="48"/>
        <v>2015</v>
      </c>
      <c r="D569" t="s">
        <v>1510</v>
      </c>
      <c r="E569" t="s">
        <v>1239</v>
      </c>
      <c r="F569" t="s">
        <v>257</v>
      </c>
      <c r="G569" t="s">
        <v>258</v>
      </c>
      <c r="H569" t="s">
        <v>259</v>
      </c>
      <c r="I569" t="s">
        <v>309</v>
      </c>
      <c r="J569" t="s">
        <v>243</v>
      </c>
      <c r="K569" t="s">
        <v>1042</v>
      </c>
      <c r="L569" t="s">
        <v>245</v>
      </c>
      <c r="M569" t="s">
        <v>246</v>
      </c>
      <c r="N569" t="s">
        <v>247</v>
      </c>
      <c r="O569">
        <v>42129</v>
      </c>
      <c r="P569">
        <v>84.22</v>
      </c>
      <c r="Q569">
        <v>210.55</v>
      </c>
      <c r="R569">
        <f t="shared" si="49"/>
        <v>126.33000000000001</v>
      </c>
      <c r="S569">
        <v>18</v>
      </c>
      <c r="T569">
        <f t="shared" si="50"/>
        <v>3789.9</v>
      </c>
      <c r="U569">
        <v>0.05</v>
      </c>
      <c r="V569">
        <f t="shared" si="51"/>
        <v>189.495</v>
      </c>
      <c r="W569">
        <f t="shared" si="52"/>
        <v>3600.4050000000002</v>
      </c>
      <c r="X569">
        <v>9.99</v>
      </c>
      <c r="Y569">
        <f t="shared" si="53"/>
        <v>3610.395</v>
      </c>
    </row>
    <row r="570" spans="1:25" x14ac:dyDescent="0.25">
      <c r="A570" t="s">
        <v>1511</v>
      </c>
      <c r="B570">
        <v>42130</v>
      </c>
      <c r="C570" t="str">
        <f t="shared" si="48"/>
        <v>2015</v>
      </c>
      <c r="D570" t="s">
        <v>1512</v>
      </c>
      <c r="E570" t="s">
        <v>528</v>
      </c>
      <c r="F570" t="s">
        <v>239</v>
      </c>
      <c r="G570" t="s">
        <v>240</v>
      </c>
      <c r="H570" t="s">
        <v>241</v>
      </c>
      <c r="I570" t="s">
        <v>251</v>
      </c>
      <c r="J570" t="s">
        <v>279</v>
      </c>
      <c r="K570" t="s">
        <v>421</v>
      </c>
      <c r="L570" t="s">
        <v>245</v>
      </c>
      <c r="M570" t="s">
        <v>246</v>
      </c>
      <c r="N570" t="s">
        <v>247</v>
      </c>
      <c r="O570">
        <v>42132</v>
      </c>
      <c r="P570">
        <v>13.88</v>
      </c>
      <c r="Q570">
        <v>22.38</v>
      </c>
      <c r="R570">
        <f t="shared" si="49"/>
        <v>8.4999999999999982</v>
      </c>
      <c r="S570">
        <v>45</v>
      </c>
      <c r="T570">
        <f t="shared" si="50"/>
        <v>1007.0999999999999</v>
      </c>
      <c r="U570">
        <v>0.05</v>
      </c>
      <c r="V570">
        <f t="shared" si="51"/>
        <v>50.354999999999997</v>
      </c>
      <c r="W570">
        <f t="shared" si="52"/>
        <v>956.74499999999989</v>
      </c>
      <c r="X570">
        <v>15.1</v>
      </c>
      <c r="Y570">
        <f t="shared" si="53"/>
        <v>971.84499999999991</v>
      </c>
    </row>
    <row r="571" spans="1:25" x14ac:dyDescent="0.25">
      <c r="A571" t="s">
        <v>1513</v>
      </c>
      <c r="B571">
        <v>42134</v>
      </c>
      <c r="C571" t="str">
        <f t="shared" si="48"/>
        <v>2015</v>
      </c>
      <c r="D571" t="s">
        <v>828</v>
      </c>
      <c r="E571" t="s">
        <v>829</v>
      </c>
      <c r="F571" t="s">
        <v>448</v>
      </c>
      <c r="G571" t="s">
        <v>449</v>
      </c>
      <c r="H571" t="s">
        <v>259</v>
      </c>
      <c r="I571" t="s">
        <v>381</v>
      </c>
      <c r="J571" t="s">
        <v>294</v>
      </c>
      <c r="K571" t="s">
        <v>586</v>
      </c>
      <c r="L571" t="s">
        <v>268</v>
      </c>
      <c r="M571" t="s">
        <v>246</v>
      </c>
      <c r="N571" t="s">
        <v>247</v>
      </c>
      <c r="O571">
        <v>42135</v>
      </c>
      <c r="P571">
        <v>54.52</v>
      </c>
      <c r="Q571">
        <v>100.97</v>
      </c>
      <c r="R571">
        <f t="shared" si="49"/>
        <v>46.449999999999996</v>
      </c>
      <c r="S571">
        <v>15</v>
      </c>
      <c r="T571">
        <f t="shared" si="50"/>
        <v>1514.55</v>
      </c>
      <c r="U571">
        <v>0.1</v>
      </c>
      <c r="V571">
        <f t="shared" si="51"/>
        <v>151.45500000000001</v>
      </c>
      <c r="W571">
        <f t="shared" si="52"/>
        <v>1363.095</v>
      </c>
      <c r="X571">
        <v>7.18</v>
      </c>
      <c r="Y571">
        <f t="shared" si="53"/>
        <v>1370.2750000000001</v>
      </c>
    </row>
    <row r="572" spans="1:25" x14ac:dyDescent="0.25">
      <c r="A572" t="s">
        <v>1514</v>
      </c>
      <c r="B572">
        <v>42135</v>
      </c>
      <c r="C572" t="str">
        <f t="shared" si="48"/>
        <v>2015</v>
      </c>
      <c r="D572" t="s">
        <v>855</v>
      </c>
      <c r="E572" t="s">
        <v>921</v>
      </c>
      <c r="F572" t="s">
        <v>257</v>
      </c>
      <c r="G572" t="s">
        <v>258</v>
      </c>
      <c r="H572" t="s">
        <v>259</v>
      </c>
      <c r="I572" t="s">
        <v>333</v>
      </c>
      <c r="J572" t="s">
        <v>304</v>
      </c>
      <c r="K572" t="s">
        <v>963</v>
      </c>
      <c r="L572" t="s">
        <v>245</v>
      </c>
      <c r="M572" t="s">
        <v>323</v>
      </c>
      <c r="N572" t="s">
        <v>247</v>
      </c>
      <c r="O572">
        <v>42137</v>
      </c>
      <c r="P572">
        <v>4.1900000000000004</v>
      </c>
      <c r="Q572">
        <v>10.23</v>
      </c>
      <c r="R572">
        <f t="shared" si="49"/>
        <v>6.04</v>
      </c>
      <c r="S572">
        <v>46</v>
      </c>
      <c r="T572">
        <f t="shared" si="50"/>
        <v>470.58000000000004</v>
      </c>
      <c r="U572">
        <v>0.05</v>
      </c>
      <c r="V572">
        <f t="shared" si="51"/>
        <v>23.529000000000003</v>
      </c>
      <c r="W572">
        <f t="shared" si="52"/>
        <v>447.05100000000004</v>
      </c>
      <c r="X572">
        <v>4.68</v>
      </c>
      <c r="Y572">
        <f t="shared" si="53"/>
        <v>451.73100000000005</v>
      </c>
    </row>
    <row r="573" spans="1:25" x14ac:dyDescent="0.25">
      <c r="A573" t="s">
        <v>1515</v>
      </c>
      <c r="B573">
        <v>42135</v>
      </c>
      <c r="C573" t="str">
        <f t="shared" si="48"/>
        <v>2015</v>
      </c>
      <c r="D573" t="s">
        <v>855</v>
      </c>
      <c r="E573" t="s">
        <v>921</v>
      </c>
      <c r="F573" t="s">
        <v>257</v>
      </c>
      <c r="G573" t="s">
        <v>258</v>
      </c>
      <c r="H573" t="s">
        <v>259</v>
      </c>
      <c r="I573" t="s">
        <v>333</v>
      </c>
      <c r="J573" t="s">
        <v>304</v>
      </c>
      <c r="K573" t="s">
        <v>603</v>
      </c>
      <c r="L573" t="s">
        <v>245</v>
      </c>
      <c r="M573" t="s">
        <v>246</v>
      </c>
      <c r="N573" t="s">
        <v>247</v>
      </c>
      <c r="O573">
        <v>42137</v>
      </c>
      <c r="P573">
        <v>3.65</v>
      </c>
      <c r="Q573">
        <v>5.98</v>
      </c>
      <c r="R573">
        <f t="shared" si="49"/>
        <v>2.3300000000000005</v>
      </c>
      <c r="S573">
        <v>4</v>
      </c>
      <c r="T573">
        <f t="shared" si="50"/>
        <v>23.92</v>
      </c>
      <c r="U573">
        <v>7.0000000000000007E-2</v>
      </c>
      <c r="V573">
        <f t="shared" si="51"/>
        <v>1.6744000000000003</v>
      </c>
      <c r="W573">
        <f t="shared" si="52"/>
        <v>22.245600000000003</v>
      </c>
      <c r="X573">
        <v>1.49</v>
      </c>
      <c r="Y573">
        <f t="shared" si="53"/>
        <v>23.735600000000002</v>
      </c>
    </row>
    <row r="574" spans="1:25" x14ac:dyDescent="0.25">
      <c r="A574" t="s">
        <v>1516</v>
      </c>
      <c r="B574">
        <v>42136</v>
      </c>
      <c r="C574" t="str">
        <f t="shared" si="48"/>
        <v>2015</v>
      </c>
      <c r="D574" t="s">
        <v>315</v>
      </c>
      <c r="E574" t="s">
        <v>316</v>
      </c>
      <c r="F574" t="s">
        <v>239</v>
      </c>
      <c r="G574" t="s">
        <v>240</v>
      </c>
      <c r="H574" t="s">
        <v>259</v>
      </c>
      <c r="I574" t="s">
        <v>242</v>
      </c>
      <c r="J574" t="s">
        <v>243</v>
      </c>
      <c r="K574" t="s">
        <v>1105</v>
      </c>
      <c r="L574" t="s">
        <v>245</v>
      </c>
      <c r="M574" t="s">
        <v>253</v>
      </c>
      <c r="N574" t="s">
        <v>247</v>
      </c>
      <c r="O574">
        <v>42138</v>
      </c>
      <c r="P574">
        <v>1.88</v>
      </c>
      <c r="Q574">
        <v>3.14</v>
      </c>
      <c r="R574">
        <f t="shared" si="49"/>
        <v>1.2600000000000002</v>
      </c>
      <c r="S574">
        <v>50</v>
      </c>
      <c r="T574">
        <f t="shared" si="50"/>
        <v>157</v>
      </c>
      <c r="U574">
        <v>0</v>
      </c>
      <c r="V574">
        <f t="shared" si="51"/>
        <v>0</v>
      </c>
      <c r="W574">
        <f t="shared" si="52"/>
        <v>157</v>
      </c>
      <c r="X574">
        <v>1.1399999999999999</v>
      </c>
      <c r="Y574">
        <f t="shared" si="53"/>
        <v>158.13999999999999</v>
      </c>
    </row>
    <row r="575" spans="1:25" x14ac:dyDescent="0.25">
      <c r="A575" t="s">
        <v>1517</v>
      </c>
      <c r="B575">
        <v>42138</v>
      </c>
      <c r="C575" t="str">
        <f t="shared" si="48"/>
        <v>2015</v>
      </c>
      <c r="D575" t="s">
        <v>1518</v>
      </c>
      <c r="E575" t="s">
        <v>546</v>
      </c>
      <c r="F575" t="s">
        <v>257</v>
      </c>
      <c r="G575" t="s">
        <v>258</v>
      </c>
      <c r="H575" t="s">
        <v>259</v>
      </c>
      <c r="I575" t="s">
        <v>260</v>
      </c>
      <c r="J575" t="s">
        <v>304</v>
      </c>
      <c r="K575" t="s">
        <v>582</v>
      </c>
      <c r="L575" t="s">
        <v>245</v>
      </c>
      <c r="M575" t="s">
        <v>253</v>
      </c>
      <c r="N575" t="s">
        <v>263</v>
      </c>
      <c r="O575">
        <v>42138</v>
      </c>
      <c r="P575">
        <v>0.24</v>
      </c>
      <c r="Q575">
        <v>1.26</v>
      </c>
      <c r="R575">
        <f t="shared" si="49"/>
        <v>1.02</v>
      </c>
      <c r="S575">
        <v>35</v>
      </c>
      <c r="T575">
        <f t="shared" si="50"/>
        <v>44.1</v>
      </c>
      <c r="U575">
        <v>0.06</v>
      </c>
      <c r="V575">
        <f t="shared" si="51"/>
        <v>2.6459999999999999</v>
      </c>
      <c r="W575">
        <f t="shared" si="52"/>
        <v>41.454000000000001</v>
      </c>
      <c r="X575">
        <v>0.7</v>
      </c>
      <c r="Y575">
        <f t="shared" si="53"/>
        <v>42.154000000000003</v>
      </c>
    </row>
    <row r="576" spans="1:25" x14ac:dyDescent="0.25">
      <c r="A576" t="s">
        <v>1519</v>
      </c>
      <c r="B576">
        <v>42138</v>
      </c>
      <c r="C576" t="str">
        <f t="shared" si="48"/>
        <v>2015</v>
      </c>
      <c r="D576" t="s">
        <v>1520</v>
      </c>
      <c r="E576" t="s">
        <v>912</v>
      </c>
      <c r="F576" t="s">
        <v>257</v>
      </c>
      <c r="G576" t="s">
        <v>258</v>
      </c>
      <c r="H576" t="s">
        <v>241</v>
      </c>
      <c r="I576" t="s">
        <v>372</v>
      </c>
      <c r="J576" t="s">
        <v>243</v>
      </c>
      <c r="K576" t="s">
        <v>508</v>
      </c>
      <c r="L576" t="s">
        <v>245</v>
      </c>
      <c r="M576" t="s">
        <v>246</v>
      </c>
      <c r="N576" t="s">
        <v>247</v>
      </c>
      <c r="O576">
        <v>42140</v>
      </c>
      <c r="P576">
        <v>178.83</v>
      </c>
      <c r="Q576">
        <v>415.88</v>
      </c>
      <c r="R576">
        <f t="shared" si="49"/>
        <v>237.04999999999998</v>
      </c>
      <c r="S576">
        <v>11</v>
      </c>
      <c r="T576">
        <f t="shared" si="50"/>
        <v>4574.68</v>
      </c>
      <c r="U576">
        <v>0.06</v>
      </c>
      <c r="V576">
        <f t="shared" si="51"/>
        <v>274.48079999999999</v>
      </c>
      <c r="W576">
        <f t="shared" si="52"/>
        <v>4300.1992</v>
      </c>
      <c r="X576">
        <v>11.37</v>
      </c>
      <c r="Y576">
        <f t="shared" si="53"/>
        <v>4311.5691999999999</v>
      </c>
    </row>
    <row r="577" spans="1:25" x14ac:dyDescent="0.25">
      <c r="A577" t="s">
        <v>1521</v>
      </c>
      <c r="B577">
        <v>42139</v>
      </c>
      <c r="C577" t="str">
        <f t="shared" si="48"/>
        <v>2015</v>
      </c>
      <c r="D577" t="s">
        <v>1522</v>
      </c>
      <c r="E577" t="s">
        <v>1523</v>
      </c>
      <c r="F577" t="s">
        <v>257</v>
      </c>
      <c r="G577" t="s">
        <v>258</v>
      </c>
      <c r="H577" t="s">
        <v>241</v>
      </c>
      <c r="I577" t="s">
        <v>309</v>
      </c>
      <c r="J577" t="s">
        <v>243</v>
      </c>
      <c r="K577" t="s">
        <v>676</v>
      </c>
      <c r="L577" t="s">
        <v>245</v>
      </c>
      <c r="M577" t="s">
        <v>323</v>
      </c>
      <c r="N577" t="s">
        <v>247</v>
      </c>
      <c r="O577">
        <v>42141</v>
      </c>
      <c r="P577">
        <v>5.19</v>
      </c>
      <c r="Q577">
        <v>12.98</v>
      </c>
      <c r="R577">
        <f t="shared" si="49"/>
        <v>7.79</v>
      </c>
      <c r="S577">
        <v>23</v>
      </c>
      <c r="T577">
        <f t="shared" si="50"/>
        <v>298.54000000000002</v>
      </c>
      <c r="U577">
        <v>0.01</v>
      </c>
      <c r="V577">
        <f t="shared" si="51"/>
        <v>2.9854000000000003</v>
      </c>
      <c r="W577">
        <f t="shared" si="52"/>
        <v>295.55459999999999</v>
      </c>
      <c r="X577">
        <v>3.14</v>
      </c>
      <c r="Y577">
        <f t="shared" si="53"/>
        <v>298.69459999999998</v>
      </c>
    </row>
    <row r="578" spans="1:25" x14ac:dyDescent="0.25">
      <c r="A578" t="s">
        <v>1524</v>
      </c>
      <c r="B578">
        <v>42141</v>
      </c>
      <c r="C578" t="str">
        <f t="shared" si="48"/>
        <v>2015</v>
      </c>
      <c r="D578" t="s">
        <v>1117</v>
      </c>
      <c r="E578" t="s">
        <v>1118</v>
      </c>
      <c r="F578" t="s">
        <v>257</v>
      </c>
      <c r="G578" t="s">
        <v>258</v>
      </c>
      <c r="H578" t="s">
        <v>241</v>
      </c>
      <c r="I578" t="s">
        <v>284</v>
      </c>
      <c r="J578" t="s">
        <v>294</v>
      </c>
      <c r="K578" t="s">
        <v>475</v>
      </c>
      <c r="L578" t="s">
        <v>245</v>
      </c>
      <c r="M578" t="s">
        <v>246</v>
      </c>
      <c r="N578" t="s">
        <v>247</v>
      </c>
      <c r="O578">
        <v>42144</v>
      </c>
      <c r="P578">
        <v>12.39</v>
      </c>
      <c r="Q578">
        <v>19.98</v>
      </c>
      <c r="R578">
        <f t="shared" si="49"/>
        <v>7.59</v>
      </c>
      <c r="S578">
        <v>33</v>
      </c>
      <c r="T578">
        <f t="shared" si="50"/>
        <v>659.34</v>
      </c>
      <c r="U578">
        <v>0.09</v>
      </c>
      <c r="V578">
        <f t="shared" si="51"/>
        <v>59.340600000000002</v>
      </c>
      <c r="W578">
        <f t="shared" si="52"/>
        <v>599.99940000000004</v>
      </c>
      <c r="X578">
        <v>5.77</v>
      </c>
      <c r="Y578">
        <f t="shared" si="53"/>
        <v>605.76940000000002</v>
      </c>
    </row>
    <row r="579" spans="1:25" x14ac:dyDescent="0.25">
      <c r="A579" t="s">
        <v>1525</v>
      </c>
      <c r="B579">
        <v>42142</v>
      </c>
      <c r="C579" t="str">
        <f t="shared" si="48"/>
        <v>2015</v>
      </c>
      <c r="D579" t="s">
        <v>539</v>
      </c>
      <c r="E579" t="s">
        <v>540</v>
      </c>
      <c r="F579" t="s">
        <v>448</v>
      </c>
      <c r="G579" t="s">
        <v>449</v>
      </c>
      <c r="H579" t="s">
        <v>259</v>
      </c>
      <c r="I579" t="s">
        <v>299</v>
      </c>
      <c r="J579" t="s">
        <v>294</v>
      </c>
      <c r="K579" t="s">
        <v>295</v>
      </c>
      <c r="L579" t="s">
        <v>245</v>
      </c>
      <c r="M579" t="s">
        <v>246</v>
      </c>
      <c r="N579" t="s">
        <v>247</v>
      </c>
      <c r="O579">
        <v>42144</v>
      </c>
      <c r="P579">
        <v>54.29</v>
      </c>
      <c r="Q579">
        <v>90.48</v>
      </c>
      <c r="R579">
        <f t="shared" si="49"/>
        <v>36.190000000000005</v>
      </c>
      <c r="S579">
        <v>11</v>
      </c>
      <c r="T579">
        <f t="shared" si="50"/>
        <v>995.28000000000009</v>
      </c>
      <c r="U579">
        <v>0.04</v>
      </c>
      <c r="V579">
        <f t="shared" si="51"/>
        <v>39.811200000000007</v>
      </c>
      <c r="W579">
        <f t="shared" si="52"/>
        <v>955.4688000000001</v>
      </c>
      <c r="X579">
        <v>19.989999999999998</v>
      </c>
      <c r="Y579">
        <f t="shared" si="53"/>
        <v>975.45880000000011</v>
      </c>
    </row>
    <row r="580" spans="1:25" x14ac:dyDescent="0.25">
      <c r="A580" t="s">
        <v>1526</v>
      </c>
      <c r="B580">
        <v>42142</v>
      </c>
      <c r="C580" t="str">
        <f t="shared" si="48"/>
        <v>2015</v>
      </c>
      <c r="D580" t="s">
        <v>1452</v>
      </c>
      <c r="E580" t="s">
        <v>528</v>
      </c>
      <c r="F580" t="s">
        <v>239</v>
      </c>
      <c r="G580" t="s">
        <v>240</v>
      </c>
      <c r="H580" t="s">
        <v>293</v>
      </c>
      <c r="I580" t="s">
        <v>251</v>
      </c>
      <c r="J580" t="s">
        <v>294</v>
      </c>
      <c r="K580" t="s">
        <v>1249</v>
      </c>
      <c r="L580" t="s">
        <v>245</v>
      </c>
      <c r="M580" t="s">
        <v>246</v>
      </c>
      <c r="N580" t="s">
        <v>247</v>
      </c>
      <c r="O580">
        <v>42142</v>
      </c>
      <c r="P580">
        <v>1.19</v>
      </c>
      <c r="Q580">
        <v>1.98</v>
      </c>
      <c r="R580">
        <f t="shared" si="49"/>
        <v>0.79</v>
      </c>
      <c r="S580">
        <v>29</v>
      </c>
      <c r="T580">
        <f t="shared" si="50"/>
        <v>57.42</v>
      </c>
      <c r="U580">
        <v>0.09</v>
      </c>
      <c r="V580">
        <f t="shared" si="51"/>
        <v>5.1677999999999997</v>
      </c>
      <c r="W580">
        <f t="shared" si="52"/>
        <v>52.252200000000002</v>
      </c>
      <c r="X580">
        <v>4.7699999999999996</v>
      </c>
      <c r="Y580">
        <f t="shared" si="53"/>
        <v>57.022199999999998</v>
      </c>
    </row>
    <row r="581" spans="1:25" x14ac:dyDescent="0.25">
      <c r="A581" t="s">
        <v>1527</v>
      </c>
      <c r="B581">
        <v>42142</v>
      </c>
      <c r="C581" t="str">
        <f t="shared" si="48"/>
        <v>2015</v>
      </c>
      <c r="D581" t="s">
        <v>1528</v>
      </c>
      <c r="E581" t="s">
        <v>341</v>
      </c>
      <c r="F581" t="s">
        <v>257</v>
      </c>
      <c r="G581" t="s">
        <v>258</v>
      </c>
      <c r="H581" t="s">
        <v>259</v>
      </c>
      <c r="I581" t="s">
        <v>342</v>
      </c>
      <c r="J581" t="s">
        <v>279</v>
      </c>
      <c r="K581" t="s">
        <v>488</v>
      </c>
      <c r="L581" t="s">
        <v>268</v>
      </c>
      <c r="M581" t="s">
        <v>323</v>
      </c>
      <c r="N581" t="s">
        <v>247</v>
      </c>
      <c r="O581">
        <v>42149</v>
      </c>
      <c r="P581">
        <v>20.18</v>
      </c>
      <c r="Q581">
        <v>35.409999999999997</v>
      </c>
      <c r="R581">
        <f t="shared" si="49"/>
        <v>15.229999999999997</v>
      </c>
      <c r="S581">
        <v>1</v>
      </c>
      <c r="T581">
        <f t="shared" si="50"/>
        <v>35.409999999999997</v>
      </c>
      <c r="U581">
        <v>0.1</v>
      </c>
      <c r="V581">
        <f t="shared" si="51"/>
        <v>3.5409999999999999</v>
      </c>
      <c r="W581">
        <f t="shared" si="52"/>
        <v>31.868999999999996</v>
      </c>
      <c r="X581">
        <v>1.99</v>
      </c>
      <c r="Y581">
        <f t="shared" si="53"/>
        <v>33.858999999999995</v>
      </c>
    </row>
    <row r="582" spans="1:25" x14ac:dyDescent="0.25">
      <c r="A582" t="s">
        <v>1529</v>
      </c>
      <c r="B582">
        <v>42143</v>
      </c>
      <c r="C582" t="str">
        <f t="shared" ref="C582:C645" si="54">TEXT(B582,"yyyy")</f>
        <v>2015</v>
      </c>
      <c r="D582" t="s">
        <v>525</v>
      </c>
      <c r="E582" t="s">
        <v>432</v>
      </c>
      <c r="F582" t="s">
        <v>257</v>
      </c>
      <c r="G582" t="s">
        <v>258</v>
      </c>
      <c r="H582" t="s">
        <v>259</v>
      </c>
      <c r="I582" t="s">
        <v>333</v>
      </c>
      <c r="J582" t="s">
        <v>261</v>
      </c>
      <c r="K582" t="s">
        <v>625</v>
      </c>
      <c r="L582" t="s">
        <v>245</v>
      </c>
      <c r="M582" t="s">
        <v>246</v>
      </c>
      <c r="N582" t="s">
        <v>247</v>
      </c>
      <c r="O582">
        <v>42144</v>
      </c>
      <c r="P582">
        <v>1.84</v>
      </c>
      <c r="Q582">
        <v>2.88</v>
      </c>
      <c r="R582">
        <f t="shared" ref="R582:R645" si="55">Q582-P582</f>
        <v>1.0399999999999998</v>
      </c>
      <c r="S582">
        <v>16</v>
      </c>
      <c r="T582">
        <f t="shared" ref="T582:T645" si="56">Q582*S582</f>
        <v>46.08</v>
      </c>
      <c r="U582">
        <v>0.05</v>
      </c>
      <c r="V582">
        <f t="shared" ref="V582:V645" si="57">T582*U582</f>
        <v>2.3039999999999998</v>
      </c>
      <c r="W582">
        <f t="shared" ref="W582:W645" si="58">T582-V582</f>
        <v>43.775999999999996</v>
      </c>
      <c r="X582">
        <v>1.49</v>
      </c>
      <c r="Y582">
        <f t="shared" ref="Y582:Y645" si="59">W582+X582</f>
        <v>45.265999999999998</v>
      </c>
    </row>
    <row r="583" spans="1:25" x14ac:dyDescent="0.25">
      <c r="A583" t="s">
        <v>1530</v>
      </c>
      <c r="B583">
        <v>42144</v>
      </c>
      <c r="C583" t="str">
        <f t="shared" si="54"/>
        <v>2015</v>
      </c>
      <c r="D583" t="s">
        <v>1023</v>
      </c>
      <c r="E583" t="s">
        <v>356</v>
      </c>
      <c r="F583" t="s">
        <v>239</v>
      </c>
      <c r="G583" t="s">
        <v>240</v>
      </c>
      <c r="H583" t="s">
        <v>259</v>
      </c>
      <c r="I583" t="s">
        <v>251</v>
      </c>
      <c r="J583" t="s">
        <v>243</v>
      </c>
      <c r="K583" t="s">
        <v>625</v>
      </c>
      <c r="L583" t="s">
        <v>245</v>
      </c>
      <c r="M583" t="s">
        <v>246</v>
      </c>
      <c r="N583" t="s">
        <v>247</v>
      </c>
      <c r="O583">
        <v>42147</v>
      </c>
      <c r="P583">
        <v>1.84</v>
      </c>
      <c r="Q583">
        <v>2.88</v>
      </c>
      <c r="R583">
        <f t="shared" si="55"/>
        <v>1.0399999999999998</v>
      </c>
      <c r="S583">
        <v>26</v>
      </c>
      <c r="T583">
        <f t="shared" si="56"/>
        <v>74.88</v>
      </c>
      <c r="U583">
        <v>0.08</v>
      </c>
      <c r="V583">
        <f t="shared" si="57"/>
        <v>5.9904000000000002</v>
      </c>
      <c r="W583">
        <f t="shared" si="58"/>
        <v>68.889600000000002</v>
      </c>
      <c r="X583">
        <v>1.49</v>
      </c>
      <c r="Y583">
        <f t="shared" si="59"/>
        <v>70.379599999999996</v>
      </c>
    </row>
    <row r="584" spans="1:25" x14ac:dyDescent="0.25">
      <c r="A584" t="s">
        <v>1531</v>
      </c>
      <c r="B584">
        <v>42144</v>
      </c>
      <c r="C584" t="str">
        <f t="shared" si="54"/>
        <v>2015</v>
      </c>
      <c r="D584" t="s">
        <v>821</v>
      </c>
      <c r="E584" t="s">
        <v>250</v>
      </c>
      <c r="F584" t="s">
        <v>239</v>
      </c>
      <c r="G584" t="s">
        <v>240</v>
      </c>
      <c r="H584" t="s">
        <v>241</v>
      </c>
      <c r="I584" t="s">
        <v>251</v>
      </c>
      <c r="J584" t="s">
        <v>261</v>
      </c>
      <c r="K584" t="s">
        <v>488</v>
      </c>
      <c r="L584" t="s">
        <v>268</v>
      </c>
      <c r="M584" t="s">
        <v>323</v>
      </c>
      <c r="N584" t="s">
        <v>247</v>
      </c>
      <c r="O584">
        <v>42146</v>
      </c>
      <c r="P584">
        <v>20.18</v>
      </c>
      <c r="Q584">
        <v>35.409999999999997</v>
      </c>
      <c r="R584">
        <f t="shared" si="55"/>
        <v>15.229999999999997</v>
      </c>
      <c r="S584">
        <v>49</v>
      </c>
      <c r="T584">
        <f t="shared" si="56"/>
        <v>1735.09</v>
      </c>
      <c r="U584">
        <v>0.02</v>
      </c>
      <c r="V584">
        <f t="shared" si="57"/>
        <v>34.701799999999999</v>
      </c>
      <c r="W584">
        <f t="shared" si="58"/>
        <v>1700.3881999999999</v>
      </c>
      <c r="X584">
        <v>1.99</v>
      </c>
      <c r="Y584">
        <f t="shared" si="59"/>
        <v>1702.3781999999999</v>
      </c>
    </row>
    <row r="585" spans="1:25" x14ac:dyDescent="0.25">
      <c r="A585" t="s">
        <v>1532</v>
      </c>
      <c r="B585">
        <v>42144</v>
      </c>
      <c r="C585" t="str">
        <f t="shared" si="54"/>
        <v>2015</v>
      </c>
      <c r="D585" t="s">
        <v>1533</v>
      </c>
      <c r="E585" t="s">
        <v>352</v>
      </c>
      <c r="F585" t="s">
        <v>257</v>
      </c>
      <c r="G585" t="s">
        <v>258</v>
      </c>
      <c r="H585" t="s">
        <v>293</v>
      </c>
      <c r="I585" t="s">
        <v>275</v>
      </c>
      <c r="J585" t="s">
        <v>261</v>
      </c>
      <c r="K585" t="s">
        <v>343</v>
      </c>
      <c r="L585" t="s">
        <v>268</v>
      </c>
      <c r="M585" t="s">
        <v>246</v>
      </c>
      <c r="N585" t="s">
        <v>247</v>
      </c>
      <c r="O585">
        <v>42145</v>
      </c>
      <c r="P585">
        <v>81.59</v>
      </c>
      <c r="Q585">
        <v>159.99</v>
      </c>
      <c r="R585">
        <f t="shared" si="55"/>
        <v>78.400000000000006</v>
      </c>
      <c r="S585">
        <v>19</v>
      </c>
      <c r="T585">
        <f t="shared" si="56"/>
        <v>3039.8100000000004</v>
      </c>
      <c r="U585">
        <v>0.1</v>
      </c>
      <c r="V585">
        <f t="shared" si="57"/>
        <v>303.98100000000005</v>
      </c>
      <c r="W585">
        <f t="shared" si="58"/>
        <v>2735.8290000000002</v>
      </c>
      <c r="X585">
        <v>5.5</v>
      </c>
      <c r="Y585">
        <f t="shared" si="59"/>
        <v>2741.3290000000002</v>
      </c>
    </row>
    <row r="586" spans="1:25" x14ac:dyDescent="0.25">
      <c r="A586" t="s">
        <v>1534</v>
      </c>
      <c r="B586">
        <v>42146</v>
      </c>
      <c r="C586" t="str">
        <f t="shared" si="54"/>
        <v>2015</v>
      </c>
      <c r="D586" t="s">
        <v>828</v>
      </c>
      <c r="E586" t="s">
        <v>829</v>
      </c>
      <c r="F586" t="s">
        <v>448</v>
      </c>
      <c r="G586" t="s">
        <v>449</v>
      </c>
      <c r="H586" t="s">
        <v>259</v>
      </c>
      <c r="I586" t="s">
        <v>381</v>
      </c>
      <c r="J586" t="s">
        <v>261</v>
      </c>
      <c r="K586" t="s">
        <v>888</v>
      </c>
      <c r="L586" t="s">
        <v>245</v>
      </c>
      <c r="M586" t="s">
        <v>253</v>
      </c>
      <c r="N586" t="s">
        <v>247</v>
      </c>
      <c r="O586">
        <v>42148</v>
      </c>
      <c r="P586">
        <v>2.31</v>
      </c>
      <c r="Q586">
        <v>3.78</v>
      </c>
      <c r="R586">
        <f t="shared" si="55"/>
        <v>1.4699999999999998</v>
      </c>
      <c r="S586">
        <v>19</v>
      </c>
      <c r="T586">
        <f t="shared" si="56"/>
        <v>71.819999999999993</v>
      </c>
      <c r="U586">
        <v>0.03</v>
      </c>
      <c r="V586">
        <f t="shared" si="57"/>
        <v>2.1545999999999998</v>
      </c>
      <c r="W586">
        <f t="shared" si="58"/>
        <v>69.665399999999991</v>
      </c>
      <c r="X586">
        <v>0.71</v>
      </c>
      <c r="Y586">
        <f t="shared" si="59"/>
        <v>70.375399999999985</v>
      </c>
    </row>
    <row r="587" spans="1:25" x14ac:dyDescent="0.25">
      <c r="A587" t="s">
        <v>1535</v>
      </c>
      <c r="B587">
        <v>42148</v>
      </c>
      <c r="C587" t="str">
        <f t="shared" si="54"/>
        <v>2015</v>
      </c>
      <c r="D587" t="s">
        <v>1310</v>
      </c>
      <c r="E587" t="s">
        <v>332</v>
      </c>
      <c r="F587" t="s">
        <v>257</v>
      </c>
      <c r="G587" t="s">
        <v>258</v>
      </c>
      <c r="H587" t="s">
        <v>259</v>
      </c>
      <c r="I587" t="s">
        <v>333</v>
      </c>
      <c r="J587" t="s">
        <v>304</v>
      </c>
      <c r="K587" t="s">
        <v>276</v>
      </c>
      <c r="L587" t="s">
        <v>245</v>
      </c>
      <c r="M587" t="s">
        <v>253</v>
      </c>
      <c r="N587" t="s">
        <v>247</v>
      </c>
      <c r="O587">
        <v>42149</v>
      </c>
      <c r="P587">
        <v>0.9</v>
      </c>
      <c r="Q587">
        <v>2.1</v>
      </c>
      <c r="R587">
        <f t="shared" si="55"/>
        <v>1.2000000000000002</v>
      </c>
      <c r="S587">
        <v>17</v>
      </c>
      <c r="T587">
        <f t="shared" si="56"/>
        <v>35.700000000000003</v>
      </c>
      <c r="U587">
        <v>0.09</v>
      </c>
      <c r="V587">
        <f t="shared" si="57"/>
        <v>3.2130000000000001</v>
      </c>
      <c r="W587">
        <f t="shared" si="58"/>
        <v>32.487000000000002</v>
      </c>
      <c r="X587">
        <v>0.7</v>
      </c>
      <c r="Y587">
        <f t="shared" si="59"/>
        <v>33.187000000000005</v>
      </c>
    </row>
    <row r="588" spans="1:25" x14ac:dyDescent="0.25">
      <c r="A588" t="s">
        <v>1536</v>
      </c>
      <c r="B588">
        <v>42148</v>
      </c>
      <c r="C588" t="str">
        <f t="shared" si="54"/>
        <v>2015</v>
      </c>
      <c r="D588" t="s">
        <v>1135</v>
      </c>
      <c r="E588" t="s">
        <v>528</v>
      </c>
      <c r="F588" t="s">
        <v>239</v>
      </c>
      <c r="G588" t="s">
        <v>240</v>
      </c>
      <c r="H588" t="s">
        <v>274</v>
      </c>
      <c r="I588" t="s">
        <v>251</v>
      </c>
      <c r="J588" t="s">
        <v>279</v>
      </c>
      <c r="K588" t="s">
        <v>435</v>
      </c>
      <c r="L588" t="s">
        <v>245</v>
      </c>
      <c r="M588" t="s">
        <v>253</v>
      </c>
      <c r="N588" t="s">
        <v>247</v>
      </c>
      <c r="O588">
        <v>42152</v>
      </c>
      <c r="P588">
        <v>3.75</v>
      </c>
      <c r="Q588">
        <v>7.08</v>
      </c>
      <c r="R588">
        <f t="shared" si="55"/>
        <v>3.33</v>
      </c>
      <c r="S588">
        <v>49</v>
      </c>
      <c r="T588">
        <f t="shared" si="56"/>
        <v>346.92</v>
      </c>
      <c r="U588">
        <v>0</v>
      </c>
      <c r="V588">
        <f t="shared" si="57"/>
        <v>0</v>
      </c>
      <c r="W588">
        <f t="shared" si="58"/>
        <v>346.92</v>
      </c>
      <c r="X588">
        <v>2.35</v>
      </c>
      <c r="Y588">
        <f t="shared" si="59"/>
        <v>349.27000000000004</v>
      </c>
    </row>
    <row r="589" spans="1:25" x14ac:dyDescent="0.25">
      <c r="A589" t="s">
        <v>1537</v>
      </c>
      <c r="B589">
        <v>42150</v>
      </c>
      <c r="C589" t="str">
        <f t="shared" si="54"/>
        <v>2015</v>
      </c>
      <c r="D589" t="s">
        <v>1538</v>
      </c>
      <c r="E589" t="s">
        <v>1539</v>
      </c>
      <c r="F589" t="s">
        <v>239</v>
      </c>
      <c r="G589" t="s">
        <v>240</v>
      </c>
      <c r="H589" t="s">
        <v>259</v>
      </c>
      <c r="I589" t="s">
        <v>242</v>
      </c>
      <c r="J589" t="s">
        <v>261</v>
      </c>
      <c r="K589" t="s">
        <v>280</v>
      </c>
      <c r="L589" t="s">
        <v>245</v>
      </c>
      <c r="M589" t="s">
        <v>253</v>
      </c>
      <c r="N589" t="s">
        <v>247</v>
      </c>
      <c r="O589">
        <v>42152</v>
      </c>
      <c r="P589">
        <v>1.0900000000000001</v>
      </c>
      <c r="Q589">
        <v>2.6</v>
      </c>
      <c r="R589">
        <f t="shared" si="55"/>
        <v>1.51</v>
      </c>
      <c r="S589">
        <v>8</v>
      </c>
      <c r="T589">
        <f t="shared" si="56"/>
        <v>20.8</v>
      </c>
      <c r="U589">
        <v>0.04</v>
      </c>
      <c r="V589">
        <f t="shared" si="57"/>
        <v>0.83200000000000007</v>
      </c>
      <c r="W589">
        <f t="shared" si="58"/>
        <v>19.968</v>
      </c>
      <c r="X589">
        <v>2.4</v>
      </c>
      <c r="Y589">
        <f t="shared" si="59"/>
        <v>22.367999999999999</v>
      </c>
    </row>
    <row r="590" spans="1:25" x14ac:dyDescent="0.25">
      <c r="A590" t="s">
        <v>1540</v>
      </c>
      <c r="B590">
        <v>42151</v>
      </c>
      <c r="C590" t="str">
        <f t="shared" si="54"/>
        <v>2015</v>
      </c>
      <c r="D590" t="s">
        <v>379</v>
      </c>
      <c r="E590" t="s">
        <v>380</v>
      </c>
      <c r="F590" t="s">
        <v>257</v>
      </c>
      <c r="G590" t="s">
        <v>258</v>
      </c>
      <c r="H590" t="s">
        <v>293</v>
      </c>
      <c r="I590" t="s">
        <v>381</v>
      </c>
      <c r="J590" t="s">
        <v>294</v>
      </c>
      <c r="K590" t="s">
        <v>373</v>
      </c>
      <c r="L590" t="s">
        <v>268</v>
      </c>
      <c r="M590" t="s">
        <v>246</v>
      </c>
      <c r="N590" t="s">
        <v>247</v>
      </c>
      <c r="O590">
        <v>42153</v>
      </c>
      <c r="P590">
        <v>6.39</v>
      </c>
      <c r="Q590">
        <v>19.98</v>
      </c>
      <c r="R590">
        <f t="shared" si="55"/>
        <v>13.59</v>
      </c>
      <c r="S590">
        <v>7</v>
      </c>
      <c r="T590">
        <f t="shared" si="56"/>
        <v>139.86000000000001</v>
      </c>
      <c r="U590">
        <v>0.09</v>
      </c>
      <c r="V590">
        <f t="shared" si="57"/>
        <v>12.587400000000001</v>
      </c>
      <c r="W590">
        <f t="shared" si="58"/>
        <v>127.27260000000001</v>
      </c>
      <c r="X590">
        <v>4</v>
      </c>
      <c r="Y590">
        <f t="shared" si="59"/>
        <v>131.27260000000001</v>
      </c>
    </row>
    <row r="591" spans="1:25" x14ac:dyDescent="0.25">
      <c r="A591" t="s">
        <v>1541</v>
      </c>
      <c r="B591">
        <v>42152</v>
      </c>
      <c r="C591" t="str">
        <f t="shared" si="54"/>
        <v>2015</v>
      </c>
      <c r="D591" t="s">
        <v>398</v>
      </c>
      <c r="E591" t="s">
        <v>308</v>
      </c>
      <c r="F591" t="s">
        <v>257</v>
      </c>
      <c r="G591" t="s">
        <v>258</v>
      </c>
      <c r="H591" t="s">
        <v>259</v>
      </c>
      <c r="I591" t="s">
        <v>309</v>
      </c>
      <c r="J591" t="s">
        <v>294</v>
      </c>
      <c r="K591" t="s">
        <v>280</v>
      </c>
      <c r="L591" t="s">
        <v>245</v>
      </c>
      <c r="M591" t="s">
        <v>253</v>
      </c>
      <c r="N591" t="s">
        <v>263</v>
      </c>
      <c r="O591">
        <v>42153</v>
      </c>
      <c r="P591">
        <v>1.0900000000000001</v>
      </c>
      <c r="Q591">
        <v>2.6</v>
      </c>
      <c r="R591">
        <f t="shared" si="55"/>
        <v>1.51</v>
      </c>
      <c r="S591">
        <v>42</v>
      </c>
      <c r="T591">
        <f t="shared" si="56"/>
        <v>109.2</v>
      </c>
      <c r="U591">
        <v>0.05</v>
      </c>
      <c r="V591">
        <f t="shared" si="57"/>
        <v>5.4600000000000009</v>
      </c>
      <c r="W591">
        <f t="shared" si="58"/>
        <v>103.74000000000001</v>
      </c>
      <c r="X591">
        <v>2.4</v>
      </c>
      <c r="Y591">
        <f t="shared" si="59"/>
        <v>106.14000000000001</v>
      </c>
    </row>
    <row r="592" spans="1:25" x14ac:dyDescent="0.25">
      <c r="A592" t="s">
        <v>1542</v>
      </c>
      <c r="B592">
        <v>42153</v>
      </c>
      <c r="C592" t="str">
        <f t="shared" si="54"/>
        <v>2015</v>
      </c>
      <c r="D592" t="s">
        <v>1501</v>
      </c>
      <c r="E592" t="s">
        <v>359</v>
      </c>
      <c r="F592" t="s">
        <v>239</v>
      </c>
      <c r="G592" t="s">
        <v>240</v>
      </c>
      <c r="H592" t="s">
        <v>259</v>
      </c>
      <c r="I592" t="s">
        <v>251</v>
      </c>
      <c r="J592" t="s">
        <v>243</v>
      </c>
      <c r="K592" t="s">
        <v>1119</v>
      </c>
      <c r="L592" t="s">
        <v>245</v>
      </c>
      <c r="M592" t="s">
        <v>246</v>
      </c>
      <c r="N592" t="s">
        <v>247</v>
      </c>
      <c r="O592">
        <v>42155</v>
      </c>
      <c r="P592">
        <v>1.84</v>
      </c>
      <c r="Q592">
        <v>2.88</v>
      </c>
      <c r="R592">
        <f t="shared" si="55"/>
        <v>1.0399999999999998</v>
      </c>
      <c r="S592">
        <v>24</v>
      </c>
      <c r="T592">
        <f t="shared" si="56"/>
        <v>69.12</v>
      </c>
      <c r="U592">
        <v>7.0000000000000007E-2</v>
      </c>
      <c r="V592">
        <f t="shared" si="57"/>
        <v>4.8384000000000009</v>
      </c>
      <c r="W592">
        <f t="shared" si="58"/>
        <v>64.281599999999997</v>
      </c>
      <c r="X592">
        <v>0.99</v>
      </c>
      <c r="Y592">
        <f t="shared" si="59"/>
        <v>65.271599999999992</v>
      </c>
    </row>
    <row r="593" spans="1:25" x14ac:dyDescent="0.25">
      <c r="A593" t="s">
        <v>1543</v>
      </c>
      <c r="B593">
        <v>42155</v>
      </c>
      <c r="C593" t="str">
        <f t="shared" si="54"/>
        <v>2015</v>
      </c>
      <c r="D593" t="s">
        <v>1544</v>
      </c>
      <c r="E593" t="s">
        <v>376</v>
      </c>
      <c r="F593" t="s">
        <v>239</v>
      </c>
      <c r="G593" t="s">
        <v>240</v>
      </c>
      <c r="H593" t="s">
        <v>259</v>
      </c>
      <c r="I593" t="s">
        <v>242</v>
      </c>
      <c r="J593" t="s">
        <v>294</v>
      </c>
      <c r="K593" t="s">
        <v>413</v>
      </c>
      <c r="L593" t="s">
        <v>268</v>
      </c>
      <c r="M593" t="s">
        <v>414</v>
      </c>
      <c r="N593" t="s">
        <v>263</v>
      </c>
      <c r="O593">
        <v>42157</v>
      </c>
      <c r="P593">
        <v>8.82</v>
      </c>
      <c r="Q593">
        <v>20.99</v>
      </c>
      <c r="R593">
        <f t="shared" si="55"/>
        <v>12.169999999999998</v>
      </c>
      <c r="S593">
        <v>18</v>
      </c>
      <c r="T593">
        <f t="shared" si="56"/>
        <v>377.82</v>
      </c>
      <c r="U593">
        <v>0</v>
      </c>
      <c r="V593">
        <f t="shared" si="57"/>
        <v>0</v>
      </c>
      <c r="W593">
        <f t="shared" si="58"/>
        <v>377.82</v>
      </c>
      <c r="X593">
        <v>4.8099999999999996</v>
      </c>
      <c r="Y593">
        <f t="shared" si="59"/>
        <v>382.63</v>
      </c>
    </row>
    <row r="594" spans="1:25" x14ac:dyDescent="0.25">
      <c r="A594" t="s">
        <v>1545</v>
      </c>
      <c r="B594">
        <v>42155</v>
      </c>
      <c r="C594" t="str">
        <f t="shared" si="54"/>
        <v>2015</v>
      </c>
      <c r="D594" t="s">
        <v>1284</v>
      </c>
      <c r="E594" t="s">
        <v>1001</v>
      </c>
      <c r="F594" t="s">
        <v>239</v>
      </c>
      <c r="G594" t="s">
        <v>240</v>
      </c>
      <c r="H594" t="s">
        <v>274</v>
      </c>
      <c r="I594" t="s">
        <v>251</v>
      </c>
      <c r="J594" t="s">
        <v>304</v>
      </c>
      <c r="K594" t="s">
        <v>403</v>
      </c>
      <c r="L594" t="s">
        <v>268</v>
      </c>
      <c r="M594" t="s">
        <v>323</v>
      </c>
      <c r="N594" t="s">
        <v>247</v>
      </c>
      <c r="O594">
        <v>42156</v>
      </c>
      <c r="P594">
        <v>1.87</v>
      </c>
      <c r="Q594">
        <v>8.1199999999999992</v>
      </c>
      <c r="R594">
        <f t="shared" si="55"/>
        <v>6.2499999999999991</v>
      </c>
      <c r="S594">
        <v>3</v>
      </c>
      <c r="T594">
        <f t="shared" si="56"/>
        <v>24.36</v>
      </c>
      <c r="U594">
        <v>0.03</v>
      </c>
      <c r="V594">
        <f t="shared" si="57"/>
        <v>0.73080000000000001</v>
      </c>
      <c r="W594">
        <f t="shared" si="58"/>
        <v>23.629200000000001</v>
      </c>
      <c r="X594">
        <v>2.83</v>
      </c>
      <c r="Y594">
        <f t="shared" si="59"/>
        <v>26.459200000000003</v>
      </c>
    </row>
    <row r="595" spans="1:25" x14ac:dyDescent="0.25">
      <c r="A595" t="s">
        <v>1546</v>
      </c>
      <c r="B595">
        <v>42155</v>
      </c>
      <c r="C595" t="str">
        <f t="shared" si="54"/>
        <v>2015</v>
      </c>
      <c r="D595" t="s">
        <v>1547</v>
      </c>
      <c r="E595" t="s">
        <v>709</v>
      </c>
      <c r="F595" t="s">
        <v>257</v>
      </c>
      <c r="G595" t="s">
        <v>258</v>
      </c>
      <c r="H595" t="s">
        <v>241</v>
      </c>
      <c r="I595" t="s">
        <v>275</v>
      </c>
      <c r="J595" t="s">
        <v>279</v>
      </c>
      <c r="K595" t="s">
        <v>734</v>
      </c>
      <c r="L595" t="s">
        <v>245</v>
      </c>
      <c r="M595" t="s">
        <v>246</v>
      </c>
      <c r="N595" t="s">
        <v>247</v>
      </c>
      <c r="O595">
        <v>42160</v>
      </c>
      <c r="P595">
        <v>14.95</v>
      </c>
      <c r="Q595">
        <v>34.76</v>
      </c>
      <c r="R595">
        <f t="shared" si="55"/>
        <v>19.809999999999999</v>
      </c>
      <c r="S595">
        <v>43</v>
      </c>
      <c r="T595">
        <f t="shared" si="56"/>
        <v>1494.6799999999998</v>
      </c>
      <c r="U595">
        <v>0.08</v>
      </c>
      <c r="V595">
        <f t="shared" si="57"/>
        <v>119.57439999999998</v>
      </c>
      <c r="W595">
        <f t="shared" si="58"/>
        <v>1375.1055999999999</v>
      </c>
      <c r="X595">
        <v>8.2200000000000006</v>
      </c>
      <c r="Y595">
        <f t="shared" si="59"/>
        <v>1383.3255999999999</v>
      </c>
    </row>
    <row r="596" spans="1:25" x14ac:dyDescent="0.25">
      <c r="A596" t="s">
        <v>1548</v>
      </c>
      <c r="B596">
        <v>42156</v>
      </c>
      <c r="C596" t="str">
        <f t="shared" si="54"/>
        <v>2015</v>
      </c>
      <c r="D596" t="s">
        <v>1225</v>
      </c>
      <c r="E596" t="s">
        <v>420</v>
      </c>
      <c r="F596" t="s">
        <v>239</v>
      </c>
      <c r="G596" t="s">
        <v>240</v>
      </c>
      <c r="H596" t="s">
        <v>259</v>
      </c>
      <c r="I596" t="s">
        <v>251</v>
      </c>
      <c r="J596" t="s">
        <v>279</v>
      </c>
      <c r="K596" t="s">
        <v>963</v>
      </c>
      <c r="L596" t="s">
        <v>245</v>
      </c>
      <c r="M596" t="s">
        <v>323</v>
      </c>
      <c r="N596" t="s">
        <v>247</v>
      </c>
      <c r="O596">
        <v>42161</v>
      </c>
      <c r="P596">
        <v>4.1900000000000004</v>
      </c>
      <c r="Q596">
        <v>10.23</v>
      </c>
      <c r="R596">
        <f t="shared" si="55"/>
        <v>6.04</v>
      </c>
      <c r="S596">
        <v>35</v>
      </c>
      <c r="T596">
        <f t="shared" si="56"/>
        <v>358.05</v>
      </c>
      <c r="U596">
        <v>0.01</v>
      </c>
      <c r="V596">
        <f t="shared" si="57"/>
        <v>3.5805000000000002</v>
      </c>
      <c r="W596">
        <f t="shared" si="58"/>
        <v>354.46950000000004</v>
      </c>
      <c r="X596">
        <v>4.68</v>
      </c>
      <c r="Y596">
        <f t="shared" si="59"/>
        <v>359.14950000000005</v>
      </c>
    </row>
    <row r="597" spans="1:25" x14ac:dyDescent="0.25">
      <c r="A597" t="s">
        <v>1549</v>
      </c>
      <c r="B597">
        <v>42163</v>
      </c>
      <c r="C597" t="str">
        <f t="shared" si="54"/>
        <v>2015</v>
      </c>
      <c r="D597" t="s">
        <v>1550</v>
      </c>
      <c r="E597" t="s">
        <v>1551</v>
      </c>
      <c r="F597" t="s">
        <v>257</v>
      </c>
      <c r="G597" t="s">
        <v>258</v>
      </c>
      <c r="H597" t="s">
        <v>274</v>
      </c>
      <c r="I597" t="s">
        <v>309</v>
      </c>
      <c r="J597" t="s">
        <v>261</v>
      </c>
      <c r="K597" t="s">
        <v>761</v>
      </c>
      <c r="L597" t="s">
        <v>268</v>
      </c>
      <c r="M597" t="s">
        <v>246</v>
      </c>
      <c r="N597" t="s">
        <v>247</v>
      </c>
      <c r="O597">
        <v>42165</v>
      </c>
      <c r="P597">
        <v>62.4</v>
      </c>
      <c r="Q597">
        <v>155.99</v>
      </c>
      <c r="R597">
        <f t="shared" si="55"/>
        <v>93.59</v>
      </c>
      <c r="S597">
        <v>21</v>
      </c>
      <c r="T597">
        <f t="shared" si="56"/>
        <v>3275.79</v>
      </c>
      <c r="U597">
        <v>0.08</v>
      </c>
      <c r="V597">
        <f t="shared" si="57"/>
        <v>262.06319999999999</v>
      </c>
      <c r="W597">
        <f t="shared" si="58"/>
        <v>3013.7267999999999</v>
      </c>
      <c r="X597">
        <v>8.08</v>
      </c>
      <c r="Y597">
        <f t="shared" si="59"/>
        <v>3021.8067999999998</v>
      </c>
    </row>
    <row r="598" spans="1:25" x14ac:dyDescent="0.25">
      <c r="A598" t="s">
        <v>1552</v>
      </c>
      <c r="B598">
        <v>42163</v>
      </c>
      <c r="C598" t="str">
        <f t="shared" si="54"/>
        <v>2015</v>
      </c>
      <c r="D598" t="s">
        <v>379</v>
      </c>
      <c r="E598" t="s">
        <v>380</v>
      </c>
      <c r="F598" t="s">
        <v>257</v>
      </c>
      <c r="G598" t="s">
        <v>258</v>
      </c>
      <c r="H598" t="s">
        <v>241</v>
      </c>
      <c r="I598" t="s">
        <v>381</v>
      </c>
      <c r="J598" t="s">
        <v>294</v>
      </c>
      <c r="K598" t="s">
        <v>939</v>
      </c>
      <c r="L598" t="s">
        <v>268</v>
      </c>
      <c r="M598" t="s">
        <v>647</v>
      </c>
      <c r="N598" t="s">
        <v>247</v>
      </c>
      <c r="O598">
        <v>42164</v>
      </c>
      <c r="P598">
        <v>377.99</v>
      </c>
      <c r="Q598">
        <v>599.99</v>
      </c>
      <c r="R598">
        <f t="shared" si="55"/>
        <v>222</v>
      </c>
      <c r="S598">
        <v>41</v>
      </c>
      <c r="T598">
        <f t="shared" si="56"/>
        <v>24599.59</v>
      </c>
      <c r="U598">
        <v>0.09</v>
      </c>
      <c r="V598">
        <f t="shared" si="57"/>
        <v>2213.9630999999999</v>
      </c>
      <c r="W598">
        <f t="shared" si="58"/>
        <v>22385.626899999999</v>
      </c>
      <c r="X598">
        <v>24.49</v>
      </c>
      <c r="Y598">
        <f t="shared" si="59"/>
        <v>22410.116900000001</v>
      </c>
    </row>
    <row r="599" spans="1:25" x14ac:dyDescent="0.25">
      <c r="A599" t="s">
        <v>1553</v>
      </c>
      <c r="B599">
        <v>42165</v>
      </c>
      <c r="C599" t="str">
        <f t="shared" si="54"/>
        <v>2015</v>
      </c>
      <c r="D599" t="s">
        <v>1554</v>
      </c>
      <c r="E599" t="s">
        <v>1484</v>
      </c>
      <c r="F599" t="s">
        <v>257</v>
      </c>
      <c r="G599" t="s">
        <v>258</v>
      </c>
      <c r="H599" t="s">
        <v>259</v>
      </c>
      <c r="I599" t="s">
        <v>492</v>
      </c>
      <c r="J599" t="s">
        <v>261</v>
      </c>
      <c r="K599" t="s">
        <v>285</v>
      </c>
      <c r="L599" t="s">
        <v>245</v>
      </c>
      <c r="M599" t="s">
        <v>246</v>
      </c>
      <c r="N599" t="s">
        <v>247</v>
      </c>
      <c r="O599">
        <v>42167</v>
      </c>
      <c r="P599">
        <v>99.39</v>
      </c>
      <c r="Q599">
        <v>162.93</v>
      </c>
      <c r="R599">
        <f t="shared" si="55"/>
        <v>63.540000000000006</v>
      </c>
      <c r="S599">
        <v>36</v>
      </c>
      <c r="T599">
        <f t="shared" si="56"/>
        <v>5865.4800000000005</v>
      </c>
      <c r="U599">
        <v>0.09</v>
      </c>
      <c r="V599">
        <f t="shared" si="57"/>
        <v>527.89319999999998</v>
      </c>
      <c r="W599">
        <f t="shared" si="58"/>
        <v>5337.5868000000009</v>
      </c>
      <c r="X599">
        <v>19.989999999999998</v>
      </c>
      <c r="Y599">
        <f t="shared" si="59"/>
        <v>5357.5768000000007</v>
      </c>
    </row>
    <row r="600" spans="1:25" x14ac:dyDescent="0.25">
      <c r="A600" t="s">
        <v>1555</v>
      </c>
      <c r="B600">
        <v>42165</v>
      </c>
      <c r="C600" t="str">
        <f t="shared" si="54"/>
        <v>2015</v>
      </c>
      <c r="D600" t="s">
        <v>521</v>
      </c>
      <c r="E600" t="s">
        <v>522</v>
      </c>
      <c r="F600" t="s">
        <v>239</v>
      </c>
      <c r="G600" t="s">
        <v>240</v>
      </c>
      <c r="H600" t="s">
        <v>259</v>
      </c>
      <c r="I600" t="s">
        <v>251</v>
      </c>
      <c r="J600" t="s">
        <v>279</v>
      </c>
      <c r="K600" t="s">
        <v>349</v>
      </c>
      <c r="L600" t="s">
        <v>245</v>
      </c>
      <c r="M600" t="s">
        <v>246</v>
      </c>
      <c r="N600" t="s">
        <v>247</v>
      </c>
      <c r="O600">
        <v>42169</v>
      </c>
      <c r="P600">
        <v>3.52</v>
      </c>
      <c r="Q600">
        <v>5.68</v>
      </c>
      <c r="R600">
        <f t="shared" si="55"/>
        <v>2.1599999999999997</v>
      </c>
      <c r="S600">
        <v>8</v>
      </c>
      <c r="T600">
        <f t="shared" si="56"/>
        <v>45.44</v>
      </c>
      <c r="U600">
        <v>0.05</v>
      </c>
      <c r="V600">
        <f t="shared" si="57"/>
        <v>2.2719999999999998</v>
      </c>
      <c r="W600">
        <f t="shared" si="58"/>
        <v>43.167999999999999</v>
      </c>
      <c r="X600">
        <v>1.39</v>
      </c>
      <c r="Y600">
        <f t="shared" si="59"/>
        <v>44.558</v>
      </c>
    </row>
    <row r="601" spans="1:25" x14ac:dyDescent="0.25">
      <c r="A601" t="s">
        <v>1556</v>
      </c>
      <c r="B601">
        <v>42166</v>
      </c>
      <c r="C601" t="str">
        <f t="shared" si="54"/>
        <v>2015</v>
      </c>
      <c r="D601" t="s">
        <v>1557</v>
      </c>
      <c r="E601" t="s">
        <v>1523</v>
      </c>
      <c r="F601" t="s">
        <v>257</v>
      </c>
      <c r="G601" t="s">
        <v>258</v>
      </c>
      <c r="H601" t="s">
        <v>274</v>
      </c>
      <c r="I601" t="s">
        <v>309</v>
      </c>
      <c r="J601" t="s">
        <v>279</v>
      </c>
      <c r="K601" t="s">
        <v>822</v>
      </c>
      <c r="L601" t="s">
        <v>245</v>
      </c>
      <c r="M601" t="s">
        <v>323</v>
      </c>
      <c r="N601" t="s">
        <v>247</v>
      </c>
      <c r="O601">
        <v>42166</v>
      </c>
      <c r="P601">
        <v>3.51</v>
      </c>
      <c r="Q601">
        <v>8.57</v>
      </c>
      <c r="R601">
        <f t="shared" si="55"/>
        <v>5.0600000000000005</v>
      </c>
      <c r="S601">
        <v>22</v>
      </c>
      <c r="T601">
        <f t="shared" si="56"/>
        <v>188.54000000000002</v>
      </c>
      <c r="U601">
        <v>0.1</v>
      </c>
      <c r="V601">
        <f t="shared" si="57"/>
        <v>18.854000000000003</v>
      </c>
      <c r="W601">
        <f t="shared" si="58"/>
        <v>169.68600000000001</v>
      </c>
      <c r="X601">
        <v>6.14</v>
      </c>
      <c r="Y601">
        <f t="shared" si="59"/>
        <v>175.82599999999999</v>
      </c>
    </row>
    <row r="602" spans="1:25" x14ac:dyDescent="0.25">
      <c r="A602" t="s">
        <v>1558</v>
      </c>
      <c r="B602">
        <v>42166</v>
      </c>
      <c r="C602" t="str">
        <f t="shared" si="54"/>
        <v>2015</v>
      </c>
      <c r="D602" t="s">
        <v>1343</v>
      </c>
      <c r="E602" t="s">
        <v>288</v>
      </c>
      <c r="F602" t="s">
        <v>257</v>
      </c>
      <c r="G602" t="s">
        <v>258</v>
      </c>
      <c r="H602" t="s">
        <v>274</v>
      </c>
      <c r="I602" t="s">
        <v>284</v>
      </c>
      <c r="J602" t="s">
        <v>243</v>
      </c>
      <c r="K602" t="s">
        <v>849</v>
      </c>
      <c r="L602" t="s">
        <v>245</v>
      </c>
      <c r="M602" t="s">
        <v>253</v>
      </c>
      <c r="N602" t="s">
        <v>263</v>
      </c>
      <c r="O602">
        <v>42168</v>
      </c>
      <c r="P602">
        <v>0.93</v>
      </c>
      <c r="Q602">
        <v>1.6</v>
      </c>
      <c r="R602">
        <f t="shared" si="55"/>
        <v>0.67</v>
      </c>
      <c r="S602">
        <v>24</v>
      </c>
      <c r="T602">
        <f t="shared" si="56"/>
        <v>38.400000000000006</v>
      </c>
      <c r="U602">
        <v>0.04</v>
      </c>
      <c r="V602">
        <f t="shared" si="57"/>
        <v>1.5360000000000003</v>
      </c>
      <c r="W602">
        <f t="shared" si="58"/>
        <v>36.864000000000004</v>
      </c>
      <c r="X602">
        <v>1.29</v>
      </c>
      <c r="Y602">
        <f t="shared" si="59"/>
        <v>38.154000000000003</v>
      </c>
    </row>
    <row r="603" spans="1:25" x14ac:dyDescent="0.25">
      <c r="A603" t="s">
        <v>1559</v>
      </c>
      <c r="B603">
        <v>42168</v>
      </c>
      <c r="C603" t="str">
        <f t="shared" si="54"/>
        <v>2015</v>
      </c>
      <c r="D603" t="s">
        <v>596</v>
      </c>
      <c r="E603" t="s">
        <v>352</v>
      </c>
      <c r="F603" t="s">
        <v>257</v>
      </c>
      <c r="G603" t="s">
        <v>258</v>
      </c>
      <c r="H603" t="s">
        <v>259</v>
      </c>
      <c r="I603" t="s">
        <v>275</v>
      </c>
      <c r="J603" t="s">
        <v>294</v>
      </c>
      <c r="K603" t="s">
        <v>439</v>
      </c>
      <c r="L603" t="s">
        <v>440</v>
      </c>
      <c r="M603" t="s">
        <v>323</v>
      </c>
      <c r="N603" t="s">
        <v>247</v>
      </c>
      <c r="O603">
        <v>42171</v>
      </c>
      <c r="P603">
        <v>5.5</v>
      </c>
      <c r="Q603">
        <v>12.22</v>
      </c>
      <c r="R603">
        <f t="shared" si="55"/>
        <v>6.7200000000000006</v>
      </c>
      <c r="S603">
        <v>8</v>
      </c>
      <c r="T603">
        <f t="shared" si="56"/>
        <v>97.76</v>
      </c>
      <c r="U603">
        <v>0.1</v>
      </c>
      <c r="V603">
        <f t="shared" si="57"/>
        <v>9.7760000000000016</v>
      </c>
      <c r="W603">
        <f t="shared" si="58"/>
        <v>87.984000000000009</v>
      </c>
      <c r="X603">
        <v>2.85</v>
      </c>
      <c r="Y603">
        <f t="shared" si="59"/>
        <v>90.834000000000003</v>
      </c>
    </row>
    <row r="604" spans="1:25" x14ac:dyDescent="0.25">
      <c r="A604" t="s">
        <v>1560</v>
      </c>
      <c r="B604">
        <v>42169</v>
      </c>
      <c r="C604" t="str">
        <f t="shared" si="54"/>
        <v>2015</v>
      </c>
      <c r="D604" t="s">
        <v>1561</v>
      </c>
      <c r="E604" t="s">
        <v>507</v>
      </c>
      <c r="F604" t="s">
        <v>239</v>
      </c>
      <c r="G604" t="s">
        <v>240</v>
      </c>
      <c r="H604" t="s">
        <v>241</v>
      </c>
      <c r="I604" t="s">
        <v>251</v>
      </c>
      <c r="J604" t="s">
        <v>243</v>
      </c>
      <c r="K604" t="s">
        <v>578</v>
      </c>
      <c r="L604" t="s">
        <v>245</v>
      </c>
      <c r="M604" t="s">
        <v>253</v>
      </c>
      <c r="N604" t="s">
        <v>247</v>
      </c>
      <c r="O604">
        <v>42170</v>
      </c>
      <c r="P604">
        <v>1.31</v>
      </c>
      <c r="Q604">
        <v>2.84</v>
      </c>
      <c r="R604">
        <f t="shared" si="55"/>
        <v>1.5299999999999998</v>
      </c>
      <c r="S604">
        <v>23</v>
      </c>
      <c r="T604">
        <f t="shared" si="56"/>
        <v>65.319999999999993</v>
      </c>
      <c r="U604">
        <v>0.06</v>
      </c>
      <c r="V604">
        <f t="shared" si="57"/>
        <v>3.9191999999999996</v>
      </c>
      <c r="W604">
        <f t="shared" si="58"/>
        <v>61.400799999999997</v>
      </c>
      <c r="X604">
        <v>0.93</v>
      </c>
      <c r="Y604">
        <f t="shared" si="59"/>
        <v>62.330799999999996</v>
      </c>
    </row>
    <row r="605" spans="1:25" x14ac:dyDescent="0.25">
      <c r="A605" t="s">
        <v>1562</v>
      </c>
      <c r="B605">
        <v>42175</v>
      </c>
      <c r="C605" t="str">
        <f t="shared" si="54"/>
        <v>2015</v>
      </c>
      <c r="D605" t="s">
        <v>1563</v>
      </c>
      <c r="E605" t="s">
        <v>528</v>
      </c>
      <c r="F605" t="s">
        <v>239</v>
      </c>
      <c r="G605" t="s">
        <v>240</v>
      </c>
      <c r="H605" t="s">
        <v>293</v>
      </c>
      <c r="I605" t="s">
        <v>251</v>
      </c>
      <c r="J605" t="s">
        <v>294</v>
      </c>
      <c r="K605" t="s">
        <v>329</v>
      </c>
      <c r="L605" t="s">
        <v>245</v>
      </c>
      <c r="M605" t="s">
        <v>246</v>
      </c>
      <c r="N605" t="s">
        <v>247</v>
      </c>
      <c r="O605">
        <v>42177</v>
      </c>
      <c r="P605">
        <v>4.59</v>
      </c>
      <c r="Q605">
        <v>7.28</v>
      </c>
      <c r="R605">
        <f t="shared" si="55"/>
        <v>2.6900000000000004</v>
      </c>
      <c r="S605">
        <v>16</v>
      </c>
      <c r="T605">
        <f t="shared" si="56"/>
        <v>116.48</v>
      </c>
      <c r="U605">
        <v>7.0000000000000007E-2</v>
      </c>
      <c r="V605">
        <f t="shared" si="57"/>
        <v>8.1536000000000008</v>
      </c>
      <c r="W605">
        <f t="shared" si="58"/>
        <v>108.32640000000001</v>
      </c>
      <c r="X605">
        <v>11.15</v>
      </c>
      <c r="Y605">
        <f t="shared" si="59"/>
        <v>119.47640000000001</v>
      </c>
    </row>
    <row r="606" spans="1:25" x14ac:dyDescent="0.25">
      <c r="A606" t="s">
        <v>1564</v>
      </c>
      <c r="B606">
        <v>42176</v>
      </c>
      <c r="C606" t="str">
        <f t="shared" si="54"/>
        <v>2015</v>
      </c>
      <c r="D606" t="s">
        <v>1565</v>
      </c>
      <c r="E606" t="s">
        <v>409</v>
      </c>
      <c r="F606" t="s">
        <v>257</v>
      </c>
      <c r="G606" t="s">
        <v>258</v>
      </c>
      <c r="H606" t="s">
        <v>259</v>
      </c>
      <c r="I606" t="s">
        <v>342</v>
      </c>
      <c r="J606" t="s">
        <v>304</v>
      </c>
      <c r="K606" t="s">
        <v>472</v>
      </c>
      <c r="L606" t="s">
        <v>245</v>
      </c>
      <c r="M606" t="s">
        <v>246</v>
      </c>
      <c r="N606" t="s">
        <v>247</v>
      </c>
      <c r="O606">
        <v>42178</v>
      </c>
      <c r="P606">
        <v>2.25</v>
      </c>
      <c r="Q606">
        <v>3.69</v>
      </c>
      <c r="R606">
        <f t="shared" si="55"/>
        <v>1.44</v>
      </c>
      <c r="S606">
        <v>42</v>
      </c>
      <c r="T606">
        <f t="shared" si="56"/>
        <v>154.97999999999999</v>
      </c>
      <c r="U606">
        <v>0.06</v>
      </c>
      <c r="V606">
        <f t="shared" si="57"/>
        <v>9.2987999999999982</v>
      </c>
      <c r="W606">
        <f t="shared" si="58"/>
        <v>145.68119999999999</v>
      </c>
      <c r="X606">
        <v>2.5</v>
      </c>
      <c r="Y606">
        <f t="shared" si="59"/>
        <v>148.18119999999999</v>
      </c>
    </row>
    <row r="607" spans="1:25" x14ac:dyDescent="0.25">
      <c r="A607" t="s">
        <v>1566</v>
      </c>
      <c r="B607">
        <v>42180</v>
      </c>
      <c r="C607" t="str">
        <f t="shared" si="54"/>
        <v>2015</v>
      </c>
      <c r="D607" t="s">
        <v>874</v>
      </c>
      <c r="E607" t="s">
        <v>438</v>
      </c>
      <c r="F607" t="s">
        <v>257</v>
      </c>
      <c r="G607" t="s">
        <v>258</v>
      </c>
      <c r="H607" t="s">
        <v>241</v>
      </c>
      <c r="I607" t="s">
        <v>309</v>
      </c>
      <c r="J607" t="s">
        <v>304</v>
      </c>
      <c r="K607" t="s">
        <v>280</v>
      </c>
      <c r="L607" t="s">
        <v>245</v>
      </c>
      <c r="M607" t="s">
        <v>253</v>
      </c>
      <c r="N607" t="s">
        <v>247</v>
      </c>
      <c r="O607">
        <v>42180</v>
      </c>
      <c r="P607">
        <v>1.0900000000000001</v>
      </c>
      <c r="Q607">
        <v>2.6</v>
      </c>
      <c r="R607">
        <f t="shared" si="55"/>
        <v>1.51</v>
      </c>
      <c r="S607">
        <v>26</v>
      </c>
      <c r="T607">
        <f t="shared" si="56"/>
        <v>67.600000000000009</v>
      </c>
      <c r="U607">
        <v>0.08</v>
      </c>
      <c r="V607">
        <f t="shared" si="57"/>
        <v>5.4080000000000004</v>
      </c>
      <c r="W607">
        <f t="shared" si="58"/>
        <v>62.192000000000007</v>
      </c>
      <c r="X607">
        <v>2.4</v>
      </c>
      <c r="Y607">
        <f t="shared" si="59"/>
        <v>64.592000000000013</v>
      </c>
    </row>
    <row r="608" spans="1:25" x14ac:dyDescent="0.25">
      <c r="A608" t="s">
        <v>1567</v>
      </c>
      <c r="B608">
        <v>42180</v>
      </c>
      <c r="C608" t="str">
        <f t="shared" si="54"/>
        <v>2015</v>
      </c>
      <c r="D608" t="s">
        <v>874</v>
      </c>
      <c r="E608" t="s">
        <v>438</v>
      </c>
      <c r="F608" t="s">
        <v>257</v>
      </c>
      <c r="G608" t="s">
        <v>258</v>
      </c>
      <c r="H608" t="s">
        <v>241</v>
      </c>
      <c r="I608" t="s">
        <v>309</v>
      </c>
      <c r="J608" t="s">
        <v>304</v>
      </c>
      <c r="K608" t="s">
        <v>714</v>
      </c>
      <c r="L608" t="s">
        <v>268</v>
      </c>
      <c r="M608" t="s">
        <v>246</v>
      </c>
      <c r="N608" t="s">
        <v>247</v>
      </c>
      <c r="O608">
        <v>42182</v>
      </c>
      <c r="P608">
        <v>42.11</v>
      </c>
      <c r="Q608">
        <v>80.98</v>
      </c>
      <c r="R608">
        <f t="shared" si="55"/>
        <v>38.870000000000005</v>
      </c>
      <c r="S608">
        <v>34</v>
      </c>
      <c r="T608">
        <f t="shared" si="56"/>
        <v>2753.32</v>
      </c>
      <c r="U608">
        <v>0.02</v>
      </c>
      <c r="V608">
        <f t="shared" si="57"/>
        <v>55.066400000000002</v>
      </c>
      <c r="W608">
        <f t="shared" si="58"/>
        <v>2698.2536</v>
      </c>
      <c r="X608">
        <v>7.18</v>
      </c>
      <c r="Y608">
        <f t="shared" si="59"/>
        <v>2705.4335999999998</v>
      </c>
    </row>
    <row r="609" spans="1:25" x14ac:dyDescent="0.25">
      <c r="A609" t="s">
        <v>1568</v>
      </c>
      <c r="B609">
        <v>42180</v>
      </c>
      <c r="C609" t="str">
        <f t="shared" si="54"/>
        <v>2015</v>
      </c>
      <c r="D609" t="s">
        <v>1569</v>
      </c>
      <c r="E609" t="s">
        <v>564</v>
      </c>
      <c r="F609" t="s">
        <v>257</v>
      </c>
      <c r="G609" t="s">
        <v>258</v>
      </c>
      <c r="H609" t="s">
        <v>274</v>
      </c>
      <c r="I609" t="s">
        <v>333</v>
      </c>
      <c r="J609" t="s">
        <v>243</v>
      </c>
      <c r="K609" t="s">
        <v>453</v>
      </c>
      <c r="L609" t="s">
        <v>245</v>
      </c>
      <c r="M609" t="s">
        <v>246</v>
      </c>
      <c r="N609" t="s">
        <v>263</v>
      </c>
      <c r="O609">
        <v>42181</v>
      </c>
      <c r="P609">
        <v>1.18</v>
      </c>
      <c r="Q609">
        <v>1.88</v>
      </c>
      <c r="R609">
        <f t="shared" si="55"/>
        <v>0.7</v>
      </c>
      <c r="S609">
        <v>5</v>
      </c>
      <c r="T609">
        <f t="shared" si="56"/>
        <v>9.3999999999999986</v>
      </c>
      <c r="U609">
        <v>0.08</v>
      </c>
      <c r="V609">
        <f t="shared" si="57"/>
        <v>0.75199999999999989</v>
      </c>
      <c r="W609">
        <f t="shared" si="58"/>
        <v>8.6479999999999979</v>
      </c>
      <c r="X609">
        <v>1.49</v>
      </c>
      <c r="Y609">
        <f t="shared" si="59"/>
        <v>10.137999999999998</v>
      </c>
    </row>
    <row r="610" spans="1:25" x14ac:dyDescent="0.25">
      <c r="A610" t="s">
        <v>1570</v>
      </c>
      <c r="B610">
        <v>42182</v>
      </c>
      <c r="C610" t="str">
        <f t="shared" si="54"/>
        <v>2015</v>
      </c>
      <c r="D610" t="s">
        <v>1571</v>
      </c>
      <c r="E610" t="s">
        <v>528</v>
      </c>
      <c r="F610" t="s">
        <v>239</v>
      </c>
      <c r="G610" t="s">
        <v>240</v>
      </c>
      <c r="H610" t="s">
        <v>259</v>
      </c>
      <c r="I610" t="s">
        <v>251</v>
      </c>
      <c r="J610" t="s">
        <v>304</v>
      </c>
      <c r="K610" t="s">
        <v>603</v>
      </c>
      <c r="L610" t="s">
        <v>245</v>
      </c>
      <c r="M610" t="s">
        <v>246</v>
      </c>
      <c r="N610" t="s">
        <v>247</v>
      </c>
      <c r="O610">
        <v>42184</v>
      </c>
      <c r="P610">
        <v>3.65</v>
      </c>
      <c r="Q610">
        <v>5.98</v>
      </c>
      <c r="R610">
        <f t="shared" si="55"/>
        <v>2.3300000000000005</v>
      </c>
      <c r="S610">
        <v>50</v>
      </c>
      <c r="T610">
        <f t="shared" si="56"/>
        <v>299</v>
      </c>
      <c r="U610">
        <v>0.02</v>
      </c>
      <c r="V610">
        <f t="shared" si="57"/>
        <v>5.98</v>
      </c>
      <c r="W610">
        <f t="shared" si="58"/>
        <v>293.02</v>
      </c>
      <c r="X610">
        <v>1.49</v>
      </c>
      <c r="Y610">
        <f t="shared" si="59"/>
        <v>294.51</v>
      </c>
    </row>
    <row r="611" spans="1:25" x14ac:dyDescent="0.25">
      <c r="A611" t="s">
        <v>1572</v>
      </c>
      <c r="B611">
        <v>42182</v>
      </c>
      <c r="C611" t="str">
        <f t="shared" si="54"/>
        <v>2015</v>
      </c>
      <c r="D611" t="s">
        <v>1573</v>
      </c>
      <c r="E611" t="s">
        <v>320</v>
      </c>
      <c r="F611" t="s">
        <v>239</v>
      </c>
      <c r="G611" t="s">
        <v>240</v>
      </c>
      <c r="H611" t="s">
        <v>259</v>
      </c>
      <c r="I611" t="s">
        <v>251</v>
      </c>
      <c r="J611" t="s">
        <v>243</v>
      </c>
      <c r="K611" t="s">
        <v>630</v>
      </c>
      <c r="L611" t="s">
        <v>245</v>
      </c>
      <c r="M611" t="s">
        <v>253</v>
      </c>
      <c r="N611" t="s">
        <v>247</v>
      </c>
      <c r="O611">
        <v>42182</v>
      </c>
      <c r="P611">
        <v>1.53</v>
      </c>
      <c r="Q611">
        <v>2.78</v>
      </c>
      <c r="R611">
        <f t="shared" si="55"/>
        <v>1.2499999999999998</v>
      </c>
      <c r="S611">
        <v>44</v>
      </c>
      <c r="T611">
        <f t="shared" si="56"/>
        <v>122.32</v>
      </c>
      <c r="U611">
        <v>7.0000000000000007E-2</v>
      </c>
      <c r="V611">
        <f t="shared" si="57"/>
        <v>8.5624000000000002</v>
      </c>
      <c r="W611">
        <f t="shared" si="58"/>
        <v>113.7576</v>
      </c>
      <c r="X611">
        <v>1.34</v>
      </c>
      <c r="Y611">
        <f t="shared" si="59"/>
        <v>115.0976</v>
      </c>
    </row>
    <row r="612" spans="1:25" x14ac:dyDescent="0.25">
      <c r="A612" t="s">
        <v>1574</v>
      </c>
      <c r="B612">
        <v>42182</v>
      </c>
      <c r="C612" t="str">
        <f t="shared" si="54"/>
        <v>2015</v>
      </c>
      <c r="D612" t="s">
        <v>1547</v>
      </c>
      <c r="E612" t="s">
        <v>709</v>
      </c>
      <c r="F612" t="s">
        <v>257</v>
      </c>
      <c r="G612" t="s">
        <v>258</v>
      </c>
      <c r="H612" t="s">
        <v>259</v>
      </c>
      <c r="I612" t="s">
        <v>275</v>
      </c>
      <c r="J612" t="s">
        <v>294</v>
      </c>
      <c r="K612" t="s">
        <v>661</v>
      </c>
      <c r="L612" t="s">
        <v>245</v>
      </c>
      <c r="M612" t="s">
        <v>246</v>
      </c>
      <c r="N612" t="s">
        <v>247</v>
      </c>
      <c r="O612">
        <v>42184</v>
      </c>
      <c r="P612">
        <v>2.1800000000000002</v>
      </c>
      <c r="Q612">
        <v>3.52</v>
      </c>
      <c r="R612">
        <f t="shared" si="55"/>
        <v>1.3399999999999999</v>
      </c>
      <c r="S612">
        <v>1</v>
      </c>
      <c r="T612">
        <f t="shared" si="56"/>
        <v>3.52</v>
      </c>
      <c r="U612">
        <v>0.04</v>
      </c>
      <c r="V612">
        <f t="shared" si="57"/>
        <v>0.14080000000000001</v>
      </c>
      <c r="W612">
        <f t="shared" si="58"/>
        <v>3.3792</v>
      </c>
      <c r="X612">
        <v>6.83</v>
      </c>
      <c r="Y612">
        <f t="shared" si="59"/>
        <v>10.209199999999999</v>
      </c>
    </row>
    <row r="613" spans="1:25" x14ac:dyDescent="0.25">
      <c r="A613" t="s">
        <v>1575</v>
      </c>
      <c r="B613">
        <v>42183</v>
      </c>
      <c r="C613" t="str">
        <f t="shared" si="54"/>
        <v>2015</v>
      </c>
      <c r="D613" t="s">
        <v>869</v>
      </c>
      <c r="E613" t="s">
        <v>393</v>
      </c>
      <c r="F613" t="s">
        <v>257</v>
      </c>
      <c r="G613" t="s">
        <v>258</v>
      </c>
      <c r="H613" t="s">
        <v>293</v>
      </c>
      <c r="I613" t="s">
        <v>342</v>
      </c>
      <c r="J613" t="s">
        <v>304</v>
      </c>
      <c r="K613" t="s">
        <v>688</v>
      </c>
      <c r="L613" t="s">
        <v>245</v>
      </c>
      <c r="M613" t="s">
        <v>246</v>
      </c>
      <c r="N613" t="s">
        <v>263</v>
      </c>
      <c r="O613">
        <v>42185</v>
      </c>
      <c r="P613">
        <v>2.4500000000000002</v>
      </c>
      <c r="Q613">
        <v>3.89</v>
      </c>
      <c r="R613">
        <f t="shared" si="55"/>
        <v>1.44</v>
      </c>
      <c r="S613">
        <v>32</v>
      </c>
      <c r="T613">
        <f t="shared" si="56"/>
        <v>124.48</v>
      </c>
      <c r="U613">
        <v>0.1</v>
      </c>
      <c r="V613">
        <f t="shared" si="57"/>
        <v>12.448</v>
      </c>
      <c r="W613">
        <f t="shared" si="58"/>
        <v>112.03200000000001</v>
      </c>
      <c r="X613">
        <v>7.01</v>
      </c>
      <c r="Y613">
        <f t="shared" si="59"/>
        <v>119.04200000000002</v>
      </c>
    </row>
    <row r="614" spans="1:25" x14ac:dyDescent="0.25">
      <c r="A614" t="s">
        <v>1576</v>
      </c>
      <c r="B614">
        <v>42183</v>
      </c>
      <c r="C614" t="str">
        <f t="shared" si="54"/>
        <v>2015</v>
      </c>
      <c r="D614" t="s">
        <v>1577</v>
      </c>
      <c r="E614" t="s">
        <v>346</v>
      </c>
      <c r="F614" t="s">
        <v>257</v>
      </c>
      <c r="G614" t="s">
        <v>258</v>
      </c>
      <c r="H614" t="s">
        <v>259</v>
      </c>
      <c r="I614" t="s">
        <v>309</v>
      </c>
      <c r="J614" t="s">
        <v>294</v>
      </c>
      <c r="K614" t="s">
        <v>598</v>
      </c>
      <c r="L614" t="s">
        <v>268</v>
      </c>
      <c r="M614" t="s">
        <v>246</v>
      </c>
      <c r="N614" t="s">
        <v>247</v>
      </c>
      <c r="O614">
        <v>42184</v>
      </c>
      <c r="P614">
        <v>6.51</v>
      </c>
      <c r="Q614">
        <v>30.98</v>
      </c>
      <c r="R614">
        <f t="shared" si="55"/>
        <v>24.47</v>
      </c>
      <c r="S614">
        <v>6</v>
      </c>
      <c r="T614">
        <f t="shared" si="56"/>
        <v>185.88</v>
      </c>
      <c r="U614">
        <v>0.01</v>
      </c>
      <c r="V614">
        <f t="shared" si="57"/>
        <v>1.8588</v>
      </c>
      <c r="W614">
        <f t="shared" si="58"/>
        <v>184.02119999999999</v>
      </c>
      <c r="X614">
        <v>6.5</v>
      </c>
      <c r="Y614">
        <f t="shared" si="59"/>
        <v>190.52119999999999</v>
      </c>
    </row>
    <row r="615" spans="1:25" x14ac:dyDescent="0.25">
      <c r="A615" t="s">
        <v>1578</v>
      </c>
      <c r="B615">
        <v>42184</v>
      </c>
      <c r="C615" t="str">
        <f t="shared" si="54"/>
        <v>2015</v>
      </c>
      <c r="D615" t="s">
        <v>1579</v>
      </c>
      <c r="E615" t="s">
        <v>1479</v>
      </c>
      <c r="F615" t="s">
        <v>257</v>
      </c>
      <c r="G615" t="s">
        <v>258</v>
      </c>
      <c r="H615" t="s">
        <v>241</v>
      </c>
      <c r="I615" t="s">
        <v>309</v>
      </c>
      <c r="J615" t="s">
        <v>279</v>
      </c>
      <c r="K615" t="s">
        <v>1119</v>
      </c>
      <c r="L615" t="s">
        <v>245</v>
      </c>
      <c r="M615" t="s">
        <v>246</v>
      </c>
      <c r="N615" t="s">
        <v>247</v>
      </c>
      <c r="O615">
        <v>42188</v>
      </c>
      <c r="P615">
        <v>1.84</v>
      </c>
      <c r="Q615">
        <v>2.88</v>
      </c>
      <c r="R615">
        <f t="shared" si="55"/>
        <v>1.0399999999999998</v>
      </c>
      <c r="S615">
        <v>49</v>
      </c>
      <c r="T615">
        <f t="shared" si="56"/>
        <v>141.12</v>
      </c>
      <c r="U615">
        <v>0.01</v>
      </c>
      <c r="V615">
        <f t="shared" si="57"/>
        <v>1.4112</v>
      </c>
      <c r="W615">
        <f t="shared" si="58"/>
        <v>139.7088</v>
      </c>
      <c r="X615">
        <v>0.99</v>
      </c>
      <c r="Y615">
        <f t="shared" si="59"/>
        <v>140.69880000000001</v>
      </c>
    </row>
    <row r="616" spans="1:25" x14ac:dyDescent="0.25">
      <c r="A616" t="s">
        <v>1580</v>
      </c>
      <c r="B616">
        <v>42187</v>
      </c>
      <c r="C616" t="str">
        <f t="shared" si="54"/>
        <v>2015</v>
      </c>
      <c r="D616" t="s">
        <v>1581</v>
      </c>
      <c r="E616" t="s">
        <v>393</v>
      </c>
      <c r="F616" t="s">
        <v>257</v>
      </c>
      <c r="G616" t="s">
        <v>258</v>
      </c>
      <c r="H616" t="s">
        <v>241</v>
      </c>
      <c r="I616" t="s">
        <v>342</v>
      </c>
      <c r="J616" t="s">
        <v>261</v>
      </c>
      <c r="K616" t="s">
        <v>537</v>
      </c>
      <c r="L616" t="s">
        <v>245</v>
      </c>
      <c r="M616" t="s">
        <v>253</v>
      </c>
      <c r="N616" t="s">
        <v>247</v>
      </c>
      <c r="O616">
        <v>42189</v>
      </c>
      <c r="P616">
        <v>11.11</v>
      </c>
      <c r="Q616">
        <v>19.84</v>
      </c>
      <c r="R616">
        <f t="shared" si="55"/>
        <v>8.73</v>
      </c>
      <c r="S616">
        <v>1</v>
      </c>
      <c r="T616">
        <f t="shared" si="56"/>
        <v>19.84</v>
      </c>
      <c r="U616">
        <v>0.05</v>
      </c>
      <c r="V616">
        <f t="shared" si="57"/>
        <v>0.99199999999999999</v>
      </c>
      <c r="W616">
        <f t="shared" si="58"/>
        <v>18.847999999999999</v>
      </c>
      <c r="X616">
        <v>4.0999999999999996</v>
      </c>
      <c r="Y616">
        <f t="shared" si="59"/>
        <v>22.948</v>
      </c>
    </row>
    <row r="617" spans="1:25" x14ac:dyDescent="0.25">
      <c r="A617" t="s">
        <v>1582</v>
      </c>
      <c r="B617">
        <v>42189</v>
      </c>
      <c r="C617" t="str">
        <f t="shared" si="54"/>
        <v>2015</v>
      </c>
      <c r="D617" t="s">
        <v>1583</v>
      </c>
      <c r="E617" t="s">
        <v>1584</v>
      </c>
      <c r="F617" t="s">
        <v>257</v>
      </c>
      <c r="G617" t="s">
        <v>258</v>
      </c>
      <c r="H617" t="s">
        <v>259</v>
      </c>
      <c r="I617" t="s">
        <v>333</v>
      </c>
      <c r="J617" t="s">
        <v>294</v>
      </c>
      <c r="K617" t="s">
        <v>836</v>
      </c>
      <c r="L617" t="s">
        <v>440</v>
      </c>
      <c r="M617" t="s">
        <v>323</v>
      </c>
      <c r="N617" t="s">
        <v>247</v>
      </c>
      <c r="O617">
        <v>42189</v>
      </c>
      <c r="P617">
        <v>11.38</v>
      </c>
      <c r="Q617">
        <v>18.649999999999999</v>
      </c>
      <c r="R617">
        <f t="shared" si="55"/>
        <v>7.2699999999999978</v>
      </c>
      <c r="S617">
        <v>44</v>
      </c>
      <c r="T617">
        <f t="shared" si="56"/>
        <v>820.59999999999991</v>
      </c>
      <c r="U617">
        <v>0.03</v>
      </c>
      <c r="V617">
        <f t="shared" si="57"/>
        <v>24.617999999999995</v>
      </c>
      <c r="W617">
        <f t="shared" si="58"/>
        <v>795.98199999999997</v>
      </c>
      <c r="X617">
        <v>3.77</v>
      </c>
      <c r="Y617">
        <f t="shared" si="59"/>
        <v>799.75199999999995</v>
      </c>
    </row>
    <row r="618" spans="1:25" x14ac:dyDescent="0.25">
      <c r="A618" t="s">
        <v>1585</v>
      </c>
      <c r="B618">
        <v>42189</v>
      </c>
      <c r="C618" t="str">
        <f t="shared" si="54"/>
        <v>2015</v>
      </c>
      <c r="D618" t="s">
        <v>1538</v>
      </c>
      <c r="E618" t="s">
        <v>1539</v>
      </c>
      <c r="F618" t="s">
        <v>239</v>
      </c>
      <c r="G618" t="s">
        <v>240</v>
      </c>
      <c r="H618" t="s">
        <v>259</v>
      </c>
      <c r="I618" t="s">
        <v>242</v>
      </c>
      <c r="J618" t="s">
        <v>243</v>
      </c>
      <c r="K618" t="s">
        <v>570</v>
      </c>
      <c r="L618" t="s">
        <v>245</v>
      </c>
      <c r="M618" t="s">
        <v>246</v>
      </c>
      <c r="N618" t="s">
        <v>247</v>
      </c>
      <c r="O618">
        <v>42190</v>
      </c>
      <c r="P618">
        <v>2.74</v>
      </c>
      <c r="Q618">
        <v>4.49</v>
      </c>
      <c r="R618">
        <f t="shared" si="55"/>
        <v>1.75</v>
      </c>
      <c r="S618">
        <v>15</v>
      </c>
      <c r="T618">
        <f t="shared" si="56"/>
        <v>67.350000000000009</v>
      </c>
      <c r="U618">
        <v>0.05</v>
      </c>
      <c r="V618">
        <f t="shared" si="57"/>
        <v>3.3675000000000006</v>
      </c>
      <c r="W618">
        <f t="shared" si="58"/>
        <v>63.982500000000009</v>
      </c>
      <c r="X618">
        <v>1.49</v>
      </c>
      <c r="Y618">
        <f t="shared" si="59"/>
        <v>65.472500000000011</v>
      </c>
    </row>
    <row r="619" spans="1:25" x14ac:dyDescent="0.25">
      <c r="A619" t="s">
        <v>1586</v>
      </c>
      <c r="B619">
        <v>42190</v>
      </c>
      <c r="C619" t="str">
        <f t="shared" si="54"/>
        <v>2015</v>
      </c>
      <c r="D619" t="s">
        <v>848</v>
      </c>
      <c r="E619" t="s">
        <v>402</v>
      </c>
      <c r="F619" t="s">
        <v>257</v>
      </c>
      <c r="G619" t="s">
        <v>258</v>
      </c>
      <c r="H619" t="s">
        <v>241</v>
      </c>
      <c r="I619" t="s">
        <v>333</v>
      </c>
      <c r="J619" t="s">
        <v>261</v>
      </c>
      <c r="K619" t="s">
        <v>413</v>
      </c>
      <c r="L619" t="s">
        <v>268</v>
      </c>
      <c r="M619" t="s">
        <v>414</v>
      </c>
      <c r="N619" t="s">
        <v>247</v>
      </c>
      <c r="O619">
        <v>42192</v>
      </c>
      <c r="P619">
        <v>8.82</v>
      </c>
      <c r="Q619">
        <v>20.99</v>
      </c>
      <c r="R619">
        <f t="shared" si="55"/>
        <v>12.169999999999998</v>
      </c>
      <c r="S619">
        <v>49</v>
      </c>
      <c r="T619">
        <f t="shared" si="56"/>
        <v>1028.51</v>
      </c>
      <c r="U619">
        <v>0.06</v>
      </c>
      <c r="V619">
        <f t="shared" si="57"/>
        <v>61.710599999999999</v>
      </c>
      <c r="W619">
        <f t="shared" si="58"/>
        <v>966.79939999999999</v>
      </c>
      <c r="X619">
        <v>4.8099999999999996</v>
      </c>
      <c r="Y619">
        <f t="shared" si="59"/>
        <v>971.60939999999994</v>
      </c>
    </row>
    <row r="620" spans="1:25" x14ac:dyDescent="0.25">
      <c r="A620" t="s">
        <v>1587</v>
      </c>
      <c r="B620">
        <v>42194</v>
      </c>
      <c r="C620" t="str">
        <f t="shared" si="54"/>
        <v>2015</v>
      </c>
      <c r="D620" t="s">
        <v>1444</v>
      </c>
      <c r="E620" t="s">
        <v>328</v>
      </c>
      <c r="F620" t="s">
        <v>257</v>
      </c>
      <c r="G620" t="s">
        <v>258</v>
      </c>
      <c r="H620" t="s">
        <v>241</v>
      </c>
      <c r="I620" t="s">
        <v>299</v>
      </c>
      <c r="J620" t="s">
        <v>294</v>
      </c>
      <c r="K620" t="s">
        <v>668</v>
      </c>
      <c r="L620" t="s">
        <v>440</v>
      </c>
      <c r="M620" t="s">
        <v>647</v>
      </c>
      <c r="N620" t="s">
        <v>247</v>
      </c>
      <c r="O620">
        <v>42195</v>
      </c>
      <c r="P620">
        <v>56.16</v>
      </c>
      <c r="Q620">
        <v>136.97999999999999</v>
      </c>
      <c r="R620">
        <f t="shared" si="55"/>
        <v>80.819999999999993</v>
      </c>
      <c r="S620">
        <v>7</v>
      </c>
      <c r="T620">
        <f t="shared" si="56"/>
        <v>958.8599999999999</v>
      </c>
      <c r="U620">
        <v>0.02</v>
      </c>
      <c r="V620">
        <f t="shared" si="57"/>
        <v>19.177199999999999</v>
      </c>
      <c r="W620">
        <f t="shared" si="58"/>
        <v>939.68279999999993</v>
      </c>
      <c r="X620">
        <v>24.49</v>
      </c>
      <c r="Y620">
        <f t="shared" si="59"/>
        <v>964.17279999999994</v>
      </c>
    </row>
    <row r="621" spans="1:25" x14ac:dyDescent="0.25">
      <c r="A621" t="s">
        <v>1588</v>
      </c>
      <c r="B621">
        <v>42196</v>
      </c>
      <c r="C621" t="str">
        <f t="shared" si="54"/>
        <v>2015</v>
      </c>
      <c r="D621" t="s">
        <v>1337</v>
      </c>
      <c r="E621" t="s">
        <v>1338</v>
      </c>
      <c r="F621" t="s">
        <v>257</v>
      </c>
      <c r="G621" t="s">
        <v>258</v>
      </c>
      <c r="H621" t="s">
        <v>293</v>
      </c>
      <c r="I621" t="s">
        <v>372</v>
      </c>
      <c r="J621" t="s">
        <v>304</v>
      </c>
      <c r="K621" t="s">
        <v>1293</v>
      </c>
      <c r="L621" t="s">
        <v>245</v>
      </c>
      <c r="M621" t="s">
        <v>253</v>
      </c>
      <c r="N621" t="s">
        <v>247</v>
      </c>
      <c r="O621">
        <v>42198</v>
      </c>
      <c r="P621">
        <v>0.94</v>
      </c>
      <c r="Q621">
        <v>1.88</v>
      </c>
      <c r="R621">
        <f t="shared" si="55"/>
        <v>0.94</v>
      </c>
      <c r="S621">
        <v>22</v>
      </c>
      <c r="T621">
        <f t="shared" si="56"/>
        <v>41.36</v>
      </c>
      <c r="U621">
        <v>7.0000000000000007E-2</v>
      </c>
      <c r="V621">
        <f t="shared" si="57"/>
        <v>2.8952000000000004</v>
      </c>
      <c r="W621">
        <f t="shared" si="58"/>
        <v>38.464799999999997</v>
      </c>
      <c r="X621">
        <v>0.79</v>
      </c>
      <c r="Y621">
        <f t="shared" si="59"/>
        <v>39.254799999999996</v>
      </c>
    </row>
    <row r="622" spans="1:25" x14ac:dyDescent="0.25">
      <c r="A622" t="s">
        <v>1589</v>
      </c>
      <c r="B622">
        <v>42197</v>
      </c>
      <c r="C622" t="str">
        <f t="shared" si="54"/>
        <v>2015</v>
      </c>
      <c r="D622" t="s">
        <v>1590</v>
      </c>
      <c r="E622" t="s">
        <v>912</v>
      </c>
      <c r="F622" t="s">
        <v>257</v>
      </c>
      <c r="G622" t="s">
        <v>258</v>
      </c>
      <c r="H622" t="s">
        <v>241</v>
      </c>
      <c r="I622" t="s">
        <v>372</v>
      </c>
      <c r="J622" t="s">
        <v>279</v>
      </c>
      <c r="K622" t="s">
        <v>779</v>
      </c>
      <c r="L622" t="s">
        <v>245</v>
      </c>
      <c r="M622" t="s">
        <v>246</v>
      </c>
      <c r="N622" t="s">
        <v>247</v>
      </c>
      <c r="O622">
        <v>42199</v>
      </c>
      <c r="P622">
        <v>11.04</v>
      </c>
      <c r="Q622">
        <v>16.98</v>
      </c>
      <c r="R622">
        <f t="shared" si="55"/>
        <v>5.9400000000000013</v>
      </c>
      <c r="S622">
        <v>1</v>
      </c>
      <c r="T622">
        <f t="shared" si="56"/>
        <v>16.98</v>
      </c>
      <c r="U622">
        <v>0.03</v>
      </c>
      <c r="V622">
        <f t="shared" si="57"/>
        <v>0.50939999999999996</v>
      </c>
      <c r="W622">
        <f t="shared" si="58"/>
        <v>16.470600000000001</v>
      </c>
      <c r="X622">
        <v>12.39</v>
      </c>
      <c r="Y622">
        <f t="shared" si="59"/>
        <v>28.860600000000002</v>
      </c>
    </row>
    <row r="623" spans="1:25" x14ac:dyDescent="0.25">
      <c r="A623" t="s">
        <v>1591</v>
      </c>
      <c r="B623">
        <v>42199</v>
      </c>
      <c r="C623" t="str">
        <f t="shared" si="54"/>
        <v>2015</v>
      </c>
      <c r="D623" t="s">
        <v>481</v>
      </c>
      <c r="E623" t="s">
        <v>332</v>
      </c>
      <c r="F623" t="s">
        <v>257</v>
      </c>
      <c r="G623" t="s">
        <v>258</v>
      </c>
      <c r="H623" t="s">
        <v>293</v>
      </c>
      <c r="I623" t="s">
        <v>333</v>
      </c>
      <c r="J623" t="s">
        <v>279</v>
      </c>
      <c r="K623" t="s">
        <v>485</v>
      </c>
      <c r="L623" t="s">
        <v>245</v>
      </c>
      <c r="M623" t="s">
        <v>253</v>
      </c>
      <c r="N623" t="s">
        <v>263</v>
      </c>
      <c r="O623">
        <v>42204</v>
      </c>
      <c r="P623">
        <v>3.48</v>
      </c>
      <c r="Q623">
        <v>5.43</v>
      </c>
      <c r="R623">
        <f t="shared" si="55"/>
        <v>1.9499999999999997</v>
      </c>
      <c r="S623">
        <v>48</v>
      </c>
      <c r="T623">
        <f t="shared" si="56"/>
        <v>260.64</v>
      </c>
      <c r="U623">
        <v>0.05</v>
      </c>
      <c r="V623">
        <f t="shared" si="57"/>
        <v>13.032</v>
      </c>
      <c r="W623">
        <f t="shared" si="58"/>
        <v>247.60799999999998</v>
      </c>
      <c r="X623">
        <v>0.95</v>
      </c>
      <c r="Y623">
        <f t="shared" si="59"/>
        <v>248.55799999999996</v>
      </c>
    </row>
    <row r="624" spans="1:25" x14ac:dyDescent="0.25">
      <c r="A624" t="s">
        <v>1592</v>
      </c>
      <c r="B624">
        <v>42200</v>
      </c>
      <c r="C624" t="str">
        <f t="shared" si="54"/>
        <v>2015</v>
      </c>
      <c r="D624" t="s">
        <v>1593</v>
      </c>
      <c r="E624" t="s">
        <v>371</v>
      </c>
      <c r="F624" t="s">
        <v>257</v>
      </c>
      <c r="G624" t="s">
        <v>258</v>
      </c>
      <c r="H624" t="s">
        <v>274</v>
      </c>
      <c r="I624" t="s">
        <v>284</v>
      </c>
      <c r="J624" t="s">
        <v>279</v>
      </c>
      <c r="K624" t="s">
        <v>803</v>
      </c>
      <c r="L624" t="s">
        <v>245</v>
      </c>
      <c r="M624" t="s">
        <v>253</v>
      </c>
      <c r="N624" t="s">
        <v>247</v>
      </c>
      <c r="O624">
        <v>42204</v>
      </c>
      <c r="P624">
        <v>5.22</v>
      </c>
      <c r="Q624">
        <v>9.85</v>
      </c>
      <c r="R624">
        <f t="shared" si="55"/>
        <v>4.63</v>
      </c>
      <c r="S624">
        <v>21</v>
      </c>
      <c r="T624">
        <f t="shared" si="56"/>
        <v>206.85</v>
      </c>
      <c r="U624">
        <v>0.1</v>
      </c>
      <c r="V624">
        <f t="shared" si="57"/>
        <v>20.685000000000002</v>
      </c>
      <c r="W624">
        <f t="shared" si="58"/>
        <v>186.16499999999999</v>
      </c>
      <c r="X624">
        <v>4.82</v>
      </c>
      <c r="Y624">
        <f t="shared" si="59"/>
        <v>190.98499999999999</v>
      </c>
    </row>
    <row r="625" spans="1:25" x14ac:dyDescent="0.25">
      <c r="A625" t="s">
        <v>1594</v>
      </c>
      <c r="B625">
        <v>42201</v>
      </c>
      <c r="C625" t="str">
        <f t="shared" si="54"/>
        <v>2015</v>
      </c>
      <c r="D625" t="s">
        <v>1023</v>
      </c>
      <c r="E625" t="s">
        <v>356</v>
      </c>
      <c r="F625" t="s">
        <v>239</v>
      </c>
      <c r="G625" t="s">
        <v>240</v>
      </c>
      <c r="H625" t="s">
        <v>259</v>
      </c>
      <c r="I625" t="s">
        <v>251</v>
      </c>
      <c r="J625" t="s">
        <v>279</v>
      </c>
      <c r="K625" t="s">
        <v>1151</v>
      </c>
      <c r="L625" t="s">
        <v>245</v>
      </c>
      <c r="M625" t="s">
        <v>253</v>
      </c>
      <c r="N625" t="s">
        <v>247</v>
      </c>
      <c r="O625">
        <v>42205</v>
      </c>
      <c r="P625">
        <v>0.92</v>
      </c>
      <c r="Q625">
        <v>1.81</v>
      </c>
      <c r="R625">
        <f t="shared" si="55"/>
        <v>0.89</v>
      </c>
      <c r="S625">
        <v>48</v>
      </c>
      <c r="T625">
        <f t="shared" si="56"/>
        <v>86.88</v>
      </c>
      <c r="U625">
        <v>0.02</v>
      </c>
      <c r="V625">
        <f t="shared" si="57"/>
        <v>1.7376</v>
      </c>
      <c r="W625">
        <f t="shared" si="58"/>
        <v>85.142399999999995</v>
      </c>
      <c r="X625">
        <v>1.56</v>
      </c>
      <c r="Y625">
        <f t="shared" si="59"/>
        <v>86.702399999999997</v>
      </c>
    </row>
    <row r="626" spans="1:25" x14ac:dyDescent="0.25">
      <c r="A626" t="s">
        <v>1595</v>
      </c>
      <c r="B626">
        <v>42202</v>
      </c>
      <c r="C626" t="str">
        <f t="shared" si="54"/>
        <v>2015</v>
      </c>
      <c r="D626" t="s">
        <v>1596</v>
      </c>
      <c r="E626" t="s">
        <v>1459</v>
      </c>
      <c r="F626" t="s">
        <v>257</v>
      </c>
      <c r="G626" t="s">
        <v>258</v>
      </c>
      <c r="H626" t="s">
        <v>293</v>
      </c>
      <c r="I626" t="s">
        <v>309</v>
      </c>
      <c r="J626" t="s">
        <v>243</v>
      </c>
      <c r="K626" t="s">
        <v>262</v>
      </c>
      <c r="L626" t="s">
        <v>245</v>
      </c>
      <c r="M626" t="s">
        <v>253</v>
      </c>
      <c r="N626" t="s">
        <v>247</v>
      </c>
      <c r="O626">
        <v>42202</v>
      </c>
      <c r="P626">
        <v>2.41</v>
      </c>
      <c r="Q626">
        <v>3.71</v>
      </c>
      <c r="R626">
        <f t="shared" si="55"/>
        <v>1.2999999999999998</v>
      </c>
      <c r="S626">
        <v>13</v>
      </c>
      <c r="T626">
        <f t="shared" si="56"/>
        <v>48.23</v>
      </c>
      <c r="U626">
        <v>0.06</v>
      </c>
      <c r="V626">
        <f t="shared" si="57"/>
        <v>2.8937999999999997</v>
      </c>
      <c r="W626">
        <f t="shared" si="58"/>
        <v>45.336199999999998</v>
      </c>
      <c r="X626">
        <v>1.93</v>
      </c>
      <c r="Y626">
        <f t="shared" si="59"/>
        <v>47.266199999999998</v>
      </c>
    </row>
    <row r="627" spans="1:25" x14ac:dyDescent="0.25">
      <c r="A627" t="s">
        <v>1597</v>
      </c>
      <c r="B627">
        <v>42203</v>
      </c>
      <c r="C627" t="str">
        <f t="shared" si="54"/>
        <v>2015</v>
      </c>
      <c r="D627" t="s">
        <v>738</v>
      </c>
      <c r="E627" t="s">
        <v>739</v>
      </c>
      <c r="F627" t="s">
        <v>257</v>
      </c>
      <c r="G627" t="s">
        <v>258</v>
      </c>
      <c r="H627" t="s">
        <v>259</v>
      </c>
      <c r="I627" t="s">
        <v>299</v>
      </c>
      <c r="J627" t="s">
        <v>243</v>
      </c>
      <c r="K627" t="s">
        <v>718</v>
      </c>
      <c r="L627" t="s">
        <v>245</v>
      </c>
      <c r="M627" t="s">
        <v>323</v>
      </c>
      <c r="N627" t="s">
        <v>247</v>
      </c>
      <c r="O627">
        <v>42205</v>
      </c>
      <c r="P627">
        <v>2.5</v>
      </c>
      <c r="Q627">
        <v>5.68</v>
      </c>
      <c r="R627">
        <f t="shared" si="55"/>
        <v>3.1799999999999997</v>
      </c>
      <c r="S627">
        <v>21</v>
      </c>
      <c r="T627">
        <f t="shared" si="56"/>
        <v>119.28</v>
      </c>
      <c r="U627">
        <v>7.0000000000000007E-2</v>
      </c>
      <c r="V627">
        <f t="shared" si="57"/>
        <v>8.3496000000000006</v>
      </c>
      <c r="W627">
        <f t="shared" si="58"/>
        <v>110.93040000000001</v>
      </c>
      <c r="X627">
        <v>3.6</v>
      </c>
      <c r="Y627">
        <f t="shared" si="59"/>
        <v>114.5304</v>
      </c>
    </row>
    <row r="628" spans="1:25" x14ac:dyDescent="0.25">
      <c r="A628" t="s">
        <v>1598</v>
      </c>
      <c r="B628">
        <v>42203</v>
      </c>
      <c r="C628" t="str">
        <f t="shared" si="54"/>
        <v>2015</v>
      </c>
      <c r="D628" t="s">
        <v>265</v>
      </c>
      <c r="E628" t="s">
        <v>266</v>
      </c>
      <c r="F628" t="s">
        <v>239</v>
      </c>
      <c r="G628" t="s">
        <v>240</v>
      </c>
      <c r="H628" t="s">
        <v>259</v>
      </c>
      <c r="I628" t="s">
        <v>242</v>
      </c>
      <c r="J628" t="s">
        <v>243</v>
      </c>
      <c r="K628" t="s">
        <v>634</v>
      </c>
      <c r="L628" t="s">
        <v>245</v>
      </c>
      <c r="M628" t="s">
        <v>246</v>
      </c>
      <c r="N628" t="s">
        <v>247</v>
      </c>
      <c r="O628">
        <v>42205</v>
      </c>
      <c r="P628">
        <v>2.2599999999999998</v>
      </c>
      <c r="Q628">
        <v>3.58</v>
      </c>
      <c r="R628">
        <f t="shared" si="55"/>
        <v>1.3200000000000003</v>
      </c>
      <c r="S628">
        <v>43</v>
      </c>
      <c r="T628">
        <f t="shared" si="56"/>
        <v>153.94</v>
      </c>
      <c r="U628">
        <v>0.08</v>
      </c>
      <c r="V628">
        <f t="shared" si="57"/>
        <v>12.315200000000001</v>
      </c>
      <c r="W628">
        <f t="shared" si="58"/>
        <v>141.62479999999999</v>
      </c>
      <c r="X628">
        <v>5.47</v>
      </c>
      <c r="Y628">
        <f t="shared" si="59"/>
        <v>147.09479999999999</v>
      </c>
    </row>
    <row r="629" spans="1:25" x14ac:dyDescent="0.25">
      <c r="A629" t="s">
        <v>1599</v>
      </c>
      <c r="B629">
        <v>42204</v>
      </c>
      <c r="C629" t="str">
        <f t="shared" si="54"/>
        <v>2015</v>
      </c>
      <c r="D629" t="s">
        <v>358</v>
      </c>
      <c r="E629" t="s">
        <v>359</v>
      </c>
      <c r="F629" t="s">
        <v>239</v>
      </c>
      <c r="G629" t="s">
        <v>240</v>
      </c>
      <c r="H629" t="s">
        <v>293</v>
      </c>
      <c r="I629" t="s">
        <v>251</v>
      </c>
      <c r="J629" t="s">
        <v>304</v>
      </c>
      <c r="K629" t="s">
        <v>653</v>
      </c>
      <c r="L629" t="s">
        <v>245</v>
      </c>
      <c r="M629" t="s">
        <v>246</v>
      </c>
      <c r="N629" t="s">
        <v>247</v>
      </c>
      <c r="O629">
        <v>42205</v>
      </c>
      <c r="P629">
        <v>3.5</v>
      </c>
      <c r="Q629">
        <v>5.74</v>
      </c>
      <c r="R629">
        <f t="shared" si="55"/>
        <v>2.2400000000000002</v>
      </c>
      <c r="S629">
        <v>41</v>
      </c>
      <c r="T629">
        <f t="shared" si="56"/>
        <v>235.34</v>
      </c>
      <c r="U629">
        <v>0.08</v>
      </c>
      <c r="V629">
        <f t="shared" si="57"/>
        <v>18.827200000000001</v>
      </c>
      <c r="W629">
        <f t="shared" si="58"/>
        <v>216.5128</v>
      </c>
      <c r="X629">
        <v>5.01</v>
      </c>
      <c r="Y629">
        <f t="shared" si="59"/>
        <v>221.52279999999999</v>
      </c>
    </row>
    <row r="630" spans="1:25" x14ac:dyDescent="0.25">
      <c r="A630" t="s">
        <v>1600</v>
      </c>
      <c r="B630">
        <v>42205</v>
      </c>
      <c r="C630" t="str">
        <f t="shared" si="54"/>
        <v>2015</v>
      </c>
      <c r="D630" t="s">
        <v>683</v>
      </c>
      <c r="E630" t="s">
        <v>341</v>
      </c>
      <c r="F630" t="s">
        <v>257</v>
      </c>
      <c r="G630" t="s">
        <v>258</v>
      </c>
      <c r="H630" t="s">
        <v>274</v>
      </c>
      <c r="I630" t="s">
        <v>342</v>
      </c>
      <c r="J630" t="s">
        <v>261</v>
      </c>
      <c r="K630" t="s">
        <v>879</v>
      </c>
      <c r="L630" t="s">
        <v>245</v>
      </c>
      <c r="M630" t="s">
        <v>323</v>
      </c>
      <c r="N630" t="s">
        <v>247</v>
      </c>
      <c r="O630">
        <v>42208</v>
      </c>
      <c r="P630">
        <v>4.0999999999999996</v>
      </c>
      <c r="Q630">
        <v>9.31</v>
      </c>
      <c r="R630">
        <f t="shared" si="55"/>
        <v>5.2100000000000009</v>
      </c>
      <c r="S630">
        <v>26</v>
      </c>
      <c r="T630">
        <f t="shared" si="56"/>
        <v>242.06</v>
      </c>
      <c r="U630">
        <v>0.06</v>
      </c>
      <c r="V630">
        <f t="shared" si="57"/>
        <v>14.5236</v>
      </c>
      <c r="W630">
        <f t="shared" si="58"/>
        <v>227.53640000000001</v>
      </c>
      <c r="X630">
        <v>3.98</v>
      </c>
      <c r="Y630">
        <f t="shared" si="59"/>
        <v>231.5164</v>
      </c>
    </row>
    <row r="631" spans="1:25" x14ac:dyDescent="0.25">
      <c r="A631" t="s">
        <v>1601</v>
      </c>
      <c r="B631">
        <v>42208</v>
      </c>
      <c r="C631" t="str">
        <f t="shared" si="54"/>
        <v>2015</v>
      </c>
      <c r="D631" t="s">
        <v>1602</v>
      </c>
      <c r="E631" t="s">
        <v>944</v>
      </c>
      <c r="F631" t="s">
        <v>257</v>
      </c>
      <c r="G631" t="s">
        <v>258</v>
      </c>
      <c r="H631" t="s">
        <v>241</v>
      </c>
      <c r="I631" t="s">
        <v>333</v>
      </c>
      <c r="J631" t="s">
        <v>279</v>
      </c>
      <c r="K631" t="s">
        <v>377</v>
      </c>
      <c r="L631" t="s">
        <v>268</v>
      </c>
      <c r="M631" t="s">
        <v>246</v>
      </c>
      <c r="N631" t="s">
        <v>247</v>
      </c>
      <c r="O631">
        <v>42215</v>
      </c>
      <c r="P631">
        <v>32.020000000000003</v>
      </c>
      <c r="Q631">
        <v>152.47999999999999</v>
      </c>
      <c r="R631">
        <f t="shared" si="55"/>
        <v>120.45999999999998</v>
      </c>
      <c r="S631">
        <v>14</v>
      </c>
      <c r="T631">
        <f t="shared" si="56"/>
        <v>2134.7199999999998</v>
      </c>
      <c r="U631">
        <v>0.03</v>
      </c>
      <c r="V631">
        <f t="shared" si="57"/>
        <v>64.041599999999988</v>
      </c>
      <c r="W631">
        <f t="shared" si="58"/>
        <v>2070.6783999999998</v>
      </c>
      <c r="X631">
        <v>4</v>
      </c>
      <c r="Y631">
        <f t="shared" si="59"/>
        <v>2074.6783999999998</v>
      </c>
    </row>
    <row r="632" spans="1:25" x14ac:dyDescent="0.25">
      <c r="A632" t="s">
        <v>1603</v>
      </c>
      <c r="B632">
        <v>42208</v>
      </c>
      <c r="C632" t="str">
        <f t="shared" si="54"/>
        <v>2015</v>
      </c>
      <c r="D632" t="s">
        <v>1604</v>
      </c>
      <c r="E632" t="s">
        <v>332</v>
      </c>
      <c r="F632" t="s">
        <v>257</v>
      </c>
      <c r="G632" t="s">
        <v>258</v>
      </c>
      <c r="H632" t="s">
        <v>259</v>
      </c>
      <c r="I632" t="s">
        <v>333</v>
      </c>
      <c r="J632" t="s">
        <v>294</v>
      </c>
      <c r="K632" t="s">
        <v>698</v>
      </c>
      <c r="L632" t="s">
        <v>245</v>
      </c>
      <c r="M632" t="s">
        <v>253</v>
      </c>
      <c r="N632" t="s">
        <v>263</v>
      </c>
      <c r="O632">
        <v>42209</v>
      </c>
      <c r="P632">
        <v>3.32</v>
      </c>
      <c r="Q632">
        <v>5.18</v>
      </c>
      <c r="R632">
        <f t="shared" si="55"/>
        <v>1.8599999999999999</v>
      </c>
      <c r="S632">
        <v>1</v>
      </c>
      <c r="T632">
        <f t="shared" si="56"/>
        <v>5.18</v>
      </c>
      <c r="U632">
        <v>0</v>
      </c>
      <c r="V632">
        <f t="shared" si="57"/>
        <v>0</v>
      </c>
      <c r="W632">
        <f t="shared" si="58"/>
        <v>5.18</v>
      </c>
      <c r="X632">
        <v>2.04</v>
      </c>
      <c r="Y632">
        <f t="shared" si="59"/>
        <v>7.22</v>
      </c>
    </row>
    <row r="633" spans="1:25" x14ac:dyDescent="0.25">
      <c r="A633" t="s">
        <v>1605</v>
      </c>
      <c r="B633">
        <v>42208</v>
      </c>
      <c r="C633" t="str">
        <f t="shared" si="54"/>
        <v>2015</v>
      </c>
      <c r="D633" t="s">
        <v>518</v>
      </c>
      <c r="E633" t="s">
        <v>359</v>
      </c>
      <c r="F633" t="s">
        <v>239</v>
      </c>
      <c r="G633" t="s">
        <v>240</v>
      </c>
      <c r="H633" t="s">
        <v>274</v>
      </c>
      <c r="I633" t="s">
        <v>251</v>
      </c>
      <c r="J633" t="s">
        <v>261</v>
      </c>
      <c r="K633" t="s">
        <v>453</v>
      </c>
      <c r="L633" t="s">
        <v>245</v>
      </c>
      <c r="M633" t="s">
        <v>246</v>
      </c>
      <c r="N633" t="s">
        <v>247</v>
      </c>
      <c r="O633">
        <v>42209</v>
      </c>
      <c r="P633">
        <v>1.18</v>
      </c>
      <c r="Q633">
        <v>1.88</v>
      </c>
      <c r="R633">
        <f t="shared" si="55"/>
        <v>0.7</v>
      </c>
      <c r="S633">
        <v>8</v>
      </c>
      <c r="T633">
        <f t="shared" si="56"/>
        <v>15.04</v>
      </c>
      <c r="U633">
        <v>0.05</v>
      </c>
      <c r="V633">
        <f t="shared" si="57"/>
        <v>0.752</v>
      </c>
      <c r="W633">
        <f t="shared" si="58"/>
        <v>14.287999999999998</v>
      </c>
      <c r="X633">
        <v>1.49</v>
      </c>
      <c r="Y633">
        <f t="shared" si="59"/>
        <v>15.777999999999999</v>
      </c>
    </row>
    <row r="634" spans="1:25" x14ac:dyDescent="0.25">
      <c r="A634" t="s">
        <v>1606</v>
      </c>
      <c r="B634">
        <v>42209</v>
      </c>
      <c r="C634" t="str">
        <f t="shared" si="54"/>
        <v>2015</v>
      </c>
      <c r="D634" t="s">
        <v>1607</v>
      </c>
      <c r="E634" t="s">
        <v>303</v>
      </c>
      <c r="F634" t="s">
        <v>239</v>
      </c>
      <c r="G634" t="s">
        <v>240</v>
      </c>
      <c r="H634" t="s">
        <v>241</v>
      </c>
      <c r="I634" t="s">
        <v>251</v>
      </c>
      <c r="J634" t="s">
        <v>243</v>
      </c>
      <c r="K634" t="s">
        <v>1249</v>
      </c>
      <c r="L634" t="s">
        <v>245</v>
      </c>
      <c r="M634" t="s">
        <v>246</v>
      </c>
      <c r="N634" t="s">
        <v>247</v>
      </c>
      <c r="O634">
        <v>42211</v>
      </c>
      <c r="P634">
        <v>1.19</v>
      </c>
      <c r="Q634">
        <v>1.98</v>
      </c>
      <c r="R634">
        <f t="shared" si="55"/>
        <v>0.79</v>
      </c>
      <c r="S634">
        <v>21</v>
      </c>
      <c r="T634">
        <f t="shared" si="56"/>
        <v>41.58</v>
      </c>
      <c r="U634">
        <v>0.01</v>
      </c>
      <c r="V634">
        <f t="shared" si="57"/>
        <v>0.4158</v>
      </c>
      <c r="W634">
        <f t="shared" si="58"/>
        <v>41.164200000000001</v>
      </c>
      <c r="X634">
        <v>4.7699999999999996</v>
      </c>
      <c r="Y634">
        <f t="shared" si="59"/>
        <v>45.934200000000004</v>
      </c>
    </row>
    <row r="635" spans="1:25" x14ac:dyDescent="0.25">
      <c r="A635" t="s">
        <v>1608</v>
      </c>
      <c r="B635">
        <v>42209</v>
      </c>
      <c r="C635" t="str">
        <f t="shared" si="54"/>
        <v>2015</v>
      </c>
      <c r="D635" t="s">
        <v>1098</v>
      </c>
      <c r="E635" t="s">
        <v>581</v>
      </c>
      <c r="F635" t="s">
        <v>257</v>
      </c>
      <c r="G635" t="s">
        <v>258</v>
      </c>
      <c r="H635" t="s">
        <v>259</v>
      </c>
      <c r="I635" t="s">
        <v>309</v>
      </c>
      <c r="J635" t="s">
        <v>243</v>
      </c>
      <c r="K635" t="s">
        <v>817</v>
      </c>
      <c r="L635" t="s">
        <v>245</v>
      </c>
      <c r="M635" t="s">
        <v>253</v>
      </c>
      <c r="N635" t="s">
        <v>247</v>
      </c>
      <c r="O635">
        <v>42211</v>
      </c>
      <c r="P635">
        <v>1.76</v>
      </c>
      <c r="Q635">
        <v>2.94</v>
      </c>
      <c r="R635">
        <f t="shared" si="55"/>
        <v>1.18</v>
      </c>
      <c r="S635">
        <v>35</v>
      </c>
      <c r="T635">
        <f t="shared" si="56"/>
        <v>102.89999999999999</v>
      </c>
      <c r="U635">
        <v>0.09</v>
      </c>
      <c r="V635">
        <f t="shared" si="57"/>
        <v>9.2609999999999992</v>
      </c>
      <c r="W635">
        <f t="shared" si="58"/>
        <v>93.638999999999996</v>
      </c>
      <c r="X635">
        <v>0.81</v>
      </c>
      <c r="Y635">
        <f t="shared" si="59"/>
        <v>94.448999999999998</v>
      </c>
    </row>
    <row r="636" spans="1:25" x14ac:dyDescent="0.25">
      <c r="A636" t="s">
        <v>1609</v>
      </c>
      <c r="B636">
        <v>42210</v>
      </c>
      <c r="C636" t="str">
        <f t="shared" si="54"/>
        <v>2015</v>
      </c>
      <c r="D636" t="s">
        <v>1610</v>
      </c>
      <c r="E636" t="s">
        <v>507</v>
      </c>
      <c r="F636" t="s">
        <v>239</v>
      </c>
      <c r="G636" t="s">
        <v>240</v>
      </c>
      <c r="H636" t="s">
        <v>241</v>
      </c>
      <c r="I636" t="s">
        <v>242</v>
      </c>
      <c r="J636" t="s">
        <v>243</v>
      </c>
      <c r="K636" t="s">
        <v>1105</v>
      </c>
      <c r="L636" t="s">
        <v>245</v>
      </c>
      <c r="M636" t="s">
        <v>253</v>
      </c>
      <c r="N636" t="s">
        <v>263</v>
      </c>
      <c r="O636">
        <v>42211</v>
      </c>
      <c r="P636">
        <v>1.88</v>
      </c>
      <c r="Q636">
        <v>3.14</v>
      </c>
      <c r="R636">
        <f t="shared" si="55"/>
        <v>1.2600000000000002</v>
      </c>
      <c r="S636">
        <v>43</v>
      </c>
      <c r="T636">
        <f t="shared" si="56"/>
        <v>135.02000000000001</v>
      </c>
      <c r="U636">
        <v>7.0000000000000007E-2</v>
      </c>
      <c r="V636">
        <f t="shared" si="57"/>
        <v>9.4514000000000014</v>
      </c>
      <c r="W636">
        <f t="shared" si="58"/>
        <v>125.5686</v>
      </c>
      <c r="X636">
        <v>1.1399999999999999</v>
      </c>
      <c r="Y636">
        <f t="shared" si="59"/>
        <v>126.7086</v>
      </c>
    </row>
    <row r="637" spans="1:25" x14ac:dyDescent="0.25">
      <c r="A637" t="s">
        <v>1611</v>
      </c>
      <c r="B637">
        <v>42210</v>
      </c>
      <c r="C637" t="str">
        <f t="shared" si="54"/>
        <v>2015</v>
      </c>
      <c r="D637" t="s">
        <v>1610</v>
      </c>
      <c r="E637" t="s">
        <v>507</v>
      </c>
      <c r="F637" t="s">
        <v>239</v>
      </c>
      <c r="G637" t="s">
        <v>240</v>
      </c>
      <c r="H637" t="s">
        <v>241</v>
      </c>
      <c r="I637" t="s">
        <v>242</v>
      </c>
      <c r="J637" t="s">
        <v>243</v>
      </c>
      <c r="K637" t="s">
        <v>638</v>
      </c>
      <c r="L637" t="s">
        <v>245</v>
      </c>
      <c r="M637" t="s">
        <v>323</v>
      </c>
      <c r="N637" t="s">
        <v>247</v>
      </c>
      <c r="O637">
        <v>42212</v>
      </c>
      <c r="P637">
        <v>1.46</v>
      </c>
      <c r="Q637">
        <v>3.57</v>
      </c>
      <c r="R637">
        <f t="shared" si="55"/>
        <v>2.11</v>
      </c>
      <c r="S637">
        <v>19</v>
      </c>
      <c r="T637">
        <f t="shared" si="56"/>
        <v>67.83</v>
      </c>
      <c r="U637">
        <v>0.08</v>
      </c>
      <c r="V637">
        <f t="shared" si="57"/>
        <v>5.4264000000000001</v>
      </c>
      <c r="W637">
        <f t="shared" si="58"/>
        <v>62.403599999999997</v>
      </c>
      <c r="X637">
        <v>4.17</v>
      </c>
      <c r="Y637">
        <f t="shared" si="59"/>
        <v>66.573599999999999</v>
      </c>
    </row>
    <row r="638" spans="1:25" x14ac:dyDescent="0.25">
      <c r="A638" t="s">
        <v>1612</v>
      </c>
      <c r="B638">
        <v>42210</v>
      </c>
      <c r="C638" t="str">
        <f t="shared" si="54"/>
        <v>2015</v>
      </c>
      <c r="D638" t="s">
        <v>1497</v>
      </c>
      <c r="E638" t="s">
        <v>637</v>
      </c>
      <c r="F638" t="s">
        <v>239</v>
      </c>
      <c r="G638" t="s">
        <v>240</v>
      </c>
      <c r="H638" t="s">
        <v>241</v>
      </c>
      <c r="I638" t="s">
        <v>242</v>
      </c>
      <c r="J638" t="s">
        <v>261</v>
      </c>
      <c r="K638" t="s">
        <v>555</v>
      </c>
      <c r="L638" t="s">
        <v>245</v>
      </c>
      <c r="M638" t="s">
        <v>246</v>
      </c>
      <c r="N638" t="s">
        <v>247</v>
      </c>
      <c r="O638">
        <v>42213</v>
      </c>
      <c r="P638">
        <v>1.98</v>
      </c>
      <c r="Q638">
        <v>3.15</v>
      </c>
      <c r="R638">
        <f t="shared" si="55"/>
        <v>1.17</v>
      </c>
      <c r="S638">
        <v>17</v>
      </c>
      <c r="T638">
        <f t="shared" si="56"/>
        <v>53.55</v>
      </c>
      <c r="U638">
        <v>0.05</v>
      </c>
      <c r="V638">
        <f t="shared" si="57"/>
        <v>2.6775000000000002</v>
      </c>
      <c r="W638">
        <f t="shared" si="58"/>
        <v>50.872499999999995</v>
      </c>
      <c r="X638">
        <v>0.49</v>
      </c>
      <c r="Y638">
        <f t="shared" si="59"/>
        <v>51.362499999999997</v>
      </c>
    </row>
    <row r="639" spans="1:25" x14ac:dyDescent="0.25">
      <c r="A639" t="s">
        <v>1613</v>
      </c>
      <c r="B639">
        <v>42211</v>
      </c>
      <c r="C639" t="str">
        <f t="shared" si="54"/>
        <v>2015</v>
      </c>
      <c r="D639" t="s">
        <v>379</v>
      </c>
      <c r="E639" t="s">
        <v>380</v>
      </c>
      <c r="F639" t="s">
        <v>257</v>
      </c>
      <c r="G639" t="s">
        <v>258</v>
      </c>
      <c r="H639" t="s">
        <v>274</v>
      </c>
      <c r="I639" t="s">
        <v>381</v>
      </c>
      <c r="J639" t="s">
        <v>304</v>
      </c>
      <c r="K639" t="s">
        <v>329</v>
      </c>
      <c r="L639" t="s">
        <v>245</v>
      </c>
      <c r="M639" t="s">
        <v>246</v>
      </c>
      <c r="N639" t="s">
        <v>263</v>
      </c>
      <c r="O639">
        <v>42212</v>
      </c>
      <c r="P639">
        <v>4.59</v>
      </c>
      <c r="Q639">
        <v>7.28</v>
      </c>
      <c r="R639">
        <f t="shared" si="55"/>
        <v>2.6900000000000004</v>
      </c>
      <c r="S639">
        <v>20</v>
      </c>
      <c r="T639">
        <f t="shared" si="56"/>
        <v>145.6</v>
      </c>
      <c r="U639">
        <v>0.1</v>
      </c>
      <c r="V639">
        <f t="shared" si="57"/>
        <v>14.56</v>
      </c>
      <c r="W639">
        <f t="shared" si="58"/>
        <v>131.04</v>
      </c>
      <c r="X639">
        <v>11.15</v>
      </c>
      <c r="Y639">
        <f t="shared" si="59"/>
        <v>142.19</v>
      </c>
    </row>
    <row r="640" spans="1:25" x14ac:dyDescent="0.25">
      <c r="A640" t="s">
        <v>1614</v>
      </c>
      <c r="B640">
        <v>42211</v>
      </c>
      <c r="C640" t="str">
        <f t="shared" si="54"/>
        <v>2015</v>
      </c>
      <c r="D640" t="s">
        <v>1238</v>
      </c>
      <c r="E640" t="s">
        <v>1239</v>
      </c>
      <c r="F640" t="s">
        <v>257</v>
      </c>
      <c r="G640" t="s">
        <v>258</v>
      </c>
      <c r="H640" t="s">
        <v>259</v>
      </c>
      <c r="I640" t="s">
        <v>309</v>
      </c>
      <c r="J640" t="s">
        <v>243</v>
      </c>
      <c r="K640" t="s">
        <v>776</v>
      </c>
      <c r="L640" t="s">
        <v>245</v>
      </c>
      <c r="M640" t="s">
        <v>246</v>
      </c>
      <c r="N640" t="s">
        <v>247</v>
      </c>
      <c r="O640">
        <v>42211</v>
      </c>
      <c r="P640">
        <v>4.53</v>
      </c>
      <c r="Q640">
        <v>7.3</v>
      </c>
      <c r="R640">
        <f t="shared" si="55"/>
        <v>2.7699999999999996</v>
      </c>
      <c r="S640">
        <v>12</v>
      </c>
      <c r="T640">
        <f t="shared" si="56"/>
        <v>87.6</v>
      </c>
      <c r="U640">
        <v>0.03</v>
      </c>
      <c r="V640">
        <f t="shared" si="57"/>
        <v>2.6279999999999997</v>
      </c>
      <c r="W640">
        <f t="shared" si="58"/>
        <v>84.971999999999994</v>
      </c>
      <c r="X640">
        <v>7.72</v>
      </c>
      <c r="Y640">
        <f t="shared" si="59"/>
        <v>92.691999999999993</v>
      </c>
    </row>
    <row r="641" spans="1:25" x14ac:dyDescent="0.25">
      <c r="A641" t="s">
        <v>1615</v>
      </c>
      <c r="B641">
        <v>42212</v>
      </c>
      <c r="C641" t="str">
        <f t="shared" si="54"/>
        <v>2015</v>
      </c>
      <c r="D641" t="s">
        <v>1350</v>
      </c>
      <c r="E641" t="s">
        <v>367</v>
      </c>
      <c r="F641" t="s">
        <v>239</v>
      </c>
      <c r="G641" t="s">
        <v>240</v>
      </c>
      <c r="H641" t="s">
        <v>293</v>
      </c>
      <c r="I641" t="s">
        <v>251</v>
      </c>
      <c r="J641" t="s">
        <v>279</v>
      </c>
      <c r="K641" t="s">
        <v>656</v>
      </c>
      <c r="L641" t="s">
        <v>245</v>
      </c>
      <c r="M641" t="s">
        <v>253</v>
      </c>
      <c r="N641" t="s">
        <v>263</v>
      </c>
      <c r="O641">
        <v>42216</v>
      </c>
      <c r="P641">
        <v>0.93</v>
      </c>
      <c r="Q641">
        <v>1.48</v>
      </c>
      <c r="R641">
        <f t="shared" si="55"/>
        <v>0.54999999999999993</v>
      </c>
      <c r="S641">
        <v>37</v>
      </c>
      <c r="T641">
        <f t="shared" si="56"/>
        <v>54.76</v>
      </c>
      <c r="U641">
        <v>0.04</v>
      </c>
      <c r="V641">
        <f t="shared" si="57"/>
        <v>2.1903999999999999</v>
      </c>
      <c r="W641">
        <f t="shared" si="58"/>
        <v>52.569600000000001</v>
      </c>
      <c r="X641">
        <v>0.7</v>
      </c>
      <c r="Y641">
        <f t="shared" si="59"/>
        <v>53.269600000000004</v>
      </c>
    </row>
    <row r="642" spans="1:25" x14ac:dyDescent="0.25">
      <c r="A642" t="s">
        <v>1616</v>
      </c>
      <c r="B642">
        <v>42212</v>
      </c>
      <c r="C642" t="str">
        <f t="shared" si="54"/>
        <v>2015</v>
      </c>
      <c r="D642" t="s">
        <v>1350</v>
      </c>
      <c r="E642" t="s">
        <v>367</v>
      </c>
      <c r="F642" t="s">
        <v>239</v>
      </c>
      <c r="G642" t="s">
        <v>240</v>
      </c>
      <c r="H642" t="s">
        <v>293</v>
      </c>
      <c r="I642" t="s">
        <v>251</v>
      </c>
      <c r="J642" t="s">
        <v>279</v>
      </c>
      <c r="K642" t="s">
        <v>537</v>
      </c>
      <c r="L642" t="s">
        <v>245</v>
      </c>
      <c r="M642" t="s">
        <v>253</v>
      </c>
      <c r="N642" t="s">
        <v>247</v>
      </c>
      <c r="O642">
        <v>42217</v>
      </c>
      <c r="P642">
        <v>11.11</v>
      </c>
      <c r="Q642">
        <v>19.84</v>
      </c>
      <c r="R642">
        <f t="shared" si="55"/>
        <v>8.73</v>
      </c>
      <c r="S642">
        <v>28</v>
      </c>
      <c r="T642">
        <f t="shared" si="56"/>
        <v>555.52</v>
      </c>
      <c r="U642">
        <v>0.08</v>
      </c>
      <c r="V642">
        <f t="shared" si="57"/>
        <v>44.441600000000001</v>
      </c>
      <c r="W642">
        <f t="shared" si="58"/>
        <v>511.07839999999999</v>
      </c>
      <c r="X642">
        <v>4.0999999999999996</v>
      </c>
      <c r="Y642">
        <f t="shared" si="59"/>
        <v>515.17840000000001</v>
      </c>
    </row>
    <row r="643" spans="1:25" x14ac:dyDescent="0.25">
      <c r="A643" t="s">
        <v>1617</v>
      </c>
      <c r="B643">
        <v>42214</v>
      </c>
      <c r="C643" t="str">
        <f t="shared" si="54"/>
        <v>2015</v>
      </c>
      <c r="D643" t="s">
        <v>1618</v>
      </c>
      <c r="E643" t="s">
        <v>528</v>
      </c>
      <c r="F643" t="s">
        <v>239</v>
      </c>
      <c r="G643" t="s">
        <v>240</v>
      </c>
      <c r="H643" t="s">
        <v>259</v>
      </c>
      <c r="I643" t="s">
        <v>251</v>
      </c>
      <c r="J643" t="s">
        <v>243</v>
      </c>
      <c r="K643" t="s">
        <v>630</v>
      </c>
      <c r="L643" t="s">
        <v>245</v>
      </c>
      <c r="M643" t="s">
        <v>253</v>
      </c>
      <c r="N643" t="s">
        <v>247</v>
      </c>
      <c r="O643">
        <v>42216</v>
      </c>
      <c r="P643">
        <v>1.53</v>
      </c>
      <c r="Q643">
        <v>2.78</v>
      </c>
      <c r="R643">
        <f t="shared" si="55"/>
        <v>1.2499999999999998</v>
      </c>
      <c r="S643">
        <v>38</v>
      </c>
      <c r="T643">
        <f t="shared" si="56"/>
        <v>105.63999999999999</v>
      </c>
      <c r="U643">
        <v>0.1</v>
      </c>
      <c r="V643">
        <f t="shared" si="57"/>
        <v>10.564</v>
      </c>
      <c r="W643">
        <f t="shared" si="58"/>
        <v>95.075999999999993</v>
      </c>
      <c r="X643">
        <v>1.34</v>
      </c>
      <c r="Y643">
        <f t="shared" si="59"/>
        <v>96.415999999999997</v>
      </c>
    </row>
    <row r="644" spans="1:25" x14ac:dyDescent="0.25">
      <c r="A644" t="s">
        <v>1619</v>
      </c>
      <c r="B644">
        <v>42214</v>
      </c>
      <c r="C644" t="str">
        <f t="shared" si="54"/>
        <v>2015</v>
      </c>
      <c r="D644" t="s">
        <v>1620</v>
      </c>
      <c r="E644" t="s">
        <v>1621</v>
      </c>
      <c r="F644" t="s">
        <v>257</v>
      </c>
      <c r="G644" t="s">
        <v>258</v>
      </c>
      <c r="H644" t="s">
        <v>241</v>
      </c>
      <c r="I644" t="s">
        <v>381</v>
      </c>
      <c r="J644" t="s">
        <v>294</v>
      </c>
      <c r="K644" t="s">
        <v>295</v>
      </c>
      <c r="L644" t="s">
        <v>245</v>
      </c>
      <c r="M644" t="s">
        <v>246</v>
      </c>
      <c r="N644" t="s">
        <v>247</v>
      </c>
      <c r="O644">
        <v>42215</v>
      </c>
      <c r="P644">
        <v>54.29</v>
      </c>
      <c r="Q644">
        <v>90.48</v>
      </c>
      <c r="R644">
        <f t="shared" si="55"/>
        <v>36.190000000000005</v>
      </c>
      <c r="S644">
        <v>15</v>
      </c>
      <c r="T644">
        <f t="shared" si="56"/>
        <v>1357.2</v>
      </c>
      <c r="U644">
        <v>0.01</v>
      </c>
      <c r="V644">
        <f t="shared" si="57"/>
        <v>13.572000000000001</v>
      </c>
      <c r="W644">
        <f t="shared" si="58"/>
        <v>1343.6280000000002</v>
      </c>
      <c r="X644">
        <v>19.989999999999998</v>
      </c>
      <c r="Y644">
        <f t="shared" si="59"/>
        <v>1363.6180000000002</v>
      </c>
    </row>
    <row r="645" spans="1:25" x14ac:dyDescent="0.25">
      <c r="A645" t="s">
        <v>1622</v>
      </c>
      <c r="B645">
        <v>42215</v>
      </c>
      <c r="C645" t="str">
        <f t="shared" si="54"/>
        <v>2015</v>
      </c>
      <c r="D645" t="s">
        <v>1623</v>
      </c>
      <c r="E645" t="s">
        <v>346</v>
      </c>
      <c r="F645" t="s">
        <v>257</v>
      </c>
      <c r="G645" t="s">
        <v>258</v>
      </c>
      <c r="H645" t="s">
        <v>241</v>
      </c>
      <c r="I645" t="s">
        <v>309</v>
      </c>
      <c r="J645" t="s">
        <v>243</v>
      </c>
      <c r="K645" t="s">
        <v>799</v>
      </c>
      <c r="L645" t="s">
        <v>245</v>
      </c>
      <c r="M645" t="s">
        <v>246</v>
      </c>
      <c r="N645" t="s">
        <v>263</v>
      </c>
      <c r="O645">
        <v>42216</v>
      </c>
      <c r="P645">
        <v>2.29</v>
      </c>
      <c r="Q645">
        <v>3.69</v>
      </c>
      <c r="R645">
        <f t="shared" si="55"/>
        <v>1.4</v>
      </c>
      <c r="S645">
        <v>48</v>
      </c>
      <c r="T645">
        <f t="shared" si="56"/>
        <v>177.12</v>
      </c>
      <c r="U645">
        <v>0.1</v>
      </c>
      <c r="V645">
        <f t="shared" si="57"/>
        <v>17.712</v>
      </c>
      <c r="W645">
        <f t="shared" si="58"/>
        <v>159.40800000000002</v>
      </c>
      <c r="X645">
        <v>0.5</v>
      </c>
      <c r="Y645">
        <f t="shared" si="59"/>
        <v>159.90800000000002</v>
      </c>
    </row>
    <row r="646" spans="1:25" x14ac:dyDescent="0.25">
      <c r="A646" t="s">
        <v>1624</v>
      </c>
      <c r="B646">
        <v>42215</v>
      </c>
      <c r="C646" t="str">
        <f t="shared" ref="C646:C709" si="60">TEXT(B646,"yyyy")</f>
        <v>2015</v>
      </c>
      <c r="D646" t="s">
        <v>951</v>
      </c>
      <c r="E646" t="s">
        <v>424</v>
      </c>
      <c r="F646" t="s">
        <v>257</v>
      </c>
      <c r="G646" t="s">
        <v>258</v>
      </c>
      <c r="H646" t="s">
        <v>241</v>
      </c>
      <c r="I646" t="s">
        <v>299</v>
      </c>
      <c r="J646" t="s">
        <v>304</v>
      </c>
      <c r="K646" t="s">
        <v>1130</v>
      </c>
      <c r="L646" t="s">
        <v>268</v>
      </c>
      <c r="M646" t="s">
        <v>246</v>
      </c>
      <c r="N646" t="s">
        <v>263</v>
      </c>
      <c r="O646">
        <v>42216</v>
      </c>
      <c r="P646">
        <v>14.7</v>
      </c>
      <c r="Q646">
        <v>29.99</v>
      </c>
      <c r="R646">
        <f t="shared" ref="R646:R709" si="61">Q646-P646</f>
        <v>15.29</v>
      </c>
      <c r="S646">
        <v>27</v>
      </c>
      <c r="T646">
        <f t="shared" ref="T646:T709" si="62">Q646*S646</f>
        <v>809.7299999999999</v>
      </c>
      <c r="U646">
        <v>0.05</v>
      </c>
      <c r="V646">
        <f t="shared" ref="V646:V709" si="63">T646*U646</f>
        <v>40.486499999999999</v>
      </c>
      <c r="W646">
        <f t="shared" ref="W646:W709" si="64">T646-V646</f>
        <v>769.24349999999993</v>
      </c>
      <c r="X646">
        <v>5.5</v>
      </c>
      <c r="Y646">
        <f t="shared" ref="Y646:Y709" si="65">W646+X646</f>
        <v>774.74349999999993</v>
      </c>
    </row>
    <row r="647" spans="1:25" x14ac:dyDescent="0.25">
      <c r="A647" t="s">
        <v>1625</v>
      </c>
      <c r="B647">
        <v>42217</v>
      </c>
      <c r="C647" t="str">
        <f t="shared" si="60"/>
        <v>2015</v>
      </c>
      <c r="D647" t="s">
        <v>602</v>
      </c>
      <c r="E647" t="s">
        <v>428</v>
      </c>
      <c r="F647" t="s">
        <v>257</v>
      </c>
      <c r="G647" t="s">
        <v>258</v>
      </c>
      <c r="H647" t="s">
        <v>241</v>
      </c>
      <c r="I647" t="s">
        <v>333</v>
      </c>
      <c r="J647" t="s">
        <v>261</v>
      </c>
      <c r="K647" t="s">
        <v>714</v>
      </c>
      <c r="L647" t="s">
        <v>268</v>
      </c>
      <c r="M647" t="s">
        <v>246</v>
      </c>
      <c r="N647" t="s">
        <v>247</v>
      </c>
      <c r="O647">
        <v>42219</v>
      </c>
      <c r="P647">
        <v>42.11</v>
      </c>
      <c r="Q647">
        <v>80.98</v>
      </c>
      <c r="R647">
        <f t="shared" si="61"/>
        <v>38.870000000000005</v>
      </c>
      <c r="S647">
        <v>22</v>
      </c>
      <c r="T647">
        <f t="shared" si="62"/>
        <v>1781.5600000000002</v>
      </c>
      <c r="U647">
        <v>0.1</v>
      </c>
      <c r="V647">
        <f t="shared" si="63"/>
        <v>178.15600000000003</v>
      </c>
      <c r="W647">
        <f t="shared" si="64"/>
        <v>1603.4040000000002</v>
      </c>
      <c r="X647">
        <v>7.18</v>
      </c>
      <c r="Y647">
        <f t="shared" si="65"/>
        <v>1610.5840000000003</v>
      </c>
    </row>
    <row r="648" spans="1:25" x14ac:dyDescent="0.25">
      <c r="A648" t="s">
        <v>1626</v>
      </c>
      <c r="B648">
        <v>42218</v>
      </c>
      <c r="C648" t="str">
        <f t="shared" si="60"/>
        <v>2015</v>
      </c>
      <c r="D648" t="s">
        <v>1627</v>
      </c>
      <c r="E648" t="s">
        <v>1628</v>
      </c>
      <c r="F648" t="s">
        <v>257</v>
      </c>
      <c r="G648" t="s">
        <v>258</v>
      </c>
      <c r="H648" t="s">
        <v>241</v>
      </c>
      <c r="I648" t="s">
        <v>275</v>
      </c>
      <c r="J648" t="s">
        <v>294</v>
      </c>
      <c r="K648" t="s">
        <v>594</v>
      </c>
      <c r="L648" t="s">
        <v>268</v>
      </c>
      <c r="M648" t="s">
        <v>647</v>
      </c>
      <c r="N648" t="s">
        <v>247</v>
      </c>
      <c r="O648">
        <v>42220</v>
      </c>
      <c r="P648">
        <v>216</v>
      </c>
      <c r="Q648">
        <v>449.99</v>
      </c>
      <c r="R648">
        <f t="shared" si="61"/>
        <v>233.99</v>
      </c>
      <c r="S648">
        <v>29</v>
      </c>
      <c r="T648">
        <f t="shared" si="62"/>
        <v>13049.710000000001</v>
      </c>
      <c r="U648">
        <v>0</v>
      </c>
      <c r="V648">
        <f t="shared" si="63"/>
        <v>0</v>
      </c>
      <c r="W648">
        <f t="shared" si="64"/>
        <v>13049.710000000001</v>
      </c>
      <c r="X648">
        <v>24.49</v>
      </c>
      <c r="Y648">
        <f t="shared" si="65"/>
        <v>13074.2</v>
      </c>
    </row>
    <row r="649" spans="1:25" x14ac:dyDescent="0.25">
      <c r="A649" t="s">
        <v>1629</v>
      </c>
      <c r="B649">
        <v>42218</v>
      </c>
      <c r="C649" t="str">
        <f t="shared" si="60"/>
        <v>2015</v>
      </c>
      <c r="D649" t="s">
        <v>1630</v>
      </c>
      <c r="E649" t="s">
        <v>637</v>
      </c>
      <c r="F649" t="s">
        <v>239</v>
      </c>
      <c r="G649" t="s">
        <v>240</v>
      </c>
      <c r="H649" t="s">
        <v>274</v>
      </c>
      <c r="I649" t="s">
        <v>251</v>
      </c>
      <c r="J649" t="s">
        <v>294</v>
      </c>
      <c r="K649" t="s">
        <v>475</v>
      </c>
      <c r="L649" t="s">
        <v>245</v>
      </c>
      <c r="M649" t="s">
        <v>246</v>
      </c>
      <c r="N649" t="s">
        <v>247</v>
      </c>
      <c r="O649">
        <v>42220</v>
      </c>
      <c r="P649">
        <v>12.39</v>
      </c>
      <c r="Q649">
        <v>19.98</v>
      </c>
      <c r="R649">
        <f t="shared" si="61"/>
        <v>7.59</v>
      </c>
      <c r="S649">
        <v>44</v>
      </c>
      <c r="T649">
        <f t="shared" si="62"/>
        <v>879.12</v>
      </c>
      <c r="U649">
        <v>7.0000000000000007E-2</v>
      </c>
      <c r="V649">
        <f t="shared" si="63"/>
        <v>61.538400000000003</v>
      </c>
      <c r="W649">
        <f t="shared" si="64"/>
        <v>817.58159999999998</v>
      </c>
      <c r="X649">
        <v>5.77</v>
      </c>
      <c r="Y649">
        <f t="shared" si="65"/>
        <v>823.35159999999996</v>
      </c>
    </row>
    <row r="650" spans="1:25" x14ac:dyDescent="0.25">
      <c r="A650" t="s">
        <v>1631</v>
      </c>
      <c r="B650">
        <v>42219</v>
      </c>
      <c r="C650" t="str">
        <f t="shared" si="60"/>
        <v>2015</v>
      </c>
      <c r="D650" t="s">
        <v>1355</v>
      </c>
      <c r="E650" t="s">
        <v>673</v>
      </c>
      <c r="F650" t="s">
        <v>257</v>
      </c>
      <c r="G650" t="s">
        <v>258</v>
      </c>
      <c r="H650" t="s">
        <v>259</v>
      </c>
      <c r="I650" t="s">
        <v>372</v>
      </c>
      <c r="J650" t="s">
        <v>279</v>
      </c>
      <c r="K650" t="s">
        <v>543</v>
      </c>
      <c r="L650" t="s">
        <v>245</v>
      </c>
      <c r="M650" t="s">
        <v>246</v>
      </c>
      <c r="N650" t="s">
        <v>247</v>
      </c>
      <c r="O650">
        <v>42224</v>
      </c>
      <c r="P650">
        <v>1.33</v>
      </c>
      <c r="Q650">
        <v>2.08</v>
      </c>
      <c r="R650">
        <f t="shared" si="61"/>
        <v>0.75</v>
      </c>
      <c r="S650">
        <v>20</v>
      </c>
      <c r="T650">
        <f t="shared" si="62"/>
        <v>41.6</v>
      </c>
      <c r="U650">
        <v>0.1</v>
      </c>
      <c r="V650">
        <f t="shared" si="63"/>
        <v>4.16</v>
      </c>
      <c r="W650">
        <f t="shared" si="64"/>
        <v>37.44</v>
      </c>
      <c r="X650">
        <v>1.49</v>
      </c>
      <c r="Y650">
        <f t="shared" si="65"/>
        <v>38.93</v>
      </c>
    </row>
    <row r="651" spans="1:25" x14ac:dyDescent="0.25">
      <c r="A651" t="s">
        <v>1632</v>
      </c>
      <c r="B651">
        <v>42223</v>
      </c>
      <c r="C651" t="str">
        <f t="shared" si="60"/>
        <v>2015</v>
      </c>
      <c r="D651" t="s">
        <v>1458</v>
      </c>
      <c r="E651" t="s">
        <v>1459</v>
      </c>
      <c r="F651" t="s">
        <v>257</v>
      </c>
      <c r="G651" t="s">
        <v>258</v>
      </c>
      <c r="H651" t="s">
        <v>259</v>
      </c>
      <c r="I651" t="s">
        <v>260</v>
      </c>
      <c r="J651" t="s">
        <v>261</v>
      </c>
      <c r="K651" t="s">
        <v>941</v>
      </c>
      <c r="L651" t="s">
        <v>245</v>
      </c>
      <c r="M651" t="s">
        <v>253</v>
      </c>
      <c r="N651" t="s">
        <v>247</v>
      </c>
      <c r="O651">
        <v>42224</v>
      </c>
      <c r="P651">
        <v>2.59</v>
      </c>
      <c r="Q651">
        <v>3.98</v>
      </c>
      <c r="R651">
        <f t="shared" si="61"/>
        <v>1.3900000000000001</v>
      </c>
      <c r="S651">
        <v>16</v>
      </c>
      <c r="T651">
        <f t="shared" si="62"/>
        <v>63.68</v>
      </c>
      <c r="U651">
        <v>0.09</v>
      </c>
      <c r="V651">
        <f t="shared" si="63"/>
        <v>5.7311999999999994</v>
      </c>
      <c r="W651">
        <f t="shared" si="64"/>
        <v>57.948799999999999</v>
      </c>
      <c r="X651">
        <v>2.97</v>
      </c>
      <c r="Y651">
        <f t="shared" si="65"/>
        <v>60.918799999999997</v>
      </c>
    </row>
    <row r="652" spans="1:25" x14ac:dyDescent="0.25">
      <c r="A652" t="s">
        <v>1633</v>
      </c>
      <c r="B652">
        <v>42224</v>
      </c>
      <c r="C652" t="str">
        <f t="shared" si="60"/>
        <v>2015</v>
      </c>
      <c r="D652" t="s">
        <v>840</v>
      </c>
      <c r="E652" t="s">
        <v>633</v>
      </c>
      <c r="F652" t="s">
        <v>239</v>
      </c>
      <c r="G652" t="s">
        <v>240</v>
      </c>
      <c r="H652" t="s">
        <v>259</v>
      </c>
      <c r="I652" t="s">
        <v>242</v>
      </c>
      <c r="J652" t="s">
        <v>243</v>
      </c>
      <c r="K652" t="s">
        <v>300</v>
      </c>
      <c r="L652" t="s">
        <v>245</v>
      </c>
      <c r="M652" t="s">
        <v>246</v>
      </c>
      <c r="N652" t="s">
        <v>263</v>
      </c>
      <c r="O652">
        <v>42225</v>
      </c>
      <c r="P652">
        <v>5.33</v>
      </c>
      <c r="Q652">
        <v>8.6</v>
      </c>
      <c r="R652">
        <f t="shared" si="61"/>
        <v>3.2699999999999996</v>
      </c>
      <c r="S652">
        <v>15</v>
      </c>
      <c r="T652">
        <f t="shared" si="62"/>
        <v>129</v>
      </c>
      <c r="U652">
        <v>0.04</v>
      </c>
      <c r="V652">
        <f t="shared" si="63"/>
        <v>5.16</v>
      </c>
      <c r="W652">
        <f t="shared" si="64"/>
        <v>123.84</v>
      </c>
      <c r="X652">
        <v>6.19</v>
      </c>
      <c r="Y652">
        <f t="shared" si="65"/>
        <v>130.03</v>
      </c>
    </row>
    <row r="653" spans="1:25" x14ac:dyDescent="0.25">
      <c r="A653" t="s">
        <v>1634</v>
      </c>
      <c r="B653">
        <v>42226</v>
      </c>
      <c r="C653" t="str">
        <f t="shared" si="60"/>
        <v>2015</v>
      </c>
      <c r="D653" t="s">
        <v>1635</v>
      </c>
      <c r="E653" t="s">
        <v>1348</v>
      </c>
      <c r="F653" t="s">
        <v>257</v>
      </c>
      <c r="G653" t="s">
        <v>258</v>
      </c>
      <c r="H653" t="s">
        <v>293</v>
      </c>
      <c r="I653" t="s">
        <v>492</v>
      </c>
      <c r="J653" t="s">
        <v>294</v>
      </c>
      <c r="K653" t="s">
        <v>1061</v>
      </c>
      <c r="L653" t="s">
        <v>245</v>
      </c>
      <c r="M653" t="s">
        <v>246</v>
      </c>
      <c r="N653" t="s">
        <v>247</v>
      </c>
      <c r="O653">
        <v>42227</v>
      </c>
      <c r="P653">
        <v>2.76</v>
      </c>
      <c r="Q653">
        <v>4.38</v>
      </c>
      <c r="R653">
        <f t="shared" si="61"/>
        <v>1.62</v>
      </c>
      <c r="S653">
        <v>24</v>
      </c>
      <c r="T653">
        <f t="shared" si="62"/>
        <v>105.12</v>
      </c>
      <c r="U653">
        <v>0.02</v>
      </c>
      <c r="V653">
        <f t="shared" si="63"/>
        <v>2.1024000000000003</v>
      </c>
      <c r="W653">
        <f t="shared" si="64"/>
        <v>103.0176</v>
      </c>
      <c r="X653">
        <v>6.21</v>
      </c>
      <c r="Y653">
        <f t="shared" si="65"/>
        <v>109.2276</v>
      </c>
    </row>
    <row r="654" spans="1:25" x14ac:dyDescent="0.25">
      <c r="A654" t="s">
        <v>1636</v>
      </c>
      <c r="B654">
        <v>42226</v>
      </c>
      <c r="C654" t="str">
        <f t="shared" si="60"/>
        <v>2015</v>
      </c>
      <c r="D654" t="s">
        <v>1635</v>
      </c>
      <c r="E654" t="s">
        <v>1348</v>
      </c>
      <c r="F654" t="s">
        <v>257</v>
      </c>
      <c r="G654" t="s">
        <v>258</v>
      </c>
      <c r="H654" t="s">
        <v>293</v>
      </c>
      <c r="I654" t="s">
        <v>492</v>
      </c>
      <c r="J654" t="s">
        <v>294</v>
      </c>
      <c r="K654" t="s">
        <v>879</v>
      </c>
      <c r="L654" t="s">
        <v>245</v>
      </c>
      <c r="M654" t="s">
        <v>323</v>
      </c>
      <c r="N654" t="s">
        <v>247</v>
      </c>
      <c r="O654">
        <v>42229</v>
      </c>
      <c r="P654">
        <v>4.0999999999999996</v>
      </c>
      <c r="Q654">
        <v>9.31</v>
      </c>
      <c r="R654">
        <f t="shared" si="61"/>
        <v>5.2100000000000009</v>
      </c>
      <c r="S654">
        <v>30</v>
      </c>
      <c r="T654">
        <f t="shared" si="62"/>
        <v>279.3</v>
      </c>
      <c r="U654">
        <v>0.03</v>
      </c>
      <c r="V654">
        <f t="shared" si="63"/>
        <v>8.3789999999999996</v>
      </c>
      <c r="W654">
        <f t="shared" si="64"/>
        <v>270.92099999999999</v>
      </c>
      <c r="X654">
        <v>3.98</v>
      </c>
      <c r="Y654">
        <f t="shared" si="65"/>
        <v>274.90100000000001</v>
      </c>
    </row>
    <row r="655" spans="1:25" x14ac:dyDescent="0.25">
      <c r="A655" t="s">
        <v>1637</v>
      </c>
      <c r="B655">
        <v>42227</v>
      </c>
      <c r="C655" t="str">
        <f t="shared" si="60"/>
        <v>2015</v>
      </c>
      <c r="D655" t="s">
        <v>1141</v>
      </c>
      <c r="E655" t="s">
        <v>575</v>
      </c>
      <c r="F655" t="s">
        <v>257</v>
      </c>
      <c r="G655" t="s">
        <v>258</v>
      </c>
      <c r="H655" t="s">
        <v>274</v>
      </c>
      <c r="I655" t="s">
        <v>381</v>
      </c>
      <c r="J655" t="s">
        <v>243</v>
      </c>
      <c r="K655" t="s">
        <v>939</v>
      </c>
      <c r="L655" t="s">
        <v>268</v>
      </c>
      <c r="M655" t="s">
        <v>647</v>
      </c>
      <c r="N655" t="s">
        <v>247</v>
      </c>
      <c r="O655">
        <v>42228</v>
      </c>
      <c r="P655">
        <v>377.99</v>
      </c>
      <c r="Q655">
        <v>599.99</v>
      </c>
      <c r="R655">
        <f t="shared" si="61"/>
        <v>222</v>
      </c>
      <c r="S655">
        <v>46</v>
      </c>
      <c r="T655">
        <f t="shared" si="62"/>
        <v>27599.54</v>
      </c>
      <c r="U655">
        <v>7.0000000000000007E-2</v>
      </c>
      <c r="V655">
        <f t="shared" si="63"/>
        <v>1931.9678000000004</v>
      </c>
      <c r="W655">
        <f t="shared" si="64"/>
        <v>25667.572200000002</v>
      </c>
      <c r="X655">
        <v>24.49</v>
      </c>
      <c r="Y655">
        <f t="shared" si="65"/>
        <v>25692.062200000004</v>
      </c>
    </row>
    <row r="656" spans="1:25" x14ac:dyDescent="0.25">
      <c r="A656" t="s">
        <v>1638</v>
      </c>
      <c r="B656">
        <v>42227</v>
      </c>
      <c r="C656" t="str">
        <f t="shared" si="60"/>
        <v>2015</v>
      </c>
      <c r="D656" t="s">
        <v>1347</v>
      </c>
      <c r="E656" t="s">
        <v>1348</v>
      </c>
      <c r="F656" t="s">
        <v>257</v>
      </c>
      <c r="G656" t="s">
        <v>258</v>
      </c>
      <c r="H656" t="s">
        <v>293</v>
      </c>
      <c r="I656" t="s">
        <v>492</v>
      </c>
      <c r="J656" t="s">
        <v>243</v>
      </c>
      <c r="K656" t="s">
        <v>817</v>
      </c>
      <c r="L656" t="s">
        <v>245</v>
      </c>
      <c r="M656" t="s">
        <v>253</v>
      </c>
      <c r="N656" t="s">
        <v>247</v>
      </c>
      <c r="O656">
        <v>42230</v>
      </c>
      <c r="P656">
        <v>1.76</v>
      </c>
      <c r="Q656">
        <v>2.94</v>
      </c>
      <c r="R656">
        <f t="shared" si="61"/>
        <v>1.18</v>
      </c>
      <c r="S656">
        <v>39</v>
      </c>
      <c r="T656">
        <f t="shared" si="62"/>
        <v>114.66</v>
      </c>
      <c r="U656">
        <v>0.04</v>
      </c>
      <c r="V656">
        <f t="shared" si="63"/>
        <v>4.5864000000000003</v>
      </c>
      <c r="W656">
        <f t="shared" si="64"/>
        <v>110.0736</v>
      </c>
      <c r="X656">
        <v>0.81</v>
      </c>
      <c r="Y656">
        <f t="shared" si="65"/>
        <v>110.8836</v>
      </c>
    </row>
    <row r="657" spans="1:25" x14ac:dyDescent="0.25">
      <c r="A657" t="s">
        <v>1639</v>
      </c>
      <c r="B657">
        <v>42227</v>
      </c>
      <c r="C657" t="str">
        <f t="shared" si="60"/>
        <v>2015</v>
      </c>
      <c r="D657" t="s">
        <v>1640</v>
      </c>
      <c r="E657" t="s">
        <v>352</v>
      </c>
      <c r="F657" t="s">
        <v>257</v>
      </c>
      <c r="G657" t="s">
        <v>258</v>
      </c>
      <c r="H657" t="s">
        <v>274</v>
      </c>
      <c r="I657" t="s">
        <v>275</v>
      </c>
      <c r="J657" t="s">
        <v>243</v>
      </c>
      <c r="K657" t="s">
        <v>384</v>
      </c>
      <c r="L657" t="s">
        <v>268</v>
      </c>
      <c r="M657" t="s">
        <v>246</v>
      </c>
      <c r="N657" t="s">
        <v>263</v>
      </c>
      <c r="O657">
        <v>42228</v>
      </c>
      <c r="P657">
        <v>10.07</v>
      </c>
      <c r="Q657">
        <v>15.98</v>
      </c>
      <c r="R657">
        <f t="shared" si="61"/>
        <v>5.91</v>
      </c>
      <c r="S657">
        <v>7</v>
      </c>
      <c r="T657">
        <f t="shared" si="62"/>
        <v>111.86</v>
      </c>
      <c r="U657">
        <v>0.04</v>
      </c>
      <c r="V657">
        <f t="shared" si="63"/>
        <v>4.4744000000000002</v>
      </c>
      <c r="W657">
        <f t="shared" si="64"/>
        <v>107.3856</v>
      </c>
      <c r="X657">
        <v>4</v>
      </c>
      <c r="Y657">
        <f t="shared" si="65"/>
        <v>111.3856</v>
      </c>
    </row>
    <row r="658" spans="1:25" x14ac:dyDescent="0.25">
      <c r="A658" t="s">
        <v>1641</v>
      </c>
      <c r="B658">
        <v>42228</v>
      </c>
      <c r="C658" t="str">
        <f t="shared" si="60"/>
        <v>2015</v>
      </c>
      <c r="D658" t="s">
        <v>408</v>
      </c>
      <c r="E658" t="s">
        <v>409</v>
      </c>
      <c r="F658" t="s">
        <v>257</v>
      </c>
      <c r="G658" t="s">
        <v>258</v>
      </c>
      <c r="H658" t="s">
        <v>259</v>
      </c>
      <c r="I658" t="s">
        <v>342</v>
      </c>
      <c r="J658" t="s">
        <v>294</v>
      </c>
      <c r="K658" t="s">
        <v>598</v>
      </c>
      <c r="L658" t="s">
        <v>268</v>
      </c>
      <c r="M658" t="s">
        <v>246</v>
      </c>
      <c r="N658" t="s">
        <v>247</v>
      </c>
      <c r="O658">
        <v>42231</v>
      </c>
      <c r="P658">
        <v>6.51</v>
      </c>
      <c r="Q658">
        <v>30.98</v>
      </c>
      <c r="R658">
        <f t="shared" si="61"/>
        <v>24.47</v>
      </c>
      <c r="S658">
        <v>8</v>
      </c>
      <c r="T658">
        <f t="shared" si="62"/>
        <v>247.84</v>
      </c>
      <c r="U658">
        <v>0.06</v>
      </c>
      <c r="V658">
        <f t="shared" si="63"/>
        <v>14.8704</v>
      </c>
      <c r="W658">
        <f t="shared" si="64"/>
        <v>232.96960000000001</v>
      </c>
      <c r="X658">
        <v>6.5</v>
      </c>
      <c r="Y658">
        <f t="shared" si="65"/>
        <v>239.46960000000001</v>
      </c>
    </row>
    <row r="659" spans="1:25" x14ac:dyDescent="0.25">
      <c r="A659" t="s">
        <v>1642</v>
      </c>
      <c r="B659">
        <v>42230</v>
      </c>
      <c r="C659" t="str">
        <f t="shared" si="60"/>
        <v>2015</v>
      </c>
      <c r="D659" t="s">
        <v>1643</v>
      </c>
      <c r="E659" t="s">
        <v>303</v>
      </c>
      <c r="F659" t="s">
        <v>239</v>
      </c>
      <c r="G659" t="s">
        <v>240</v>
      </c>
      <c r="H659" t="s">
        <v>259</v>
      </c>
      <c r="I659" t="s">
        <v>251</v>
      </c>
      <c r="J659" t="s">
        <v>304</v>
      </c>
      <c r="K659" t="s">
        <v>435</v>
      </c>
      <c r="L659" t="s">
        <v>245</v>
      </c>
      <c r="M659" t="s">
        <v>253</v>
      </c>
      <c r="N659" t="s">
        <v>247</v>
      </c>
      <c r="O659">
        <v>42232</v>
      </c>
      <c r="P659">
        <v>3.75</v>
      </c>
      <c r="Q659">
        <v>7.08</v>
      </c>
      <c r="R659">
        <f t="shared" si="61"/>
        <v>3.33</v>
      </c>
      <c r="S659">
        <v>48</v>
      </c>
      <c r="T659">
        <f t="shared" si="62"/>
        <v>339.84000000000003</v>
      </c>
      <c r="U659">
        <v>0.03</v>
      </c>
      <c r="V659">
        <f t="shared" si="63"/>
        <v>10.1952</v>
      </c>
      <c r="W659">
        <f t="shared" si="64"/>
        <v>329.64480000000003</v>
      </c>
      <c r="X659">
        <v>2.35</v>
      </c>
      <c r="Y659">
        <f t="shared" si="65"/>
        <v>331.99480000000005</v>
      </c>
    </row>
    <row r="660" spans="1:25" x14ac:dyDescent="0.25">
      <c r="A660" t="s">
        <v>1644</v>
      </c>
      <c r="B660">
        <v>42231</v>
      </c>
      <c r="C660" t="str">
        <f t="shared" si="60"/>
        <v>2015</v>
      </c>
      <c r="D660" t="s">
        <v>513</v>
      </c>
      <c r="E660" t="s">
        <v>511</v>
      </c>
      <c r="F660" t="s">
        <v>257</v>
      </c>
      <c r="G660" t="s">
        <v>258</v>
      </c>
      <c r="H660" t="s">
        <v>274</v>
      </c>
      <c r="I660" t="s">
        <v>381</v>
      </c>
      <c r="J660" t="s">
        <v>243</v>
      </c>
      <c r="K660" t="s">
        <v>653</v>
      </c>
      <c r="L660" t="s">
        <v>245</v>
      </c>
      <c r="M660" t="s">
        <v>246</v>
      </c>
      <c r="N660" t="s">
        <v>263</v>
      </c>
      <c r="O660">
        <v>42233</v>
      </c>
      <c r="P660">
        <v>3.5</v>
      </c>
      <c r="Q660">
        <v>5.74</v>
      </c>
      <c r="R660">
        <f t="shared" si="61"/>
        <v>2.2400000000000002</v>
      </c>
      <c r="S660">
        <v>32</v>
      </c>
      <c r="T660">
        <f t="shared" si="62"/>
        <v>183.68</v>
      </c>
      <c r="U660">
        <v>0.08</v>
      </c>
      <c r="V660">
        <f t="shared" si="63"/>
        <v>14.694400000000002</v>
      </c>
      <c r="W660">
        <f t="shared" si="64"/>
        <v>168.98560000000001</v>
      </c>
      <c r="X660">
        <v>5.01</v>
      </c>
      <c r="Y660">
        <f t="shared" si="65"/>
        <v>173.9956</v>
      </c>
    </row>
    <row r="661" spans="1:25" x14ac:dyDescent="0.25">
      <c r="A661" t="s">
        <v>1645</v>
      </c>
      <c r="B661">
        <v>42237</v>
      </c>
      <c r="C661" t="str">
        <f t="shared" si="60"/>
        <v>2015</v>
      </c>
      <c r="D661" t="s">
        <v>1627</v>
      </c>
      <c r="E661" t="s">
        <v>1628</v>
      </c>
      <c r="F661" t="s">
        <v>257</v>
      </c>
      <c r="G661" t="s">
        <v>258</v>
      </c>
      <c r="H661" t="s">
        <v>241</v>
      </c>
      <c r="I661" t="s">
        <v>275</v>
      </c>
      <c r="J661" t="s">
        <v>294</v>
      </c>
      <c r="K661" t="s">
        <v>661</v>
      </c>
      <c r="L661" t="s">
        <v>245</v>
      </c>
      <c r="M661" t="s">
        <v>246</v>
      </c>
      <c r="N661" t="s">
        <v>247</v>
      </c>
      <c r="O661">
        <v>42239</v>
      </c>
      <c r="P661">
        <v>2.1800000000000002</v>
      </c>
      <c r="Q661">
        <v>3.52</v>
      </c>
      <c r="R661">
        <f t="shared" si="61"/>
        <v>1.3399999999999999</v>
      </c>
      <c r="S661">
        <v>38</v>
      </c>
      <c r="T661">
        <f t="shared" si="62"/>
        <v>133.76</v>
      </c>
      <c r="U661">
        <v>0.09</v>
      </c>
      <c r="V661">
        <f t="shared" si="63"/>
        <v>12.038399999999999</v>
      </c>
      <c r="W661">
        <f t="shared" si="64"/>
        <v>121.7216</v>
      </c>
      <c r="X661">
        <v>6.83</v>
      </c>
      <c r="Y661">
        <f t="shared" si="65"/>
        <v>128.55160000000001</v>
      </c>
    </row>
    <row r="662" spans="1:25" x14ac:dyDescent="0.25">
      <c r="A662" t="s">
        <v>1646</v>
      </c>
      <c r="B662">
        <v>42238</v>
      </c>
      <c r="C662" t="str">
        <f t="shared" si="60"/>
        <v>2015</v>
      </c>
      <c r="D662" t="s">
        <v>1590</v>
      </c>
      <c r="E662" t="s">
        <v>912</v>
      </c>
      <c r="F662" t="s">
        <v>257</v>
      </c>
      <c r="G662" t="s">
        <v>258</v>
      </c>
      <c r="H662" t="s">
        <v>241</v>
      </c>
      <c r="I662" t="s">
        <v>372</v>
      </c>
      <c r="J662" t="s">
        <v>279</v>
      </c>
      <c r="K662" t="s">
        <v>384</v>
      </c>
      <c r="L662" t="s">
        <v>268</v>
      </c>
      <c r="M662" t="s">
        <v>246</v>
      </c>
      <c r="N662" t="s">
        <v>247</v>
      </c>
      <c r="O662">
        <v>42243</v>
      </c>
      <c r="P662">
        <v>10.07</v>
      </c>
      <c r="Q662">
        <v>15.98</v>
      </c>
      <c r="R662">
        <f t="shared" si="61"/>
        <v>5.91</v>
      </c>
      <c r="S662">
        <v>6</v>
      </c>
      <c r="T662">
        <f t="shared" si="62"/>
        <v>95.88</v>
      </c>
      <c r="U662">
        <v>0.1</v>
      </c>
      <c r="V662">
        <f t="shared" si="63"/>
        <v>9.5879999999999992</v>
      </c>
      <c r="W662">
        <f t="shared" si="64"/>
        <v>86.292000000000002</v>
      </c>
      <c r="X662">
        <v>4</v>
      </c>
      <c r="Y662">
        <f t="shared" si="65"/>
        <v>90.292000000000002</v>
      </c>
    </row>
    <row r="663" spans="1:25" x14ac:dyDescent="0.25">
      <c r="A663" t="s">
        <v>1647</v>
      </c>
      <c r="B663">
        <v>42239</v>
      </c>
      <c r="C663" t="str">
        <f t="shared" si="60"/>
        <v>2015</v>
      </c>
      <c r="D663" t="s">
        <v>1648</v>
      </c>
      <c r="E663" t="s">
        <v>1115</v>
      </c>
      <c r="F663" t="s">
        <v>239</v>
      </c>
      <c r="G663" t="s">
        <v>240</v>
      </c>
      <c r="H663" t="s">
        <v>293</v>
      </c>
      <c r="I663" t="s">
        <v>242</v>
      </c>
      <c r="J663" t="s">
        <v>279</v>
      </c>
      <c r="K663" t="s">
        <v>1473</v>
      </c>
      <c r="L663" t="s">
        <v>245</v>
      </c>
      <c r="M663" t="s">
        <v>246</v>
      </c>
      <c r="N663" t="s">
        <v>263</v>
      </c>
      <c r="O663">
        <v>42246</v>
      </c>
      <c r="P663">
        <v>3.53</v>
      </c>
      <c r="Q663">
        <v>8.6199999999999992</v>
      </c>
      <c r="R663">
        <f t="shared" si="61"/>
        <v>5.09</v>
      </c>
      <c r="S663">
        <v>8</v>
      </c>
      <c r="T663">
        <f t="shared" si="62"/>
        <v>68.959999999999994</v>
      </c>
      <c r="U663">
        <v>0</v>
      </c>
      <c r="V663">
        <f t="shared" si="63"/>
        <v>0</v>
      </c>
      <c r="W663">
        <f t="shared" si="64"/>
        <v>68.959999999999994</v>
      </c>
      <c r="X663">
        <v>4.5</v>
      </c>
      <c r="Y663">
        <f t="shared" si="65"/>
        <v>73.459999999999994</v>
      </c>
    </row>
    <row r="664" spans="1:25" x14ac:dyDescent="0.25">
      <c r="A664" t="s">
        <v>1649</v>
      </c>
      <c r="B664">
        <v>42240</v>
      </c>
      <c r="C664" t="str">
        <f t="shared" si="60"/>
        <v>2015</v>
      </c>
      <c r="D664" t="s">
        <v>1122</v>
      </c>
      <c r="E664" t="s">
        <v>420</v>
      </c>
      <c r="F664" t="s">
        <v>239</v>
      </c>
      <c r="G664" t="s">
        <v>240</v>
      </c>
      <c r="H664" t="s">
        <v>293</v>
      </c>
      <c r="I664" t="s">
        <v>251</v>
      </c>
      <c r="J664" t="s">
        <v>243</v>
      </c>
      <c r="K664" t="s">
        <v>1042</v>
      </c>
      <c r="L664" t="s">
        <v>245</v>
      </c>
      <c r="M664" t="s">
        <v>246</v>
      </c>
      <c r="N664" t="s">
        <v>263</v>
      </c>
      <c r="O664">
        <v>42241</v>
      </c>
      <c r="P664">
        <v>84.22</v>
      </c>
      <c r="Q664">
        <v>210.55</v>
      </c>
      <c r="R664">
        <f t="shared" si="61"/>
        <v>126.33000000000001</v>
      </c>
      <c r="S664">
        <v>2</v>
      </c>
      <c r="T664">
        <f t="shared" si="62"/>
        <v>421.1</v>
      </c>
      <c r="U664">
        <v>0.05</v>
      </c>
      <c r="V664">
        <f t="shared" si="63"/>
        <v>21.055000000000003</v>
      </c>
      <c r="W664">
        <f t="shared" si="64"/>
        <v>400.04500000000002</v>
      </c>
      <c r="X664">
        <v>9.99</v>
      </c>
      <c r="Y664">
        <f t="shared" si="65"/>
        <v>410.03500000000003</v>
      </c>
    </row>
    <row r="665" spans="1:25" x14ac:dyDescent="0.25">
      <c r="A665" t="s">
        <v>1650</v>
      </c>
      <c r="B665">
        <v>42240</v>
      </c>
      <c r="C665" t="str">
        <f t="shared" si="60"/>
        <v>2015</v>
      </c>
      <c r="D665" t="s">
        <v>1651</v>
      </c>
      <c r="E665" t="s">
        <v>412</v>
      </c>
      <c r="F665" t="s">
        <v>257</v>
      </c>
      <c r="G665" t="s">
        <v>258</v>
      </c>
      <c r="H665" t="s">
        <v>259</v>
      </c>
      <c r="I665" t="s">
        <v>342</v>
      </c>
      <c r="J665" t="s">
        <v>279</v>
      </c>
      <c r="K665" t="s">
        <v>1082</v>
      </c>
      <c r="L665" t="s">
        <v>245</v>
      </c>
      <c r="M665" t="s">
        <v>253</v>
      </c>
      <c r="N665" t="s">
        <v>247</v>
      </c>
      <c r="O665">
        <v>42244</v>
      </c>
      <c r="P665">
        <v>1.0900000000000001</v>
      </c>
      <c r="Q665">
        <v>1.82</v>
      </c>
      <c r="R665">
        <f t="shared" si="61"/>
        <v>0.73</v>
      </c>
      <c r="S665">
        <v>42</v>
      </c>
      <c r="T665">
        <f t="shared" si="62"/>
        <v>76.44</v>
      </c>
      <c r="U665">
        <v>0.08</v>
      </c>
      <c r="V665">
        <f t="shared" si="63"/>
        <v>6.1151999999999997</v>
      </c>
      <c r="W665">
        <f t="shared" si="64"/>
        <v>70.324799999999996</v>
      </c>
      <c r="X665">
        <v>1</v>
      </c>
      <c r="Y665">
        <f t="shared" si="65"/>
        <v>71.324799999999996</v>
      </c>
    </row>
    <row r="666" spans="1:25" x14ac:dyDescent="0.25">
      <c r="A666" t="s">
        <v>1652</v>
      </c>
      <c r="B666">
        <v>42240</v>
      </c>
      <c r="C666" t="str">
        <f t="shared" si="60"/>
        <v>2015</v>
      </c>
      <c r="D666" t="s">
        <v>778</v>
      </c>
      <c r="E666" t="s">
        <v>767</v>
      </c>
      <c r="F666" t="s">
        <v>257</v>
      </c>
      <c r="G666" t="s">
        <v>258</v>
      </c>
      <c r="H666" t="s">
        <v>293</v>
      </c>
      <c r="I666" t="s">
        <v>260</v>
      </c>
      <c r="J666" t="s">
        <v>261</v>
      </c>
      <c r="K666" t="s">
        <v>786</v>
      </c>
      <c r="L666" t="s">
        <v>245</v>
      </c>
      <c r="M666" t="s">
        <v>323</v>
      </c>
      <c r="N666" t="s">
        <v>247</v>
      </c>
      <c r="O666">
        <v>42242</v>
      </c>
      <c r="P666">
        <v>16.8</v>
      </c>
      <c r="Q666">
        <v>40.97</v>
      </c>
      <c r="R666">
        <f t="shared" si="61"/>
        <v>24.169999999999998</v>
      </c>
      <c r="S666">
        <v>28</v>
      </c>
      <c r="T666">
        <f t="shared" si="62"/>
        <v>1147.1599999999999</v>
      </c>
      <c r="U666">
        <v>0.04</v>
      </c>
      <c r="V666">
        <f t="shared" si="63"/>
        <v>45.886399999999995</v>
      </c>
      <c r="W666">
        <f t="shared" si="64"/>
        <v>1101.2735999999998</v>
      </c>
      <c r="X666">
        <v>8.99</v>
      </c>
      <c r="Y666">
        <f t="shared" si="65"/>
        <v>1110.2635999999998</v>
      </c>
    </row>
    <row r="667" spans="1:25" x14ac:dyDescent="0.25">
      <c r="A667" t="s">
        <v>1653</v>
      </c>
      <c r="B667">
        <v>42242</v>
      </c>
      <c r="C667" t="str">
        <f t="shared" si="60"/>
        <v>2015</v>
      </c>
      <c r="D667" t="s">
        <v>375</v>
      </c>
      <c r="E667" t="s">
        <v>376</v>
      </c>
      <c r="F667" t="s">
        <v>239</v>
      </c>
      <c r="G667" t="s">
        <v>240</v>
      </c>
      <c r="H667" t="s">
        <v>259</v>
      </c>
      <c r="I667" t="s">
        <v>242</v>
      </c>
      <c r="J667" t="s">
        <v>304</v>
      </c>
      <c r="K667" t="s">
        <v>986</v>
      </c>
      <c r="L667" t="s">
        <v>245</v>
      </c>
      <c r="M667" t="s">
        <v>246</v>
      </c>
      <c r="N667" t="s">
        <v>247</v>
      </c>
      <c r="O667">
        <v>42244</v>
      </c>
      <c r="P667">
        <v>52.04</v>
      </c>
      <c r="Q667">
        <v>83.93</v>
      </c>
      <c r="R667">
        <f t="shared" si="61"/>
        <v>31.890000000000008</v>
      </c>
      <c r="S667">
        <v>3</v>
      </c>
      <c r="T667">
        <f t="shared" si="62"/>
        <v>251.79000000000002</v>
      </c>
      <c r="U667">
        <v>0</v>
      </c>
      <c r="V667">
        <f t="shared" si="63"/>
        <v>0</v>
      </c>
      <c r="W667">
        <f t="shared" si="64"/>
        <v>251.79000000000002</v>
      </c>
      <c r="X667">
        <v>19.989999999999998</v>
      </c>
      <c r="Y667">
        <f t="shared" si="65"/>
        <v>271.78000000000003</v>
      </c>
    </row>
    <row r="668" spans="1:25" x14ac:dyDescent="0.25">
      <c r="A668" t="s">
        <v>1654</v>
      </c>
      <c r="B668">
        <v>42242</v>
      </c>
      <c r="C668" t="str">
        <f t="shared" si="60"/>
        <v>2015</v>
      </c>
      <c r="D668" t="s">
        <v>345</v>
      </c>
      <c r="E668" t="s">
        <v>346</v>
      </c>
      <c r="F668" t="s">
        <v>257</v>
      </c>
      <c r="G668" t="s">
        <v>258</v>
      </c>
      <c r="H668" t="s">
        <v>259</v>
      </c>
      <c r="I668" t="s">
        <v>309</v>
      </c>
      <c r="J668" t="s">
        <v>294</v>
      </c>
      <c r="K668" t="s">
        <v>799</v>
      </c>
      <c r="L668" t="s">
        <v>245</v>
      </c>
      <c r="M668" t="s">
        <v>246</v>
      </c>
      <c r="N668" t="s">
        <v>247</v>
      </c>
      <c r="O668">
        <v>42243</v>
      </c>
      <c r="P668">
        <v>2.29</v>
      </c>
      <c r="Q668">
        <v>3.69</v>
      </c>
      <c r="R668">
        <f t="shared" si="61"/>
        <v>1.4</v>
      </c>
      <c r="S668">
        <v>39</v>
      </c>
      <c r="T668">
        <f t="shared" si="62"/>
        <v>143.91</v>
      </c>
      <c r="U668">
        <v>0.03</v>
      </c>
      <c r="V668">
        <f t="shared" si="63"/>
        <v>4.3172999999999995</v>
      </c>
      <c r="W668">
        <f t="shared" si="64"/>
        <v>139.59270000000001</v>
      </c>
      <c r="X668">
        <v>0.5</v>
      </c>
      <c r="Y668">
        <f t="shared" si="65"/>
        <v>140.09270000000001</v>
      </c>
    </row>
    <row r="669" spans="1:25" x14ac:dyDescent="0.25">
      <c r="A669" t="s">
        <v>1655</v>
      </c>
      <c r="B669">
        <v>42244</v>
      </c>
      <c r="C669" t="str">
        <f t="shared" si="60"/>
        <v>2015</v>
      </c>
      <c r="D669" t="s">
        <v>826</v>
      </c>
      <c r="E669" t="s">
        <v>352</v>
      </c>
      <c r="F669" t="s">
        <v>257</v>
      </c>
      <c r="G669" t="s">
        <v>258</v>
      </c>
      <c r="H669" t="s">
        <v>293</v>
      </c>
      <c r="I669" t="s">
        <v>275</v>
      </c>
      <c r="J669" t="s">
        <v>261</v>
      </c>
      <c r="K669" t="s">
        <v>617</v>
      </c>
      <c r="L669" t="s">
        <v>245</v>
      </c>
      <c r="M669" t="s">
        <v>246</v>
      </c>
      <c r="N669" t="s">
        <v>247</v>
      </c>
      <c r="O669">
        <v>42246</v>
      </c>
      <c r="P669">
        <v>1.94</v>
      </c>
      <c r="Q669">
        <v>3.08</v>
      </c>
      <c r="R669">
        <f t="shared" si="61"/>
        <v>1.1400000000000001</v>
      </c>
      <c r="S669">
        <v>6</v>
      </c>
      <c r="T669">
        <f t="shared" si="62"/>
        <v>18.48</v>
      </c>
      <c r="U669">
        <v>0.02</v>
      </c>
      <c r="V669">
        <f t="shared" si="63"/>
        <v>0.36960000000000004</v>
      </c>
      <c r="W669">
        <f t="shared" si="64"/>
        <v>18.110400000000002</v>
      </c>
      <c r="X669">
        <v>0.99</v>
      </c>
      <c r="Y669">
        <f t="shared" si="65"/>
        <v>19.1004</v>
      </c>
    </row>
    <row r="670" spans="1:25" x14ac:dyDescent="0.25">
      <c r="A670" t="s">
        <v>1656</v>
      </c>
      <c r="B670">
        <v>42246</v>
      </c>
      <c r="C670" t="str">
        <f t="shared" si="60"/>
        <v>2015</v>
      </c>
      <c r="D670" t="s">
        <v>1657</v>
      </c>
      <c r="E670" t="s">
        <v>1658</v>
      </c>
      <c r="F670" t="s">
        <v>257</v>
      </c>
      <c r="G670" t="s">
        <v>258</v>
      </c>
      <c r="H670" t="s">
        <v>259</v>
      </c>
      <c r="I670" t="s">
        <v>260</v>
      </c>
      <c r="J670" t="s">
        <v>304</v>
      </c>
      <c r="K670" t="s">
        <v>748</v>
      </c>
      <c r="L670" t="s">
        <v>268</v>
      </c>
      <c r="M670" t="s">
        <v>246</v>
      </c>
      <c r="N670" t="s">
        <v>247</v>
      </c>
      <c r="O670">
        <v>42248</v>
      </c>
      <c r="P670">
        <v>41.28</v>
      </c>
      <c r="Q670">
        <v>95.99</v>
      </c>
      <c r="R670">
        <f t="shared" si="61"/>
        <v>54.709999999999994</v>
      </c>
      <c r="S670">
        <v>26</v>
      </c>
      <c r="T670">
        <f t="shared" si="62"/>
        <v>2495.7399999999998</v>
      </c>
      <c r="U670">
        <v>0.02</v>
      </c>
      <c r="V670">
        <f t="shared" si="63"/>
        <v>49.9148</v>
      </c>
      <c r="W670">
        <f t="shared" si="64"/>
        <v>2445.8251999999998</v>
      </c>
      <c r="X670">
        <v>8.99</v>
      </c>
      <c r="Y670">
        <f t="shared" si="65"/>
        <v>2454.8151999999995</v>
      </c>
    </row>
    <row r="671" spans="1:25" x14ac:dyDescent="0.25">
      <c r="A671" t="s">
        <v>1659</v>
      </c>
      <c r="B671">
        <v>42247</v>
      </c>
      <c r="C671" t="str">
        <f t="shared" si="60"/>
        <v>2015</v>
      </c>
      <c r="D671" t="s">
        <v>1660</v>
      </c>
      <c r="E671" t="s">
        <v>1661</v>
      </c>
      <c r="F671" t="s">
        <v>448</v>
      </c>
      <c r="G671" t="s">
        <v>449</v>
      </c>
      <c r="H671" t="s">
        <v>274</v>
      </c>
      <c r="I671" t="s">
        <v>381</v>
      </c>
      <c r="J671" t="s">
        <v>279</v>
      </c>
      <c r="K671" t="s">
        <v>533</v>
      </c>
      <c r="L671" t="s">
        <v>245</v>
      </c>
      <c r="M671" t="s">
        <v>246</v>
      </c>
      <c r="N671" t="s">
        <v>247</v>
      </c>
      <c r="O671">
        <v>42247</v>
      </c>
      <c r="P671">
        <v>3.4</v>
      </c>
      <c r="Q671">
        <v>5.4</v>
      </c>
      <c r="R671">
        <f t="shared" si="61"/>
        <v>2.0000000000000004</v>
      </c>
      <c r="S671">
        <v>14</v>
      </c>
      <c r="T671">
        <f t="shared" si="62"/>
        <v>75.600000000000009</v>
      </c>
      <c r="U671">
        <v>0.02</v>
      </c>
      <c r="V671">
        <f t="shared" si="63"/>
        <v>1.5120000000000002</v>
      </c>
      <c r="W671">
        <f t="shared" si="64"/>
        <v>74.088000000000008</v>
      </c>
      <c r="X671">
        <v>7.78</v>
      </c>
      <c r="Y671">
        <f t="shared" si="65"/>
        <v>81.868000000000009</v>
      </c>
    </row>
    <row r="672" spans="1:25" x14ac:dyDescent="0.25">
      <c r="A672" t="s">
        <v>1662</v>
      </c>
      <c r="B672">
        <v>42247</v>
      </c>
      <c r="C672" t="str">
        <f t="shared" si="60"/>
        <v>2015</v>
      </c>
      <c r="D672" t="s">
        <v>1663</v>
      </c>
      <c r="E672" t="s">
        <v>633</v>
      </c>
      <c r="F672" t="s">
        <v>239</v>
      </c>
      <c r="G672" t="s">
        <v>240</v>
      </c>
      <c r="H672" t="s">
        <v>241</v>
      </c>
      <c r="I672" t="s">
        <v>242</v>
      </c>
      <c r="J672" t="s">
        <v>261</v>
      </c>
      <c r="K672" t="s">
        <v>607</v>
      </c>
      <c r="L672" t="s">
        <v>245</v>
      </c>
      <c r="M672" t="s">
        <v>246</v>
      </c>
      <c r="N672" t="s">
        <v>247</v>
      </c>
      <c r="O672">
        <v>42248</v>
      </c>
      <c r="P672">
        <v>4.46</v>
      </c>
      <c r="Q672">
        <v>10.89</v>
      </c>
      <c r="R672">
        <f t="shared" si="61"/>
        <v>6.4300000000000006</v>
      </c>
      <c r="S672">
        <v>50</v>
      </c>
      <c r="T672">
        <f t="shared" si="62"/>
        <v>544.5</v>
      </c>
      <c r="U672">
        <v>0.09</v>
      </c>
      <c r="V672">
        <f t="shared" si="63"/>
        <v>49.004999999999995</v>
      </c>
      <c r="W672">
        <f t="shared" si="64"/>
        <v>495.495</v>
      </c>
      <c r="X672">
        <v>4.5</v>
      </c>
      <c r="Y672">
        <f t="shared" si="65"/>
        <v>499.995</v>
      </c>
    </row>
    <row r="673" spans="1:25" x14ac:dyDescent="0.25">
      <c r="A673" t="s">
        <v>1664</v>
      </c>
      <c r="B673">
        <v>42249</v>
      </c>
      <c r="C673" t="str">
        <f t="shared" si="60"/>
        <v>2015</v>
      </c>
      <c r="D673" t="s">
        <v>1231</v>
      </c>
      <c r="E673" t="s">
        <v>558</v>
      </c>
      <c r="F673" t="s">
        <v>257</v>
      </c>
      <c r="G673" t="s">
        <v>258</v>
      </c>
      <c r="H673" t="s">
        <v>241</v>
      </c>
      <c r="I673" t="s">
        <v>333</v>
      </c>
      <c r="J673" t="s">
        <v>304</v>
      </c>
      <c r="K673" t="s">
        <v>482</v>
      </c>
      <c r="L673" t="s">
        <v>268</v>
      </c>
      <c r="M673" t="s">
        <v>246</v>
      </c>
      <c r="N673" t="s">
        <v>247</v>
      </c>
      <c r="O673">
        <v>42252</v>
      </c>
      <c r="P673">
        <v>60.59</v>
      </c>
      <c r="Q673">
        <v>100.98</v>
      </c>
      <c r="R673">
        <f t="shared" si="61"/>
        <v>40.39</v>
      </c>
      <c r="S673">
        <v>9</v>
      </c>
      <c r="T673">
        <f t="shared" si="62"/>
        <v>908.82</v>
      </c>
      <c r="U673">
        <v>0.1</v>
      </c>
      <c r="V673">
        <f t="shared" si="63"/>
        <v>90.882000000000005</v>
      </c>
      <c r="W673">
        <f t="shared" si="64"/>
        <v>817.9380000000001</v>
      </c>
      <c r="X673">
        <v>7.18</v>
      </c>
      <c r="Y673">
        <f t="shared" si="65"/>
        <v>825.11800000000005</v>
      </c>
    </row>
    <row r="674" spans="1:25" x14ac:dyDescent="0.25">
      <c r="A674" t="s">
        <v>1665</v>
      </c>
      <c r="B674">
        <v>42249</v>
      </c>
      <c r="C674" t="str">
        <f t="shared" si="60"/>
        <v>2015</v>
      </c>
      <c r="D674" t="s">
        <v>766</v>
      </c>
      <c r="E674" t="s">
        <v>767</v>
      </c>
      <c r="F674" t="s">
        <v>257</v>
      </c>
      <c r="G674" t="s">
        <v>258</v>
      </c>
      <c r="H674" t="s">
        <v>259</v>
      </c>
      <c r="I674" t="s">
        <v>260</v>
      </c>
      <c r="J674" t="s">
        <v>304</v>
      </c>
      <c r="K674" t="s">
        <v>464</v>
      </c>
      <c r="L674" t="s">
        <v>268</v>
      </c>
      <c r="M674" t="s">
        <v>246</v>
      </c>
      <c r="N674" t="s">
        <v>247</v>
      </c>
      <c r="O674">
        <v>42251</v>
      </c>
      <c r="P674">
        <v>156.5</v>
      </c>
      <c r="Q674">
        <v>300.97000000000003</v>
      </c>
      <c r="R674">
        <f t="shared" si="61"/>
        <v>144.47000000000003</v>
      </c>
      <c r="S674">
        <v>20</v>
      </c>
      <c r="T674">
        <f t="shared" si="62"/>
        <v>6019.4000000000005</v>
      </c>
      <c r="U674">
        <v>0.05</v>
      </c>
      <c r="V674">
        <f t="shared" si="63"/>
        <v>300.97000000000003</v>
      </c>
      <c r="W674">
        <f t="shared" si="64"/>
        <v>5718.43</v>
      </c>
      <c r="X674">
        <v>7.18</v>
      </c>
      <c r="Y674">
        <f t="shared" si="65"/>
        <v>5725.6100000000006</v>
      </c>
    </row>
    <row r="675" spans="1:25" x14ac:dyDescent="0.25">
      <c r="A675" t="s">
        <v>1666</v>
      </c>
      <c r="B675">
        <v>42250</v>
      </c>
      <c r="C675" t="str">
        <f t="shared" si="60"/>
        <v>2015</v>
      </c>
      <c r="D675" t="s">
        <v>705</v>
      </c>
      <c r="E675" t="s">
        <v>706</v>
      </c>
      <c r="F675" t="s">
        <v>257</v>
      </c>
      <c r="G675" t="s">
        <v>258</v>
      </c>
      <c r="H675" t="s">
        <v>259</v>
      </c>
      <c r="I675" t="s">
        <v>299</v>
      </c>
      <c r="J675" t="s">
        <v>279</v>
      </c>
      <c r="K675" t="s">
        <v>607</v>
      </c>
      <c r="L675" t="s">
        <v>245</v>
      </c>
      <c r="M675" t="s">
        <v>246</v>
      </c>
      <c r="N675" t="s">
        <v>247</v>
      </c>
      <c r="O675">
        <v>42254</v>
      </c>
      <c r="P675">
        <v>4.46</v>
      </c>
      <c r="Q675">
        <v>10.89</v>
      </c>
      <c r="R675">
        <f t="shared" si="61"/>
        <v>6.4300000000000006</v>
      </c>
      <c r="S675">
        <v>3</v>
      </c>
      <c r="T675">
        <f t="shared" si="62"/>
        <v>32.67</v>
      </c>
      <c r="U675">
        <v>0.08</v>
      </c>
      <c r="V675">
        <f t="shared" si="63"/>
        <v>2.6136000000000004</v>
      </c>
      <c r="W675">
        <f t="shared" si="64"/>
        <v>30.0564</v>
      </c>
      <c r="X675">
        <v>4.5</v>
      </c>
      <c r="Y675">
        <f t="shared" si="65"/>
        <v>34.556399999999996</v>
      </c>
    </row>
    <row r="676" spans="1:25" x14ac:dyDescent="0.25">
      <c r="A676" t="s">
        <v>1667</v>
      </c>
      <c r="B676">
        <v>42251</v>
      </c>
      <c r="C676" t="str">
        <f t="shared" si="60"/>
        <v>2015</v>
      </c>
      <c r="D676" t="s">
        <v>1668</v>
      </c>
      <c r="E676" t="s">
        <v>528</v>
      </c>
      <c r="F676" t="s">
        <v>239</v>
      </c>
      <c r="G676" t="s">
        <v>240</v>
      </c>
      <c r="H676" t="s">
        <v>274</v>
      </c>
      <c r="I676" t="s">
        <v>251</v>
      </c>
      <c r="J676" t="s">
        <v>304</v>
      </c>
      <c r="K676" t="s">
        <v>267</v>
      </c>
      <c r="L676" t="s">
        <v>268</v>
      </c>
      <c r="M676" t="s">
        <v>269</v>
      </c>
      <c r="N676" t="s">
        <v>270</v>
      </c>
      <c r="O676">
        <v>42253</v>
      </c>
      <c r="P676">
        <v>75</v>
      </c>
      <c r="Q676">
        <v>120.97</v>
      </c>
      <c r="R676">
        <f t="shared" si="61"/>
        <v>45.97</v>
      </c>
      <c r="S676">
        <v>46</v>
      </c>
      <c r="T676">
        <f t="shared" si="62"/>
        <v>5564.62</v>
      </c>
      <c r="U676">
        <v>7.0000000000000007E-2</v>
      </c>
      <c r="V676">
        <f t="shared" si="63"/>
        <v>389.52340000000004</v>
      </c>
      <c r="W676">
        <f t="shared" si="64"/>
        <v>5175.0965999999999</v>
      </c>
      <c r="X676">
        <v>26.3</v>
      </c>
      <c r="Y676">
        <f t="shared" si="65"/>
        <v>5201.3966</v>
      </c>
    </row>
    <row r="677" spans="1:25" x14ac:dyDescent="0.25">
      <c r="A677" t="s">
        <v>1669</v>
      </c>
      <c r="B677">
        <v>42253</v>
      </c>
      <c r="C677" t="str">
        <f t="shared" si="60"/>
        <v>2015</v>
      </c>
      <c r="D677" t="s">
        <v>539</v>
      </c>
      <c r="E677" t="s">
        <v>540</v>
      </c>
      <c r="F677" t="s">
        <v>448</v>
      </c>
      <c r="G677" t="s">
        <v>449</v>
      </c>
      <c r="H677" t="s">
        <v>259</v>
      </c>
      <c r="I677" t="s">
        <v>299</v>
      </c>
      <c r="J677" t="s">
        <v>261</v>
      </c>
      <c r="K677" t="s">
        <v>482</v>
      </c>
      <c r="L677" t="s">
        <v>268</v>
      </c>
      <c r="M677" t="s">
        <v>246</v>
      </c>
      <c r="N677" t="s">
        <v>247</v>
      </c>
      <c r="O677">
        <v>42254</v>
      </c>
      <c r="P677">
        <v>60.59</v>
      </c>
      <c r="Q677">
        <v>100.98</v>
      </c>
      <c r="R677">
        <f t="shared" si="61"/>
        <v>40.39</v>
      </c>
      <c r="S677">
        <v>44</v>
      </c>
      <c r="T677">
        <f t="shared" si="62"/>
        <v>4443.12</v>
      </c>
      <c r="U677">
        <v>0.09</v>
      </c>
      <c r="V677">
        <f t="shared" si="63"/>
        <v>399.88079999999997</v>
      </c>
      <c r="W677">
        <f t="shared" si="64"/>
        <v>4043.2392</v>
      </c>
      <c r="X677">
        <v>7.18</v>
      </c>
      <c r="Y677">
        <f t="shared" si="65"/>
        <v>4050.4191999999998</v>
      </c>
    </row>
    <row r="678" spans="1:25" x14ac:dyDescent="0.25">
      <c r="A678" t="s">
        <v>1670</v>
      </c>
      <c r="B678">
        <v>42254</v>
      </c>
      <c r="C678" t="str">
        <f t="shared" si="60"/>
        <v>2015</v>
      </c>
      <c r="D678" t="s">
        <v>1671</v>
      </c>
      <c r="E678" t="s">
        <v>546</v>
      </c>
      <c r="F678" t="s">
        <v>257</v>
      </c>
      <c r="G678" t="s">
        <v>258</v>
      </c>
      <c r="H678" t="s">
        <v>293</v>
      </c>
      <c r="I678" t="s">
        <v>260</v>
      </c>
      <c r="J678" t="s">
        <v>243</v>
      </c>
      <c r="K678" t="s">
        <v>387</v>
      </c>
      <c r="L678" t="s">
        <v>245</v>
      </c>
      <c r="M678" t="s">
        <v>323</v>
      </c>
      <c r="N678" t="s">
        <v>247</v>
      </c>
      <c r="O678">
        <v>42256</v>
      </c>
      <c r="P678">
        <v>4.79</v>
      </c>
      <c r="Q678">
        <v>11.97</v>
      </c>
      <c r="R678">
        <f t="shared" si="61"/>
        <v>7.1800000000000006</v>
      </c>
      <c r="S678">
        <v>48</v>
      </c>
      <c r="T678">
        <f t="shared" si="62"/>
        <v>574.56000000000006</v>
      </c>
      <c r="U678">
        <v>0.02</v>
      </c>
      <c r="V678">
        <f t="shared" si="63"/>
        <v>11.491200000000001</v>
      </c>
      <c r="W678">
        <f t="shared" si="64"/>
        <v>563.06880000000001</v>
      </c>
      <c r="X678">
        <v>5.81</v>
      </c>
      <c r="Y678">
        <f t="shared" si="65"/>
        <v>568.87879999999996</v>
      </c>
    </row>
    <row r="679" spans="1:25" x14ac:dyDescent="0.25">
      <c r="A679" t="s">
        <v>1672</v>
      </c>
      <c r="B679">
        <v>42255</v>
      </c>
      <c r="C679" t="str">
        <f t="shared" si="60"/>
        <v>2015</v>
      </c>
      <c r="D679" t="s">
        <v>506</v>
      </c>
      <c r="E679" t="s">
        <v>507</v>
      </c>
      <c r="F679" t="s">
        <v>257</v>
      </c>
      <c r="G679" t="s">
        <v>258</v>
      </c>
      <c r="H679" t="s">
        <v>259</v>
      </c>
      <c r="I679" t="s">
        <v>381</v>
      </c>
      <c r="J679" t="s">
        <v>243</v>
      </c>
      <c r="K679" t="s">
        <v>698</v>
      </c>
      <c r="L679" t="s">
        <v>245</v>
      </c>
      <c r="M679" t="s">
        <v>253</v>
      </c>
      <c r="N679" t="s">
        <v>247</v>
      </c>
      <c r="O679">
        <v>42257</v>
      </c>
      <c r="P679">
        <v>3.32</v>
      </c>
      <c r="Q679">
        <v>5.18</v>
      </c>
      <c r="R679">
        <f t="shared" si="61"/>
        <v>1.8599999999999999</v>
      </c>
      <c r="S679">
        <v>20</v>
      </c>
      <c r="T679">
        <f t="shared" si="62"/>
        <v>103.6</v>
      </c>
      <c r="U679">
        <v>0.06</v>
      </c>
      <c r="V679">
        <f t="shared" si="63"/>
        <v>6.2159999999999993</v>
      </c>
      <c r="W679">
        <f t="shared" si="64"/>
        <v>97.384</v>
      </c>
      <c r="X679">
        <v>2.04</v>
      </c>
      <c r="Y679">
        <f t="shared" si="65"/>
        <v>99.424000000000007</v>
      </c>
    </row>
    <row r="680" spans="1:25" x14ac:dyDescent="0.25">
      <c r="A680" t="s">
        <v>1673</v>
      </c>
      <c r="B680">
        <v>42255</v>
      </c>
      <c r="C680" t="str">
        <f t="shared" si="60"/>
        <v>2015</v>
      </c>
      <c r="D680" t="s">
        <v>358</v>
      </c>
      <c r="E680" t="s">
        <v>359</v>
      </c>
      <c r="F680" t="s">
        <v>239</v>
      </c>
      <c r="G680" t="s">
        <v>240</v>
      </c>
      <c r="H680" t="s">
        <v>293</v>
      </c>
      <c r="I680" t="s">
        <v>251</v>
      </c>
      <c r="J680" t="s">
        <v>243</v>
      </c>
      <c r="K680" t="s">
        <v>582</v>
      </c>
      <c r="L680" t="s">
        <v>245</v>
      </c>
      <c r="M680" t="s">
        <v>253</v>
      </c>
      <c r="N680" t="s">
        <v>247</v>
      </c>
      <c r="O680">
        <v>42257</v>
      </c>
      <c r="P680">
        <v>0.24</v>
      </c>
      <c r="Q680">
        <v>1.26</v>
      </c>
      <c r="R680">
        <f t="shared" si="61"/>
        <v>1.02</v>
      </c>
      <c r="S680">
        <v>31</v>
      </c>
      <c r="T680">
        <f t="shared" si="62"/>
        <v>39.06</v>
      </c>
      <c r="U680">
        <v>0.06</v>
      </c>
      <c r="V680">
        <f t="shared" si="63"/>
        <v>2.3435999999999999</v>
      </c>
      <c r="W680">
        <f t="shared" si="64"/>
        <v>36.7164</v>
      </c>
      <c r="X680">
        <v>0.7</v>
      </c>
      <c r="Y680">
        <f t="shared" si="65"/>
        <v>37.416400000000003</v>
      </c>
    </row>
    <row r="681" spans="1:25" x14ac:dyDescent="0.25">
      <c r="A681" t="s">
        <v>1674</v>
      </c>
      <c r="B681">
        <v>42257</v>
      </c>
      <c r="C681" t="str">
        <f t="shared" si="60"/>
        <v>2015</v>
      </c>
      <c r="D681" t="s">
        <v>1112</v>
      </c>
      <c r="E681" t="s">
        <v>1041</v>
      </c>
      <c r="F681" t="s">
        <v>257</v>
      </c>
      <c r="G681" t="s">
        <v>258</v>
      </c>
      <c r="H681" t="s">
        <v>259</v>
      </c>
      <c r="I681" t="s">
        <v>372</v>
      </c>
      <c r="J681" t="s">
        <v>261</v>
      </c>
      <c r="K681" t="s">
        <v>472</v>
      </c>
      <c r="L681" t="s">
        <v>245</v>
      </c>
      <c r="M681" t="s">
        <v>246</v>
      </c>
      <c r="N681" t="s">
        <v>263</v>
      </c>
      <c r="O681">
        <v>42258</v>
      </c>
      <c r="P681">
        <v>2.25</v>
      </c>
      <c r="Q681">
        <v>3.69</v>
      </c>
      <c r="R681">
        <f t="shared" si="61"/>
        <v>1.44</v>
      </c>
      <c r="S681">
        <v>23</v>
      </c>
      <c r="T681">
        <f t="shared" si="62"/>
        <v>84.87</v>
      </c>
      <c r="U681">
        <v>0.02</v>
      </c>
      <c r="V681">
        <f t="shared" si="63"/>
        <v>1.6974</v>
      </c>
      <c r="W681">
        <f t="shared" si="64"/>
        <v>83.172600000000003</v>
      </c>
      <c r="X681">
        <v>2.5</v>
      </c>
      <c r="Y681">
        <f t="shared" si="65"/>
        <v>85.672600000000003</v>
      </c>
    </row>
    <row r="682" spans="1:25" x14ac:dyDescent="0.25">
      <c r="A682" t="s">
        <v>1675</v>
      </c>
      <c r="B682">
        <v>42258</v>
      </c>
      <c r="C682" t="str">
        <f t="shared" si="60"/>
        <v>2015</v>
      </c>
      <c r="D682" t="s">
        <v>1676</v>
      </c>
      <c r="E682" t="s">
        <v>709</v>
      </c>
      <c r="F682" t="s">
        <v>257</v>
      </c>
      <c r="G682" t="s">
        <v>258</v>
      </c>
      <c r="H682" t="s">
        <v>274</v>
      </c>
      <c r="I682" t="s">
        <v>275</v>
      </c>
      <c r="J682" t="s">
        <v>294</v>
      </c>
      <c r="K682" t="s">
        <v>817</v>
      </c>
      <c r="L682" t="s">
        <v>245</v>
      </c>
      <c r="M682" t="s">
        <v>253</v>
      </c>
      <c r="N682" t="s">
        <v>263</v>
      </c>
      <c r="O682">
        <v>42258</v>
      </c>
      <c r="P682">
        <v>1.76</v>
      </c>
      <c r="Q682">
        <v>2.94</v>
      </c>
      <c r="R682">
        <f t="shared" si="61"/>
        <v>1.18</v>
      </c>
      <c r="S682">
        <v>47</v>
      </c>
      <c r="T682">
        <f t="shared" si="62"/>
        <v>138.18</v>
      </c>
      <c r="U682">
        <v>0.04</v>
      </c>
      <c r="V682">
        <f t="shared" si="63"/>
        <v>5.5272000000000006</v>
      </c>
      <c r="W682">
        <f t="shared" si="64"/>
        <v>132.65280000000001</v>
      </c>
      <c r="X682">
        <v>0.81</v>
      </c>
      <c r="Y682">
        <f t="shared" si="65"/>
        <v>133.46280000000002</v>
      </c>
    </row>
    <row r="683" spans="1:25" x14ac:dyDescent="0.25">
      <c r="A683" t="s">
        <v>1677</v>
      </c>
      <c r="B683">
        <v>42259</v>
      </c>
      <c r="C683" t="str">
        <f t="shared" si="60"/>
        <v>2015</v>
      </c>
      <c r="D683" t="s">
        <v>975</v>
      </c>
      <c r="E683" t="s">
        <v>856</v>
      </c>
      <c r="F683" t="s">
        <v>239</v>
      </c>
      <c r="G683" t="s">
        <v>240</v>
      </c>
      <c r="H683" t="s">
        <v>293</v>
      </c>
      <c r="I683" t="s">
        <v>251</v>
      </c>
      <c r="J683" t="s">
        <v>294</v>
      </c>
      <c r="K683" t="s">
        <v>1051</v>
      </c>
      <c r="L683" t="s">
        <v>245</v>
      </c>
      <c r="M683" t="s">
        <v>253</v>
      </c>
      <c r="N683" t="s">
        <v>247</v>
      </c>
      <c r="O683">
        <v>42260</v>
      </c>
      <c r="P683">
        <v>0.87</v>
      </c>
      <c r="Q683">
        <v>1.81</v>
      </c>
      <c r="R683">
        <f t="shared" si="61"/>
        <v>0.94000000000000006</v>
      </c>
      <c r="S683">
        <v>6</v>
      </c>
      <c r="T683">
        <f t="shared" si="62"/>
        <v>10.86</v>
      </c>
      <c r="U683">
        <v>7.0000000000000007E-2</v>
      </c>
      <c r="V683">
        <f t="shared" si="63"/>
        <v>0.76019999999999999</v>
      </c>
      <c r="W683">
        <f t="shared" si="64"/>
        <v>10.0998</v>
      </c>
      <c r="X683">
        <v>0.75</v>
      </c>
      <c r="Y683">
        <f t="shared" si="65"/>
        <v>10.8498</v>
      </c>
    </row>
    <row r="684" spans="1:25" x14ac:dyDescent="0.25">
      <c r="A684" t="s">
        <v>1678</v>
      </c>
      <c r="B684">
        <v>42262</v>
      </c>
      <c r="C684" t="str">
        <f t="shared" si="60"/>
        <v>2015</v>
      </c>
      <c r="D684" t="s">
        <v>1679</v>
      </c>
      <c r="E684" t="s">
        <v>650</v>
      </c>
      <c r="F684" t="s">
        <v>257</v>
      </c>
      <c r="G684" t="s">
        <v>258</v>
      </c>
      <c r="H684" t="s">
        <v>259</v>
      </c>
      <c r="I684" t="s">
        <v>299</v>
      </c>
      <c r="J684" t="s">
        <v>261</v>
      </c>
      <c r="K684" t="s">
        <v>656</v>
      </c>
      <c r="L684" t="s">
        <v>245</v>
      </c>
      <c r="M684" t="s">
        <v>253</v>
      </c>
      <c r="N684" t="s">
        <v>247</v>
      </c>
      <c r="O684">
        <v>42264</v>
      </c>
      <c r="P684">
        <v>0.93</v>
      </c>
      <c r="Q684">
        <v>1.48</v>
      </c>
      <c r="R684">
        <f t="shared" si="61"/>
        <v>0.54999999999999993</v>
      </c>
      <c r="S684">
        <v>1</v>
      </c>
      <c r="T684">
        <f t="shared" si="62"/>
        <v>1.48</v>
      </c>
      <c r="U684">
        <v>0.01</v>
      </c>
      <c r="V684">
        <f t="shared" si="63"/>
        <v>1.4800000000000001E-2</v>
      </c>
      <c r="W684">
        <f t="shared" si="64"/>
        <v>1.4652000000000001</v>
      </c>
      <c r="X684">
        <v>0.7</v>
      </c>
      <c r="Y684">
        <f t="shared" si="65"/>
        <v>2.1652</v>
      </c>
    </row>
    <row r="685" spans="1:25" x14ac:dyDescent="0.25">
      <c r="A685" t="s">
        <v>1680</v>
      </c>
      <c r="B685">
        <v>42263</v>
      </c>
      <c r="C685" t="str">
        <f t="shared" si="60"/>
        <v>2015</v>
      </c>
      <c r="D685" t="s">
        <v>557</v>
      </c>
      <c r="E685" t="s">
        <v>558</v>
      </c>
      <c r="F685" t="s">
        <v>257</v>
      </c>
      <c r="G685" t="s">
        <v>258</v>
      </c>
      <c r="H685" t="s">
        <v>259</v>
      </c>
      <c r="I685" t="s">
        <v>333</v>
      </c>
      <c r="J685" t="s">
        <v>279</v>
      </c>
      <c r="K685" t="s">
        <v>822</v>
      </c>
      <c r="L685" t="s">
        <v>245</v>
      </c>
      <c r="M685" t="s">
        <v>323</v>
      </c>
      <c r="N685" t="s">
        <v>263</v>
      </c>
      <c r="O685">
        <v>42268</v>
      </c>
      <c r="P685">
        <v>3.51</v>
      </c>
      <c r="Q685">
        <v>8.57</v>
      </c>
      <c r="R685">
        <f t="shared" si="61"/>
        <v>5.0600000000000005</v>
      </c>
      <c r="S685">
        <v>49</v>
      </c>
      <c r="T685">
        <f t="shared" si="62"/>
        <v>419.93</v>
      </c>
      <c r="U685">
        <v>0.01</v>
      </c>
      <c r="V685">
        <f t="shared" si="63"/>
        <v>4.1993</v>
      </c>
      <c r="W685">
        <f t="shared" si="64"/>
        <v>415.73070000000001</v>
      </c>
      <c r="X685">
        <v>6.14</v>
      </c>
      <c r="Y685">
        <f t="shared" si="65"/>
        <v>421.8707</v>
      </c>
    </row>
    <row r="686" spans="1:25" x14ac:dyDescent="0.25">
      <c r="A686" t="s">
        <v>1681</v>
      </c>
      <c r="B686">
        <v>42264</v>
      </c>
      <c r="C686" t="str">
        <f t="shared" si="60"/>
        <v>2015</v>
      </c>
      <c r="D686" t="s">
        <v>1671</v>
      </c>
      <c r="E686" t="s">
        <v>546</v>
      </c>
      <c r="F686" t="s">
        <v>257</v>
      </c>
      <c r="G686" t="s">
        <v>258</v>
      </c>
      <c r="H686" t="s">
        <v>293</v>
      </c>
      <c r="I686" t="s">
        <v>260</v>
      </c>
      <c r="J686" t="s">
        <v>294</v>
      </c>
      <c r="K686" t="s">
        <v>338</v>
      </c>
      <c r="L686" t="s">
        <v>245</v>
      </c>
      <c r="M686" t="s">
        <v>253</v>
      </c>
      <c r="N686" t="s">
        <v>247</v>
      </c>
      <c r="O686">
        <v>42264</v>
      </c>
      <c r="P686">
        <v>1.82</v>
      </c>
      <c r="Q686">
        <v>2.98</v>
      </c>
      <c r="R686">
        <f t="shared" si="61"/>
        <v>1.1599999999999999</v>
      </c>
      <c r="S686">
        <v>3</v>
      </c>
      <c r="T686">
        <f t="shared" si="62"/>
        <v>8.94</v>
      </c>
      <c r="U686">
        <v>0.04</v>
      </c>
      <c r="V686">
        <f t="shared" si="63"/>
        <v>0.35759999999999997</v>
      </c>
      <c r="W686">
        <f t="shared" si="64"/>
        <v>8.5823999999999998</v>
      </c>
      <c r="X686">
        <v>1.58</v>
      </c>
      <c r="Y686">
        <f t="shared" si="65"/>
        <v>10.1624</v>
      </c>
    </row>
    <row r="687" spans="1:25" x14ac:dyDescent="0.25">
      <c r="A687" t="s">
        <v>1682</v>
      </c>
      <c r="B687">
        <v>42272</v>
      </c>
      <c r="C687" t="str">
        <f t="shared" si="60"/>
        <v>2015</v>
      </c>
      <c r="D687" t="s">
        <v>554</v>
      </c>
      <c r="E687" t="s">
        <v>367</v>
      </c>
      <c r="F687" t="s">
        <v>239</v>
      </c>
      <c r="G687" t="s">
        <v>240</v>
      </c>
      <c r="H687" t="s">
        <v>241</v>
      </c>
      <c r="I687" t="s">
        <v>251</v>
      </c>
      <c r="J687" t="s">
        <v>294</v>
      </c>
      <c r="K687" t="s">
        <v>443</v>
      </c>
      <c r="L687" t="s">
        <v>245</v>
      </c>
      <c r="M687" t="s">
        <v>246</v>
      </c>
      <c r="N687" t="s">
        <v>247</v>
      </c>
      <c r="O687">
        <v>42273</v>
      </c>
      <c r="P687">
        <v>13.64</v>
      </c>
      <c r="Q687">
        <v>20.98</v>
      </c>
      <c r="R687">
        <f t="shared" si="61"/>
        <v>7.34</v>
      </c>
      <c r="S687">
        <v>10</v>
      </c>
      <c r="T687">
        <f t="shared" si="62"/>
        <v>209.8</v>
      </c>
      <c r="U687">
        <v>0.06</v>
      </c>
      <c r="V687">
        <f t="shared" si="63"/>
        <v>12.588000000000001</v>
      </c>
      <c r="W687">
        <f t="shared" si="64"/>
        <v>197.21200000000002</v>
      </c>
      <c r="X687">
        <v>1.49</v>
      </c>
      <c r="Y687">
        <f t="shared" si="65"/>
        <v>198.70200000000003</v>
      </c>
    </row>
    <row r="688" spans="1:25" x14ac:dyDescent="0.25">
      <c r="A688" t="s">
        <v>1683</v>
      </c>
      <c r="B688">
        <v>42272</v>
      </c>
      <c r="C688" t="str">
        <f t="shared" si="60"/>
        <v>2015</v>
      </c>
      <c r="D688" t="s">
        <v>1684</v>
      </c>
      <c r="E688" t="s">
        <v>1001</v>
      </c>
      <c r="F688" t="s">
        <v>239</v>
      </c>
      <c r="G688" t="s">
        <v>240</v>
      </c>
      <c r="H688" t="s">
        <v>259</v>
      </c>
      <c r="I688" t="s">
        <v>251</v>
      </c>
      <c r="J688" t="s">
        <v>261</v>
      </c>
      <c r="K688" t="s">
        <v>661</v>
      </c>
      <c r="L688" t="s">
        <v>245</v>
      </c>
      <c r="M688" t="s">
        <v>246</v>
      </c>
      <c r="N688" t="s">
        <v>247</v>
      </c>
      <c r="O688">
        <v>42274</v>
      </c>
      <c r="P688">
        <v>2.1800000000000002</v>
      </c>
      <c r="Q688">
        <v>3.52</v>
      </c>
      <c r="R688">
        <f t="shared" si="61"/>
        <v>1.3399999999999999</v>
      </c>
      <c r="S688">
        <v>13</v>
      </c>
      <c r="T688">
        <f t="shared" si="62"/>
        <v>45.76</v>
      </c>
      <c r="U688">
        <v>0.08</v>
      </c>
      <c r="V688">
        <f t="shared" si="63"/>
        <v>3.6608000000000001</v>
      </c>
      <c r="W688">
        <f t="shared" si="64"/>
        <v>42.099199999999996</v>
      </c>
      <c r="X688">
        <v>6.83</v>
      </c>
      <c r="Y688">
        <f t="shared" si="65"/>
        <v>48.929199999999994</v>
      </c>
    </row>
    <row r="689" spans="1:25" x14ac:dyDescent="0.25">
      <c r="A689" t="s">
        <v>1685</v>
      </c>
      <c r="B689">
        <v>42273</v>
      </c>
      <c r="C689" t="str">
        <f t="shared" si="60"/>
        <v>2015</v>
      </c>
      <c r="D689" t="s">
        <v>958</v>
      </c>
      <c r="E689" t="s">
        <v>727</v>
      </c>
      <c r="F689" t="s">
        <v>257</v>
      </c>
      <c r="G689" t="s">
        <v>258</v>
      </c>
      <c r="H689" t="s">
        <v>259</v>
      </c>
      <c r="I689" t="s">
        <v>333</v>
      </c>
      <c r="J689" t="s">
        <v>243</v>
      </c>
      <c r="K689" t="s">
        <v>533</v>
      </c>
      <c r="L689" t="s">
        <v>245</v>
      </c>
      <c r="M689" t="s">
        <v>246</v>
      </c>
      <c r="N689" t="s">
        <v>247</v>
      </c>
      <c r="O689">
        <v>42275</v>
      </c>
      <c r="P689">
        <v>3.4</v>
      </c>
      <c r="Q689">
        <v>5.4</v>
      </c>
      <c r="R689">
        <f t="shared" si="61"/>
        <v>2.0000000000000004</v>
      </c>
      <c r="S689">
        <v>10</v>
      </c>
      <c r="T689">
        <f t="shared" si="62"/>
        <v>54</v>
      </c>
      <c r="U689">
        <v>0.04</v>
      </c>
      <c r="V689">
        <f t="shared" si="63"/>
        <v>2.16</v>
      </c>
      <c r="W689">
        <f t="shared" si="64"/>
        <v>51.84</v>
      </c>
      <c r="X689">
        <v>7.78</v>
      </c>
      <c r="Y689">
        <f t="shared" si="65"/>
        <v>59.620000000000005</v>
      </c>
    </row>
    <row r="690" spans="1:25" x14ac:dyDescent="0.25">
      <c r="A690" t="s">
        <v>1686</v>
      </c>
      <c r="B690">
        <v>42274</v>
      </c>
      <c r="C690" t="str">
        <f t="shared" si="60"/>
        <v>2015</v>
      </c>
      <c r="D690" t="s">
        <v>1687</v>
      </c>
      <c r="E690" t="s">
        <v>1439</v>
      </c>
      <c r="F690" t="s">
        <v>257</v>
      </c>
      <c r="G690" t="s">
        <v>258</v>
      </c>
      <c r="H690" t="s">
        <v>293</v>
      </c>
      <c r="I690" t="s">
        <v>333</v>
      </c>
      <c r="J690" t="s">
        <v>294</v>
      </c>
      <c r="K690" t="s">
        <v>475</v>
      </c>
      <c r="L690" t="s">
        <v>245</v>
      </c>
      <c r="M690" t="s">
        <v>246</v>
      </c>
      <c r="N690" t="s">
        <v>247</v>
      </c>
      <c r="O690">
        <v>42276</v>
      </c>
      <c r="P690">
        <v>12.39</v>
      </c>
      <c r="Q690">
        <v>19.98</v>
      </c>
      <c r="R690">
        <f t="shared" si="61"/>
        <v>7.59</v>
      </c>
      <c r="S690">
        <v>20</v>
      </c>
      <c r="T690">
        <f t="shared" si="62"/>
        <v>399.6</v>
      </c>
      <c r="U690">
        <v>0.05</v>
      </c>
      <c r="V690">
        <f t="shared" si="63"/>
        <v>19.980000000000004</v>
      </c>
      <c r="W690">
        <f t="shared" si="64"/>
        <v>379.62</v>
      </c>
      <c r="X690">
        <v>5.77</v>
      </c>
      <c r="Y690">
        <f t="shared" si="65"/>
        <v>385.39</v>
      </c>
    </row>
    <row r="691" spans="1:25" x14ac:dyDescent="0.25">
      <c r="A691" t="s">
        <v>1688</v>
      </c>
      <c r="B691">
        <v>42274</v>
      </c>
      <c r="C691" t="str">
        <f t="shared" si="60"/>
        <v>2015</v>
      </c>
      <c r="D691" t="s">
        <v>1461</v>
      </c>
      <c r="E691" t="s">
        <v>303</v>
      </c>
      <c r="F691" t="s">
        <v>239</v>
      </c>
      <c r="G691" t="s">
        <v>240</v>
      </c>
      <c r="H691" t="s">
        <v>259</v>
      </c>
      <c r="I691" t="s">
        <v>242</v>
      </c>
      <c r="J691" t="s">
        <v>279</v>
      </c>
      <c r="K691" t="s">
        <v>475</v>
      </c>
      <c r="L691" t="s">
        <v>245</v>
      </c>
      <c r="M691" t="s">
        <v>246</v>
      </c>
      <c r="N691" t="s">
        <v>247</v>
      </c>
      <c r="O691">
        <v>42274</v>
      </c>
      <c r="P691">
        <v>12.39</v>
      </c>
      <c r="Q691">
        <v>19.98</v>
      </c>
      <c r="R691">
        <f t="shared" si="61"/>
        <v>7.59</v>
      </c>
      <c r="S691">
        <v>34</v>
      </c>
      <c r="T691">
        <f t="shared" si="62"/>
        <v>679.32</v>
      </c>
      <c r="U691">
        <v>0.06</v>
      </c>
      <c r="V691">
        <f t="shared" si="63"/>
        <v>40.7592</v>
      </c>
      <c r="W691">
        <f t="shared" si="64"/>
        <v>638.56080000000009</v>
      </c>
      <c r="X691">
        <v>5.77</v>
      </c>
      <c r="Y691">
        <f t="shared" si="65"/>
        <v>644.33080000000007</v>
      </c>
    </row>
    <row r="692" spans="1:25" x14ac:dyDescent="0.25">
      <c r="A692" t="s">
        <v>1689</v>
      </c>
      <c r="B692">
        <v>42275</v>
      </c>
      <c r="C692" t="str">
        <f t="shared" si="60"/>
        <v>2015</v>
      </c>
      <c r="D692" t="s">
        <v>1690</v>
      </c>
      <c r="E692" t="s">
        <v>332</v>
      </c>
      <c r="F692" t="s">
        <v>257</v>
      </c>
      <c r="G692" t="s">
        <v>258</v>
      </c>
      <c r="H692" t="s">
        <v>241</v>
      </c>
      <c r="I692" t="s">
        <v>333</v>
      </c>
      <c r="J692" t="s">
        <v>294</v>
      </c>
      <c r="K692" t="s">
        <v>435</v>
      </c>
      <c r="L692" t="s">
        <v>245</v>
      </c>
      <c r="M692" t="s">
        <v>253</v>
      </c>
      <c r="N692" t="s">
        <v>247</v>
      </c>
      <c r="O692">
        <v>42277</v>
      </c>
      <c r="P692">
        <v>3.75</v>
      </c>
      <c r="Q692">
        <v>7.08</v>
      </c>
      <c r="R692">
        <f t="shared" si="61"/>
        <v>3.33</v>
      </c>
      <c r="S692">
        <v>37</v>
      </c>
      <c r="T692">
        <f t="shared" si="62"/>
        <v>261.95999999999998</v>
      </c>
      <c r="U692">
        <v>0.08</v>
      </c>
      <c r="V692">
        <f t="shared" si="63"/>
        <v>20.956799999999998</v>
      </c>
      <c r="W692">
        <f t="shared" si="64"/>
        <v>241.00319999999999</v>
      </c>
      <c r="X692">
        <v>2.35</v>
      </c>
      <c r="Y692">
        <f t="shared" si="65"/>
        <v>243.35319999999999</v>
      </c>
    </row>
    <row r="693" spans="1:25" x14ac:dyDescent="0.25">
      <c r="A693" t="s">
        <v>1691</v>
      </c>
      <c r="B693">
        <v>42276</v>
      </c>
      <c r="C693" t="str">
        <f t="shared" si="60"/>
        <v>2015</v>
      </c>
      <c r="D693" t="s">
        <v>1350</v>
      </c>
      <c r="E693" t="s">
        <v>367</v>
      </c>
      <c r="F693" t="s">
        <v>239</v>
      </c>
      <c r="G693" t="s">
        <v>240</v>
      </c>
      <c r="H693" t="s">
        <v>293</v>
      </c>
      <c r="I693" t="s">
        <v>251</v>
      </c>
      <c r="J693" t="s">
        <v>304</v>
      </c>
      <c r="K693" t="s">
        <v>653</v>
      </c>
      <c r="L693" t="s">
        <v>245</v>
      </c>
      <c r="M693" t="s">
        <v>246</v>
      </c>
      <c r="N693" t="s">
        <v>263</v>
      </c>
      <c r="O693">
        <v>42277</v>
      </c>
      <c r="P693">
        <v>3.5</v>
      </c>
      <c r="Q693">
        <v>5.74</v>
      </c>
      <c r="R693">
        <f t="shared" si="61"/>
        <v>2.2400000000000002</v>
      </c>
      <c r="S693">
        <v>26</v>
      </c>
      <c r="T693">
        <f t="shared" si="62"/>
        <v>149.24</v>
      </c>
      <c r="U693">
        <v>0.03</v>
      </c>
      <c r="V693">
        <f t="shared" si="63"/>
        <v>4.4771999999999998</v>
      </c>
      <c r="W693">
        <f t="shared" si="64"/>
        <v>144.7628</v>
      </c>
      <c r="X693">
        <v>5.01</v>
      </c>
      <c r="Y693">
        <f t="shared" si="65"/>
        <v>149.77279999999999</v>
      </c>
    </row>
    <row r="694" spans="1:25" x14ac:dyDescent="0.25">
      <c r="A694" t="s">
        <v>1692</v>
      </c>
      <c r="B694">
        <v>42278</v>
      </c>
      <c r="C694" t="str">
        <f t="shared" si="60"/>
        <v>2015</v>
      </c>
      <c r="D694" t="s">
        <v>1693</v>
      </c>
      <c r="E694" t="s">
        <v>352</v>
      </c>
      <c r="F694" t="s">
        <v>257</v>
      </c>
      <c r="G694" t="s">
        <v>258</v>
      </c>
      <c r="H694" t="s">
        <v>259</v>
      </c>
      <c r="I694" t="s">
        <v>275</v>
      </c>
      <c r="J694" t="s">
        <v>279</v>
      </c>
      <c r="K694" t="s">
        <v>1021</v>
      </c>
      <c r="L694" t="s">
        <v>245</v>
      </c>
      <c r="M694" t="s">
        <v>253</v>
      </c>
      <c r="N694" t="s">
        <v>247</v>
      </c>
      <c r="O694">
        <v>42287</v>
      </c>
      <c r="P694">
        <v>1.05</v>
      </c>
      <c r="Q694">
        <v>1.95</v>
      </c>
      <c r="R694">
        <f t="shared" si="61"/>
        <v>0.89999999999999991</v>
      </c>
      <c r="S694">
        <v>4</v>
      </c>
      <c r="T694">
        <f t="shared" si="62"/>
        <v>7.8</v>
      </c>
      <c r="U694">
        <v>0.09</v>
      </c>
      <c r="V694">
        <f t="shared" si="63"/>
        <v>0.70199999999999996</v>
      </c>
      <c r="W694">
        <f t="shared" si="64"/>
        <v>7.0979999999999999</v>
      </c>
      <c r="X694">
        <v>1.63</v>
      </c>
      <c r="Y694">
        <f t="shared" si="65"/>
        <v>8.7279999999999998</v>
      </c>
    </row>
    <row r="695" spans="1:25" x14ac:dyDescent="0.25">
      <c r="A695" t="s">
        <v>1694</v>
      </c>
      <c r="B695">
        <v>42286</v>
      </c>
      <c r="C695" t="str">
        <f t="shared" si="60"/>
        <v>2015</v>
      </c>
      <c r="D695" t="s">
        <v>1695</v>
      </c>
      <c r="E695" t="s">
        <v>558</v>
      </c>
      <c r="F695" t="s">
        <v>257</v>
      </c>
      <c r="G695" t="s">
        <v>258</v>
      </c>
      <c r="H695" t="s">
        <v>274</v>
      </c>
      <c r="I695" t="s">
        <v>333</v>
      </c>
      <c r="J695" t="s">
        <v>243</v>
      </c>
      <c r="K695" t="s">
        <v>1025</v>
      </c>
      <c r="L695" t="s">
        <v>268</v>
      </c>
      <c r="M695" t="s">
        <v>269</v>
      </c>
      <c r="N695" t="s">
        <v>270</v>
      </c>
      <c r="O695">
        <v>42288</v>
      </c>
      <c r="P695">
        <v>315.61</v>
      </c>
      <c r="Q695">
        <v>500.97</v>
      </c>
      <c r="R695">
        <f t="shared" si="61"/>
        <v>185.36</v>
      </c>
      <c r="S695">
        <v>25</v>
      </c>
      <c r="T695">
        <f t="shared" si="62"/>
        <v>12524.25</v>
      </c>
      <c r="U695">
        <v>0.02</v>
      </c>
      <c r="V695">
        <f t="shared" si="63"/>
        <v>250.48500000000001</v>
      </c>
      <c r="W695">
        <f t="shared" si="64"/>
        <v>12273.764999999999</v>
      </c>
      <c r="X695">
        <v>69.3</v>
      </c>
      <c r="Y695">
        <f t="shared" si="65"/>
        <v>12343.064999999999</v>
      </c>
    </row>
    <row r="696" spans="1:25" x14ac:dyDescent="0.25">
      <c r="A696" t="s">
        <v>1696</v>
      </c>
      <c r="B696">
        <v>42289</v>
      </c>
      <c r="C696" t="str">
        <f t="shared" si="60"/>
        <v>2015</v>
      </c>
      <c r="D696" t="s">
        <v>1697</v>
      </c>
      <c r="E696" t="s">
        <v>1698</v>
      </c>
      <c r="F696" t="s">
        <v>257</v>
      </c>
      <c r="G696" t="s">
        <v>258</v>
      </c>
      <c r="H696" t="s">
        <v>259</v>
      </c>
      <c r="I696" t="s">
        <v>381</v>
      </c>
      <c r="J696" t="s">
        <v>243</v>
      </c>
      <c r="K696" t="s">
        <v>453</v>
      </c>
      <c r="L696" t="s">
        <v>245</v>
      </c>
      <c r="M696" t="s">
        <v>246</v>
      </c>
      <c r="N696" t="s">
        <v>247</v>
      </c>
      <c r="O696">
        <v>42291</v>
      </c>
      <c r="P696">
        <v>1.18</v>
      </c>
      <c r="Q696">
        <v>1.88</v>
      </c>
      <c r="R696">
        <f t="shared" si="61"/>
        <v>0.7</v>
      </c>
      <c r="S696">
        <v>29</v>
      </c>
      <c r="T696">
        <f t="shared" si="62"/>
        <v>54.519999999999996</v>
      </c>
      <c r="U696">
        <v>0.1</v>
      </c>
      <c r="V696">
        <f t="shared" si="63"/>
        <v>5.452</v>
      </c>
      <c r="W696">
        <f t="shared" si="64"/>
        <v>49.067999999999998</v>
      </c>
      <c r="X696">
        <v>1.49</v>
      </c>
      <c r="Y696">
        <f t="shared" si="65"/>
        <v>50.558</v>
      </c>
    </row>
    <row r="697" spans="1:25" x14ac:dyDescent="0.25">
      <c r="A697" t="s">
        <v>1699</v>
      </c>
      <c r="B697">
        <v>42290</v>
      </c>
      <c r="C697" t="str">
        <f t="shared" si="60"/>
        <v>2015</v>
      </c>
      <c r="D697" t="s">
        <v>1069</v>
      </c>
      <c r="E697" t="s">
        <v>1070</v>
      </c>
      <c r="F697" t="s">
        <v>257</v>
      </c>
      <c r="G697" t="s">
        <v>258</v>
      </c>
      <c r="H697" t="s">
        <v>293</v>
      </c>
      <c r="I697" t="s">
        <v>504</v>
      </c>
      <c r="J697" t="s">
        <v>279</v>
      </c>
      <c r="K697" t="s">
        <v>594</v>
      </c>
      <c r="L697" t="s">
        <v>268</v>
      </c>
      <c r="M697" t="s">
        <v>269</v>
      </c>
      <c r="N697" t="s">
        <v>270</v>
      </c>
      <c r="O697">
        <v>42292</v>
      </c>
      <c r="P697">
        <v>278.99</v>
      </c>
      <c r="Q697">
        <v>449.99</v>
      </c>
      <c r="R697">
        <f t="shared" si="61"/>
        <v>171</v>
      </c>
      <c r="S697">
        <v>47</v>
      </c>
      <c r="T697">
        <f t="shared" si="62"/>
        <v>21149.53</v>
      </c>
      <c r="U697">
        <v>0.02</v>
      </c>
      <c r="V697">
        <f t="shared" si="63"/>
        <v>422.99059999999997</v>
      </c>
      <c r="W697">
        <f t="shared" si="64"/>
        <v>20726.539399999998</v>
      </c>
      <c r="X697">
        <v>49</v>
      </c>
      <c r="Y697">
        <f t="shared" si="65"/>
        <v>20775.539399999998</v>
      </c>
    </row>
    <row r="698" spans="1:25" x14ac:dyDescent="0.25">
      <c r="A698" t="s">
        <v>1700</v>
      </c>
      <c r="B698">
        <v>42292</v>
      </c>
      <c r="C698" t="str">
        <f t="shared" si="60"/>
        <v>2015</v>
      </c>
      <c r="D698" t="s">
        <v>1701</v>
      </c>
      <c r="E698" t="s">
        <v>1459</v>
      </c>
      <c r="F698" t="s">
        <v>239</v>
      </c>
      <c r="G698" t="s">
        <v>240</v>
      </c>
      <c r="H698" t="s">
        <v>293</v>
      </c>
      <c r="I698" t="s">
        <v>251</v>
      </c>
      <c r="J698" t="s">
        <v>261</v>
      </c>
      <c r="K698" t="s">
        <v>533</v>
      </c>
      <c r="L698" t="s">
        <v>245</v>
      </c>
      <c r="M698" t="s">
        <v>246</v>
      </c>
      <c r="N698" t="s">
        <v>247</v>
      </c>
      <c r="O698">
        <v>42293</v>
      </c>
      <c r="P698">
        <v>3.4</v>
      </c>
      <c r="Q698">
        <v>5.4</v>
      </c>
      <c r="R698">
        <f t="shared" si="61"/>
        <v>2.0000000000000004</v>
      </c>
      <c r="S698">
        <v>8</v>
      </c>
      <c r="T698">
        <f t="shared" si="62"/>
        <v>43.2</v>
      </c>
      <c r="U698">
        <v>0</v>
      </c>
      <c r="V698">
        <f t="shared" si="63"/>
        <v>0</v>
      </c>
      <c r="W698">
        <f t="shared" si="64"/>
        <v>43.2</v>
      </c>
      <c r="X698">
        <v>7.78</v>
      </c>
      <c r="Y698">
        <f t="shared" si="65"/>
        <v>50.980000000000004</v>
      </c>
    </row>
    <row r="699" spans="1:25" x14ac:dyDescent="0.25">
      <c r="A699" t="s">
        <v>1702</v>
      </c>
      <c r="B699">
        <v>42297</v>
      </c>
      <c r="C699" t="str">
        <f t="shared" si="60"/>
        <v>2015</v>
      </c>
      <c r="D699" t="s">
        <v>1703</v>
      </c>
      <c r="E699" t="s">
        <v>709</v>
      </c>
      <c r="F699" t="s">
        <v>257</v>
      </c>
      <c r="G699" t="s">
        <v>258</v>
      </c>
      <c r="H699" t="s">
        <v>241</v>
      </c>
      <c r="I699" t="s">
        <v>275</v>
      </c>
      <c r="J699" t="s">
        <v>279</v>
      </c>
      <c r="K699" t="s">
        <v>1249</v>
      </c>
      <c r="L699" t="s">
        <v>245</v>
      </c>
      <c r="M699" t="s">
        <v>246</v>
      </c>
      <c r="N699" t="s">
        <v>247</v>
      </c>
      <c r="O699">
        <v>42301</v>
      </c>
      <c r="P699">
        <v>1.19</v>
      </c>
      <c r="Q699">
        <v>1.98</v>
      </c>
      <c r="R699">
        <f t="shared" si="61"/>
        <v>0.79</v>
      </c>
      <c r="S699">
        <v>4</v>
      </c>
      <c r="T699">
        <f t="shared" si="62"/>
        <v>7.92</v>
      </c>
      <c r="U699">
        <v>0.08</v>
      </c>
      <c r="V699">
        <f t="shared" si="63"/>
        <v>0.63360000000000005</v>
      </c>
      <c r="W699">
        <f t="shared" si="64"/>
        <v>7.2863999999999995</v>
      </c>
      <c r="X699">
        <v>4.7699999999999996</v>
      </c>
      <c r="Y699">
        <f t="shared" si="65"/>
        <v>12.0564</v>
      </c>
    </row>
    <row r="700" spans="1:25" x14ac:dyDescent="0.25">
      <c r="A700" t="s">
        <v>1704</v>
      </c>
      <c r="B700">
        <v>42298</v>
      </c>
      <c r="C700" t="str">
        <f t="shared" si="60"/>
        <v>2015</v>
      </c>
      <c r="D700" t="s">
        <v>466</v>
      </c>
      <c r="E700" t="s">
        <v>467</v>
      </c>
      <c r="F700" t="s">
        <v>257</v>
      </c>
      <c r="G700" t="s">
        <v>258</v>
      </c>
      <c r="H700" t="s">
        <v>241</v>
      </c>
      <c r="I700" t="s">
        <v>342</v>
      </c>
      <c r="J700" t="s">
        <v>304</v>
      </c>
      <c r="K700" t="s">
        <v>1017</v>
      </c>
      <c r="L700" t="s">
        <v>245</v>
      </c>
      <c r="M700" t="s">
        <v>253</v>
      </c>
      <c r="N700" t="s">
        <v>263</v>
      </c>
      <c r="O700">
        <v>42300</v>
      </c>
      <c r="P700">
        <v>2.13</v>
      </c>
      <c r="Q700">
        <v>3.49</v>
      </c>
      <c r="R700">
        <f t="shared" si="61"/>
        <v>1.3600000000000003</v>
      </c>
      <c r="S700">
        <v>3</v>
      </c>
      <c r="T700">
        <f t="shared" si="62"/>
        <v>10.47</v>
      </c>
      <c r="U700">
        <v>0.01</v>
      </c>
      <c r="V700">
        <f t="shared" si="63"/>
        <v>0.10470000000000002</v>
      </c>
      <c r="W700">
        <f t="shared" si="64"/>
        <v>10.365300000000001</v>
      </c>
      <c r="X700">
        <v>0.76</v>
      </c>
      <c r="Y700">
        <f t="shared" si="65"/>
        <v>11.125300000000001</v>
      </c>
    </row>
    <row r="701" spans="1:25" x14ac:dyDescent="0.25">
      <c r="A701" t="s">
        <v>1705</v>
      </c>
      <c r="B701">
        <v>42298</v>
      </c>
      <c r="C701" t="str">
        <f t="shared" si="60"/>
        <v>2015</v>
      </c>
      <c r="D701" t="s">
        <v>1706</v>
      </c>
      <c r="E701" t="s">
        <v>1290</v>
      </c>
      <c r="F701" t="s">
        <v>257</v>
      </c>
      <c r="G701" t="s">
        <v>258</v>
      </c>
      <c r="H701" t="s">
        <v>259</v>
      </c>
      <c r="I701" t="s">
        <v>260</v>
      </c>
      <c r="J701" t="s">
        <v>243</v>
      </c>
      <c r="K701" t="s">
        <v>453</v>
      </c>
      <c r="L701" t="s">
        <v>245</v>
      </c>
      <c r="M701" t="s">
        <v>246</v>
      </c>
      <c r="N701" t="s">
        <v>247</v>
      </c>
      <c r="O701">
        <v>42300</v>
      </c>
      <c r="P701">
        <v>1.18</v>
      </c>
      <c r="Q701">
        <v>1.88</v>
      </c>
      <c r="R701">
        <f t="shared" si="61"/>
        <v>0.7</v>
      </c>
      <c r="S701">
        <v>6</v>
      </c>
      <c r="T701">
        <f t="shared" si="62"/>
        <v>11.28</v>
      </c>
      <c r="U701">
        <v>7.0000000000000007E-2</v>
      </c>
      <c r="V701">
        <f t="shared" si="63"/>
        <v>0.78960000000000008</v>
      </c>
      <c r="W701">
        <f t="shared" si="64"/>
        <v>10.490399999999999</v>
      </c>
      <c r="X701">
        <v>1.49</v>
      </c>
      <c r="Y701">
        <f t="shared" si="65"/>
        <v>11.980399999999999</v>
      </c>
    </row>
    <row r="702" spans="1:25" x14ac:dyDescent="0.25">
      <c r="A702" t="s">
        <v>1707</v>
      </c>
      <c r="B702">
        <v>42301</v>
      </c>
      <c r="C702" t="str">
        <f t="shared" si="60"/>
        <v>2015</v>
      </c>
      <c r="D702" t="s">
        <v>1610</v>
      </c>
      <c r="E702" t="s">
        <v>507</v>
      </c>
      <c r="F702" t="s">
        <v>239</v>
      </c>
      <c r="G702" t="s">
        <v>240</v>
      </c>
      <c r="H702" t="s">
        <v>274</v>
      </c>
      <c r="I702" t="s">
        <v>242</v>
      </c>
      <c r="J702" t="s">
        <v>261</v>
      </c>
      <c r="K702" t="s">
        <v>776</v>
      </c>
      <c r="L702" t="s">
        <v>245</v>
      </c>
      <c r="M702" t="s">
        <v>246</v>
      </c>
      <c r="N702" t="s">
        <v>247</v>
      </c>
      <c r="O702">
        <v>42303</v>
      </c>
      <c r="P702">
        <v>4.53</v>
      </c>
      <c r="Q702">
        <v>7.3</v>
      </c>
      <c r="R702">
        <f t="shared" si="61"/>
        <v>2.7699999999999996</v>
      </c>
      <c r="S702">
        <v>34</v>
      </c>
      <c r="T702">
        <f t="shared" si="62"/>
        <v>248.2</v>
      </c>
      <c r="U702">
        <v>0.03</v>
      </c>
      <c r="V702">
        <f t="shared" si="63"/>
        <v>7.4459999999999997</v>
      </c>
      <c r="W702">
        <f t="shared" si="64"/>
        <v>240.75399999999999</v>
      </c>
      <c r="X702">
        <v>7.72</v>
      </c>
      <c r="Y702">
        <f t="shared" si="65"/>
        <v>248.47399999999999</v>
      </c>
    </row>
    <row r="703" spans="1:25" x14ac:dyDescent="0.25">
      <c r="A703" t="s">
        <v>1708</v>
      </c>
      <c r="B703">
        <v>42301</v>
      </c>
      <c r="C703" t="str">
        <f t="shared" si="60"/>
        <v>2015</v>
      </c>
      <c r="D703" t="s">
        <v>1709</v>
      </c>
      <c r="E703" t="s">
        <v>424</v>
      </c>
      <c r="F703" t="s">
        <v>257</v>
      </c>
      <c r="G703" t="s">
        <v>258</v>
      </c>
      <c r="H703" t="s">
        <v>293</v>
      </c>
      <c r="I703" t="s">
        <v>299</v>
      </c>
      <c r="J703" t="s">
        <v>243</v>
      </c>
      <c r="K703" t="s">
        <v>472</v>
      </c>
      <c r="L703" t="s">
        <v>245</v>
      </c>
      <c r="M703" t="s">
        <v>246</v>
      </c>
      <c r="N703" t="s">
        <v>247</v>
      </c>
      <c r="O703">
        <v>42303</v>
      </c>
      <c r="P703">
        <v>2.25</v>
      </c>
      <c r="Q703">
        <v>3.69</v>
      </c>
      <c r="R703">
        <f t="shared" si="61"/>
        <v>1.44</v>
      </c>
      <c r="S703">
        <v>47</v>
      </c>
      <c r="T703">
        <f t="shared" si="62"/>
        <v>173.43</v>
      </c>
      <c r="U703">
        <v>0</v>
      </c>
      <c r="V703">
        <f t="shared" si="63"/>
        <v>0</v>
      </c>
      <c r="W703">
        <f t="shared" si="64"/>
        <v>173.43</v>
      </c>
      <c r="X703">
        <v>2.5</v>
      </c>
      <c r="Y703">
        <f t="shared" si="65"/>
        <v>175.93</v>
      </c>
    </row>
    <row r="704" spans="1:25" x14ac:dyDescent="0.25">
      <c r="A704" t="s">
        <v>1710</v>
      </c>
      <c r="B704">
        <v>42305</v>
      </c>
      <c r="C704" t="str">
        <f t="shared" si="60"/>
        <v>2015</v>
      </c>
      <c r="D704" t="s">
        <v>386</v>
      </c>
      <c r="E704" t="s">
        <v>266</v>
      </c>
      <c r="F704" t="s">
        <v>239</v>
      </c>
      <c r="G704" t="s">
        <v>240</v>
      </c>
      <c r="H704" t="s">
        <v>259</v>
      </c>
      <c r="I704" t="s">
        <v>242</v>
      </c>
      <c r="J704" t="s">
        <v>294</v>
      </c>
      <c r="K704" t="s">
        <v>547</v>
      </c>
      <c r="L704" t="s">
        <v>268</v>
      </c>
      <c r="M704" t="s">
        <v>414</v>
      </c>
      <c r="N704" t="s">
        <v>247</v>
      </c>
      <c r="O704">
        <v>42307</v>
      </c>
      <c r="P704">
        <v>7.92</v>
      </c>
      <c r="Q704">
        <v>12.99</v>
      </c>
      <c r="R704">
        <f t="shared" si="61"/>
        <v>5.07</v>
      </c>
      <c r="S704">
        <v>46</v>
      </c>
      <c r="T704">
        <f t="shared" si="62"/>
        <v>597.54</v>
      </c>
      <c r="U704">
        <v>0.01</v>
      </c>
      <c r="V704">
        <f t="shared" si="63"/>
        <v>5.9753999999999996</v>
      </c>
      <c r="W704">
        <f t="shared" si="64"/>
        <v>591.56459999999993</v>
      </c>
      <c r="X704">
        <v>9.44</v>
      </c>
      <c r="Y704">
        <f t="shared" si="65"/>
        <v>601.00459999999998</v>
      </c>
    </row>
    <row r="705" spans="1:25" x14ac:dyDescent="0.25">
      <c r="A705" t="s">
        <v>1711</v>
      </c>
      <c r="B705">
        <v>42308</v>
      </c>
      <c r="C705" t="str">
        <f t="shared" si="60"/>
        <v>2015</v>
      </c>
      <c r="D705" t="s">
        <v>1712</v>
      </c>
      <c r="E705" t="s">
        <v>575</v>
      </c>
      <c r="F705" t="s">
        <v>257</v>
      </c>
      <c r="G705" t="s">
        <v>258</v>
      </c>
      <c r="H705" t="s">
        <v>241</v>
      </c>
      <c r="I705" t="s">
        <v>381</v>
      </c>
      <c r="J705" t="s">
        <v>243</v>
      </c>
      <c r="K705" t="s">
        <v>508</v>
      </c>
      <c r="L705" t="s">
        <v>245</v>
      </c>
      <c r="M705" t="s">
        <v>246</v>
      </c>
      <c r="N705" t="s">
        <v>247</v>
      </c>
      <c r="O705">
        <v>42308</v>
      </c>
      <c r="P705">
        <v>178.83</v>
      </c>
      <c r="Q705">
        <v>415.88</v>
      </c>
      <c r="R705">
        <f t="shared" si="61"/>
        <v>237.04999999999998</v>
      </c>
      <c r="S705">
        <v>21</v>
      </c>
      <c r="T705">
        <f t="shared" si="62"/>
        <v>8733.48</v>
      </c>
      <c r="U705">
        <v>0.09</v>
      </c>
      <c r="V705">
        <f t="shared" si="63"/>
        <v>786.01319999999998</v>
      </c>
      <c r="W705">
        <f t="shared" si="64"/>
        <v>7947.4667999999992</v>
      </c>
      <c r="X705">
        <v>11.37</v>
      </c>
      <c r="Y705">
        <f t="shared" si="65"/>
        <v>7958.8367999999991</v>
      </c>
    </row>
    <row r="706" spans="1:25" x14ac:dyDescent="0.25">
      <c r="A706" t="s">
        <v>1713</v>
      </c>
      <c r="B706">
        <v>42308</v>
      </c>
      <c r="C706" t="str">
        <f t="shared" si="60"/>
        <v>2015</v>
      </c>
      <c r="D706" t="s">
        <v>1714</v>
      </c>
      <c r="E706" t="s">
        <v>1307</v>
      </c>
      <c r="F706" t="s">
        <v>257</v>
      </c>
      <c r="G706" t="s">
        <v>258</v>
      </c>
      <c r="H706" t="s">
        <v>259</v>
      </c>
      <c r="I706" t="s">
        <v>372</v>
      </c>
      <c r="J706" t="s">
        <v>243</v>
      </c>
      <c r="K706" t="s">
        <v>464</v>
      </c>
      <c r="L706" t="s">
        <v>268</v>
      </c>
      <c r="M706" t="s">
        <v>246</v>
      </c>
      <c r="N706" t="s">
        <v>247</v>
      </c>
      <c r="O706">
        <v>42309</v>
      </c>
      <c r="P706">
        <v>156.5</v>
      </c>
      <c r="Q706">
        <v>300.97000000000003</v>
      </c>
      <c r="R706">
        <f t="shared" si="61"/>
        <v>144.47000000000003</v>
      </c>
      <c r="S706">
        <v>23</v>
      </c>
      <c r="T706">
        <f t="shared" si="62"/>
        <v>6922.31</v>
      </c>
      <c r="U706">
        <v>0.06</v>
      </c>
      <c r="V706">
        <f t="shared" si="63"/>
        <v>415.33859999999999</v>
      </c>
      <c r="W706">
        <f t="shared" si="64"/>
        <v>6506.9714000000004</v>
      </c>
      <c r="X706">
        <v>7.18</v>
      </c>
      <c r="Y706">
        <f t="shared" si="65"/>
        <v>6514.1514000000006</v>
      </c>
    </row>
    <row r="707" spans="1:25" x14ac:dyDescent="0.25">
      <c r="A707" t="s">
        <v>1715</v>
      </c>
      <c r="B707">
        <v>42309</v>
      </c>
      <c r="C707" t="str">
        <f t="shared" si="60"/>
        <v>2015</v>
      </c>
      <c r="D707" t="s">
        <v>1697</v>
      </c>
      <c r="E707" t="s">
        <v>1698</v>
      </c>
      <c r="F707" t="s">
        <v>257</v>
      </c>
      <c r="G707" t="s">
        <v>258</v>
      </c>
      <c r="H707" t="s">
        <v>293</v>
      </c>
      <c r="I707" t="s">
        <v>381</v>
      </c>
      <c r="J707" t="s">
        <v>279</v>
      </c>
      <c r="K707" t="s">
        <v>252</v>
      </c>
      <c r="L707" t="s">
        <v>245</v>
      </c>
      <c r="M707" t="s">
        <v>253</v>
      </c>
      <c r="N707" t="s">
        <v>247</v>
      </c>
      <c r="O707">
        <v>42311</v>
      </c>
      <c r="P707">
        <v>2.39</v>
      </c>
      <c r="Q707">
        <v>4.26</v>
      </c>
      <c r="R707">
        <f t="shared" si="61"/>
        <v>1.8699999999999997</v>
      </c>
      <c r="S707">
        <v>47</v>
      </c>
      <c r="T707">
        <f t="shared" si="62"/>
        <v>200.22</v>
      </c>
      <c r="U707">
        <v>7.0000000000000007E-2</v>
      </c>
      <c r="V707">
        <f t="shared" si="63"/>
        <v>14.015400000000001</v>
      </c>
      <c r="W707">
        <f t="shared" si="64"/>
        <v>186.2046</v>
      </c>
      <c r="X707">
        <v>1.2</v>
      </c>
      <c r="Y707">
        <f t="shared" si="65"/>
        <v>187.40459999999999</v>
      </c>
    </row>
    <row r="708" spans="1:25" x14ac:dyDescent="0.25">
      <c r="A708" t="s">
        <v>1716</v>
      </c>
      <c r="B708">
        <v>42309</v>
      </c>
      <c r="C708" t="str">
        <f t="shared" si="60"/>
        <v>2015</v>
      </c>
      <c r="D708" t="s">
        <v>1697</v>
      </c>
      <c r="E708" t="s">
        <v>1698</v>
      </c>
      <c r="F708" t="s">
        <v>257</v>
      </c>
      <c r="G708" t="s">
        <v>258</v>
      </c>
      <c r="H708" t="s">
        <v>293</v>
      </c>
      <c r="I708" t="s">
        <v>381</v>
      </c>
      <c r="J708" t="s">
        <v>279</v>
      </c>
      <c r="K708" t="s">
        <v>334</v>
      </c>
      <c r="L708" t="s">
        <v>245</v>
      </c>
      <c r="M708" t="s">
        <v>253</v>
      </c>
      <c r="N708" t="s">
        <v>247</v>
      </c>
      <c r="O708">
        <v>42314</v>
      </c>
      <c r="P708">
        <v>1.3</v>
      </c>
      <c r="Q708">
        <v>2.88</v>
      </c>
      <c r="R708">
        <f t="shared" si="61"/>
        <v>1.5799999999999998</v>
      </c>
      <c r="S708">
        <v>17</v>
      </c>
      <c r="T708">
        <f t="shared" si="62"/>
        <v>48.96</v>
      </c>
      <c r="U708">
        <v>0.09</v>
      </c>
      <c r="V708">
        <f t="shared" si="63"/>
        <v>4.4063999999999997</v>
      </c>
      <c r="W708">
        <f t="shared" si="64"/>
        <v>44.553600000000003</v>
      </c>
      <c r="X708">
        <v>1.01</v>
      </c>
      <c r="Y708">
        <f t="shared" si="65"/>
        <v>45.563600000000001</v>
      </c>
    </row>
    <row r="709" spans="1:25" x14ac:dyDescent="0.25">
      <c r="A709" t="s">
        <v>1717</v>
      </c>
      <c r="B709">
        <v>42314</v>
      </c>
      <c r="C709" t="str">
        <f t="shared" si="60"/>
        <v>2015</v>
      </c>
      <c r="D709" t="s">
        <v>1718</v>
      </c>
      <c r="E709" t="s">
        <v>356</v>
      </c>
      <c r="F709" t="s">
        <v>239</v>
      </c>
      <c r="G709" t="s">
        <v>240</v>
      </c>
      <c r="H709" t="s">
        <v>259</v>
      </c>
      <c r="I709" t="s">
        <v>251</v>
      </c>
      <c r="J709" t="s">
        <v>243</v>
      </c>
      <c r="K709" t="s">
        <v>1130</v>
      </c>
      <c r="L709" t="s">
        <v>268</v>
      </c>
      <c r="M709" t="s">
        <v>246</v>
      </c>
      <c r="N709" t="s">
        <v>263</v>
      </c>
      <c r="O709">
        <v>42314</v>
      </c>
      <c r="P709">
        <v>14.7</v>
      </c>
      <c r="Q709">
        <v>29.99</v>
      </c>
      <c r="R709">
        <f t="shared" si="61"/>
        <v>15.29</v>
      </c>
      <c r="S709">
        <v>20</v>
      </c>
      <c r="T709">
        <f t="shared" si="62"/>
        <v>599.79999999999995</v>
      </c>
      <c r="U709">
        <v>0.04</v>
      </c>
      <c r="V709">
        <f t="shared" si="63"/>
        <v>23.991999999999997</v>
      </c>
      <c r="W709">
        <f t="shared" si="64"/>
        <v>575.80799999999999</v>
      </c>
      <c r="X709">
        <v>5.5</v>
      </c>
      <c r="Y709">
        <f t="shared" si="65"/>
        <v>581.30799999999999</v>
      </c>
    </row>
    <row r="710" spans="1:25" x14ac:dyDescent="0.25">
      <c r="A710" t="s">
        <v>1719</v>
      </c>
      <c r="B710">
        <v>42314</v>
      </c>
      <c r="C710" t="str">
        <f t="shared" ref="C710:C773" si="66">TEXT(B710,"yyyy")</f>
        <v>2015</v>
      </c>
      <c r="D710" t="s">
        <v>549</v>
      </c>
      <c r="E710" t="s">
        <v>380</v>
      </c>
      <c r="F710" t="s">
        <v>257</v>
      </c>
      <c r="G710" t="s">
        <v>258</v>
      </c>
      <c r="H710" t="s">
        <v>293</v>
      </c>
      <c r="I710" t="s">
        <v>381</v>
      </c>
      <c r="J710" t="s">
        <v>279</v>
      </c>
      <c r="K710" t="s">
        <v>295</v>
      </c>
      <c r="L710" t="s">
        <v>245</v>
      </c>
      <c r="M710" t="s">
        <v>246</v>
      </c>
      <c r="N710" t="s">
        <v>247</v>
      </c>
      <c r="O710">
        <v>42321</v>
      </c>
      <c r="P710">
        <v>54.29</v>
      </c>
      <c r="Q710">
        <v>90.48</v>
      </c>
      <c r="R710">
        <f t="shared" ref="R710:R773" si="67">Q710-P710</f>
        <v>36.190000000000005</v>
      </c>
      <c r="S710">
        <v>49</v>
      </c>
      <c r="T710">
        <f t="shared" ref="T710:T773" si="68">Q710*S710</f>
        <v>4433.5200000000004</v>
      </c>
      <c r="U710">
        <v>0.05</v>
      </c>
      <c r="V710">
        <f t="shared" ref="V710:V773" si="69">T710*U710</f>
        <v>221.67600000000004</v>
      </c>
      <c r="W710">
        <f t="shared" ref="W710:W773" si="70">T710-V710</f>
        <v>4211.8440000000001</v>
      </c>
      <c r="X710">
        <v>19.989999999999998</v>
      </c>
      <c r="Y710">
        <f t="shared" ref="Y710:Y773" si="71">W710+X710</f>
        <v>4231.8339999999998</v>
      </c>
    </row>
    <row r="711" spans="1:25" x14ac:dyDescent="0.25">
      <c r="A711" t="s">
        <v>1720</v>
      </c>
      <c r="B711">
        <v>42315</v>
      </c>
      <c r="C711" t="str">
        <f t="shared" si="66"/>
        <v>2015</v>
      </c>
      <c r="D711" t="s">
        <v>1501</v>
      </c>
      <c r="E711" t="s">
        <v>359</v>
      </c>
      <c r="F711" t="s">
        <v>239</v>
      </c>
      <c r="G711" t="s">
        <v>240</v>
      </c>
      <c r="H711" t="s">
        <v>259</v>
      </c>
      <c r="I711" t="s">
        <v>251</v>
      </c>
      <c r="J711" t="s">
        <v>261</v>
      </c>
      <c r="K711" t="s">
        <v>399</v>
      </c>
      <c r="L711" t="s">
        <v>245</v>
      </c>
      <c r="M711" t="s">
        <v>253</v>
      </c>
      <c r="N711" t="s">
        <v>247</v>
      </c>
      <c r="O711">
        <v>42316</v>
      </c>
      <c r="P711">
        <v>3.47</v>
      </c>
      <c r="Q711">
        <v>6.68</v>
      </c>
      <c r="R711">
        <f t="shared" si="67"/>
        <v>3.2099999999999995</v>
      </c>
      <c r="S711">
        <v>12</v>
      </c>
      <c r="T711">
        <f t="shared" si="68"/>
        <v>80.16</v>
      </c>
      <c r="U711">
        <v>0.06</v>
      </c>
      <c r="V711">
        <f t="shared" si="69"/>
        <v>4.8095999999999997</v>
      </c>
      <c r="W711">
        <f t="shared" si="70"/>
        <v>75.350399999999993</v>
      </c>
      <c r="X711">
        <v>1.5</v>
      </c>
      <c r="Y711">
        <f t="shared" si="71"/>
        <v>76.850399999999993</v>
      </c>
    </row>
    <row r="712" spans="1:25" x14ac:dyDescent="0.25">
      <c r="A712" t="s">
        <v>1721</v>
      </c>
      <c r="B712">
        <v>42318</v>
      </c>
      <c r="C712" t="str">
        <f t="shared" si="66"/>
        <v>2015</v>
      </c>
      <c r="D712" t="s">
        <v>815</v>
      </c>
      <c r="E712" t="s">
        <v>816</v>
      </c>
      <c r="F712" t="s">
        <v>257</v>
      </c>
      <c r="G712" t="s">
        <v>258</v>
      </c>
      <c r="H712" t="s">
        <v>259</v>
      </c>
      <c r="I712" t="s">
        <v>492</v>
      </c>
      <c r="J712" t="s">
        <v>279</v>
      </c>
      <c r="K712" t="s">
        <v>656</v>
      </c>
      <c r="L712" t="s">
        <v>245</v>
      </c>
      <c r="M712" t="s">
        <v>253</v>
      </c>
      <c r="N712" t="s">
        <v>247</v>
      </c>
      <c r="O712">
        <v>42322</v>
      </c>
      <c r="P712">
        <v>0.93</v>
      </c>
      <c r="Q712">
        <v>1.48</v>
      </c>
      <c r="R712">
        <f t="shared" si="67"/>
        <v>0.54999999999999993</v>
      </c>
      <c r="S712">
        <v>19</v>
      </c>
      <c r="T712">
        <f t="shared" si="68"/>
        <v>28.12</v>
      </c>
      <c r="U712">
        <v>0</v>
      </c>
      <c r="V712">
        <f t="shared" si="69"/>
        <v>0</v>
      </c>
      <c r="W712">
        <f t="shared" si="70"/>
        <v>28.12</v>
      </c>
      <c r="X712">
        <v>0.7</v>
      </c>
      <c r="Y712">
        <f t="shared" si="71"/>
        <v>28.82</v>
      </c>
    </row>
    <row r="713" spans="1:25" x14ac:dyDescent="0.25">
      <c r="A713" t="s">
        <v>1722</v>
      </c>
      <c r="B713">
        <v>42318</v>
      </c>
      <c r="C713" t="str">
        <f t="shared" si="66"/>
        <v>2015</v>
      </c>
      <c r="D713" t="s">
        <v>1503</v>
      </c>
      <c r="E713" t="s">
        <v>760</v>
      </c>
      <c r="F713" t="s">
        <v>448</v>
      </c>
      <c r="G713" t="s">
        <v>449</v>
      </c>
      <c r="H713" t="s">
        <v>259</v>
      </c>
      <c r="I713" t="s">
        <v>333</v>
      </c>
      <c r="J713" t="s">
        <v>304</v>
      </c>
      <c r="K713" t="s">
        <v>1191</v>
      </c>
      <c r="L713" t="s">
        <v>245</v>
      </c>
      <c r="M713" t="s">
        <v>246</v>
      </c>
      <c r="N713" t="s">
        <v>247</v>
      </c>
      <c r="O713">
        <v>42318</v>
      </c>
      <c r="P713">
        <v>4.03</v>
      </c>
      <c r="Q713">
        <v>9.3800000000000008</v>
      </c>
      <c r="R713">
        <f t="shared" si="67"/>
        <v>5.3500000000000005</v>
      </c>
      <c r="S713">
        <v>24</v>
      </c>
      <c r="T713">
        <f t="shared" si="68"/>
        <v>225.12</v>
      </c>
      <c r="U713">
        <v>0.05</v>
      </c>
      <c r="V713">
        <f t="shared" si="69"/>
        <v>11.256</v>
      </c>
      <c r="W713">
        <f t="shared" si="70"/>
        <v>213.864</v>
      </c>
      <c r="X713">
        <v>7.28</v>
      </c>
      <c r="Y713">
        <f t="shared" si="71"/>
        <v>221.14400000000001</v>
      </c>
    </row>
    <row r="714" spans="1:25" x14ac:dyDescent="0.25">
      <c r="A714" t="s">
        <v>1723</v>
      </c>
      <c r="B714">
        <v>42319</v>
      </c>
      <c r="C714" t="str">
        <f t="shared" si="66"/>
        <v>2015</v>
      </c>
      <c r="D714" t="s">
        <v>1635</v>
      </c>
      <c r="E714" t="s">
        <v>1348</v>
      </c>
      <c r="F714" t="s">
        <v>257</v>
      </c>
      <c r="G714" t="s">
        <v>258</v>
      </c>
      <c r="H714" t="s">
        <v>241</v>
      </c>
      <c r="I714" t="s">
        <v>492</v>
      </c>
      <c r="J714" t="s">
        <v>243</v>
      </c>
      <c r="K714" t="s">
        <v>368</v>
      </c>
      <c r="L714" t="s">
        <v>245</v>
      </c>
      <c r="M714" t="s">
        <v>246</v>
      </c>
      <c r="N714" t="s">
        <v>247</v>
      </c>
      <c r="O714">
        <v>42321</v>
      </c>
      <c r="P714">
        <v>1.59</v>
      </c>
      <c r="Q714">
        <v>2.61</v>
      </c>
      <c r="R714">
        <f t="shared" si="67"/>
        <v>1.0199999999999998</v>
      </c>
      <c r="S714">
        <v>40</v>
      </c>
      <c r="T714">
        <f t="shared" si="68"/>
        <v>104.39999999999999</v>
      </c>
      <c r="U714">
        <v>0.03</v>
      </c>
      <c r="V714">
        <f t="shared" si="69"/>
        <v>3.1319999999999997</v>
      </c>
      <c r="W714">
        <f t="shared" si="70"/>
        <v>101.26799999999999</v>
      </c>
      <c r="X714">
        <v>0.5</v>
      </c>
      <c r="Y714">
        <f t="shared" si="71"/>
        <v>101.76799999999999</v>
      </c>
    </row>
    <row r="715" spans="1:25" x14ac:dyDescent="0.25">
      <c r="A715" t="s">
        <v>1724</v>
      </c>
      <c r="B715">
        <v>42320</v>
      </c>
      <c r="C715" t="str">
        <f t="shared" si="66"/>
        <v>2015</v>
      </c>
      <c r="D715" t="s">
        <v>1350</v>
      </c>
      <c r="E715" t="s">
        <v>367</v>
      </c>
      <c r="F715" t="s">
        <v>239</v>
      </c>
      <c r="G715" t="s">
        <v>240</v>
      </c>
      <c r="H715" t="s">
        <v>293</v>
      </c>
      <c r="I715" t="s">
        <v>251</v>
      </c>
      <c r="J715" t="s">
        <v>294</v>
      </c>
      <c r="K715" t="s">
        <v>963</v>
      </c>
      <c r="L715" t="s">
        <v>245</v>
      </c>
      <c r="M715" t="s">
        <v>323</v>
      </c>
      <c r="N715" t="s">
        <v>247</v>
      </c>
      <c r="O715">
        <v>42322</v>
      </c>
      <c r="P715">
        <v>4.1900000000000004</v>
      </c>
      <c r="Q715">
        <v>10.23</v>
      </c>
      <c r="R715">
        <f t="shared" si="67"/>
        <v>6.04</v>
      </c>
      <c r="S715">
        <v>46</v>
      </c>
      <c r="T715">
        <f t="shared" si="68"/>
        <v>470.58000000000004</v>
      </c>
      <c r="U715">
        <v>0.08</v>
      </c>
      <c r="V715">
        <f t="shared" si="69"/>
        <v>37.646400000000007</v>
      </c>
      <c r="W715">
        <f t="shared" si="70"/>
        <v>432.93360000000001</v>
      </c>
      <c r="X715">
        <v>4.68</v>
      </c>
      <c r="Y715">
        <f t="shared" si="71"/>
        <v>437.61360000000002</v>
      </c>
    </row>
    <row r="716" spans="1:25" x14ac:dyDescent="0.25">
      <c r="A716" t="s">
        <v>1725</v>
      </c>
      <c r="B716">
        <v>42323</v>
      </c>
      <c r="C716" t="str">
        <f t="shared" si="66"/>
        <v>2015</v>
      </c>
      <c r="D716" t="s">
        <v>1726</v>
      </c>
      <c r="E716" t="s">
        <v>1727</v>
      </c>
      <c r="F716" t="s">
        <v>239</v>
      </c>
      <c r="G716" t="s">
        <v>240</v>
      </c>
      <c r="H716" t="s">
        <v>259</v>
      </c>
      <c r="I716" t="s">
        <v>242</v>
      </c>
      <c r="J716" t="s">
        <v>279</v>
      </c>
      <c r="K716" t="s">
        <v>1728</v>
      </c>
      <c r="L716" t="s">
        <v>245</v>
      </c>
      <c r="M716" t="s">
        <v>253</v>
      </c>
      <c r="N716" t="s">
        <v>247</v>
      </c>
      <c r="O716">
        <v>42332</v>
      </c>
      <c r="P716">
        <v>3.95</v>
      </c>
      <c r="Q716">
        <v>6.08</v>
      </c>
      <c r="R716">
        <f t="shared" si="67"/>
        <v>2.13</v>
      </c>
      <c r="S716">
        <v>41</v>
      </c>
      <c r="T716">
        <f t="shared" si="68"/>
        <v>249.28</v>
      </c>
      <c r="U716">
        <v>0.03</v>
      </c>
      <c r="V716">
        <f t="shared" si="69"/>
        <v>7.4783999999999997</v>
      </c>
      <c r="W716">
        <f t="shared" si="70"/>
        <v>241.80160000000001</v>
      </c>
      <c r="X716">
        <v>1.82</v>
      </c>
      <c r="Y716">
        <f t="shared" si="71"/>
        <v>243.6216</v>
      </c>
    </row>
    <row r="717" spans="1:25" x14ac:dyDescent="0.25">
      <c r="A717" t="s">
        <v>1729</v>
      </c>
      <c r="B717">
        <v>42324</v>
      </c>
      <c r="C717" t="str">
        <f t="shared" si="66"/>
        <v>2015</v>
      </c>
      <c r="D717" t="s">
        <v>427</v>
      </c>
      <c r="E717" t="s">
        <v>428</v>
      </c>
      <c r="F717" t="s">
        <v>257</v>
      </c>
      <c r="G717" t="s">
        <v>258</v>
      </c>
      <c r="H717" t="s">
        <v>274</v>
      </c>
      <c r="I717" t="s">
        <v>333</v>
      </c>
      <c r="J717" t="s">
        <v>261</v>
      </c>
      <c r="K717" t="s">
        <v>576</v>
      </c>
      <c r="L717" t="s">
        <v>245</v>
      </c>
      <c r="M717" t="s">
        <v>253</v>
      </c>
      <c r="N717" t="s">
        <v>247</v>
      </c>
      <c r="O717">
        <v>42325</v>
      </c>
      <c r="P717">
        <v>3.88</v>
      </c>
      <c r="Q717">
        <v>6.47</v>
      </c>
      <c r="R717">
        <f t="shared" si="67"/>
        <v>2.59</v>
      </c>
      <c r="S717">
        <v>22</v>
      </c>
      <c r="T717">
        <f t="shared" si="68"/>
        <v>142.34</v>
      </c>
      <c r="U717">
        <v>0.04</v>
      </c>
      <c r="V717">
        <f t="shared" si="69"/>
        <v>5.6936</v>
      </c>
      <c r="W717">
        <f t="shared" si="70"/>
        <v>136.6464</v>
      </c>
      <c r="X717">
        <v>1.22</v>
      </c>
      <c r="Y717">
        <f t="shared" si="71"/>
        <v>137.8664</v>
      </c>
    </row>
    <row r="718" spans="1:25" x14ac:dyDescent="0.25">
      <c r="A718" t="s">
        <v>1730</v>
      </c>
      <c r="B718">
        <v>42325</v>
      </c>
      <c r="C718" t="str">
        <f t="shared" si="66"/>
        <v>2015</v>
      </c>
      <c r="D718" t="s">
        <v>1731</v>
      </c>
      <c r="E718" t="s">
        <v>564</v>
      </c>
      <c r="F718" t="s">
        <v>257</v>
      </c>
      <c r="G718" t="s">
        <v>258</v>
      </c>
      <c r="H718" t="s">
        <v>293</v>
      </c>
      <c r="I718" t="s">
        <v>284</v>
      </c>
      <c r="J718" t="s">
        <v>261</v>
      </c>
      <c r="K718" t="s">
        <v>963</v>
      </c>
      <c r="L718" t="s">
        <v>245</v>
      </c>
      <c r="M718" t="s">
        <v>323</v>
      </c>
      <c r="N718" t="s">
        <v>247</v>
      </c>
      <c r="O718">
        <v>42327</v>
      </c>
      <c r="P718">
        <v>4.1900000000000004</v>
      </c>
      <c r="Q718">
        <v>10.23</v>
      </c>
      <c r="R718">
        <f t="shared" si="67"/>
        <v>6.04</v>
      </c>
      <c r="S718">
        <v>16</v>
      </c>
      <c r="T718">
        <f t="shared" si="68"/>
        <v>163.68</v>
      </c>
      <c r="U718">
        <v>0.02</v>
      </c>
      <c r="V718">
        <f t="shared" si="69"/>
        <v>3.2736000000000001</v>
      </c>
      <c r="W718">
        <f t="shared" si="70"/>
        <v>160.40640000000002</v>
      </c>
      <c r="X718">
        <v>4.68</v>
      </c>
      <c r="Y718">
        <f t="shared" si="71"/>
        <v>165.08640000000003</v>
      </c>
    </row>
    <row r="719" spans="1:25" x14ac:dyDescent="0.25">
      <c r="A719" t="s">
        <v>1732</v>
      </c>
      <c r="B719">
        <v>42325</v>
      </c>
      <c r="C719" t="str">
        <f t="shared" si="66"/>
        <v>2015</v>
      </c>
      <c r="D719" t="s">
        <v>1709</v>
      </c>
      <c r="E719" t="s">
        <v>424</v>
      </c>
      <c r="F719" t="s">
        <v>257</v>
      </c>
      <c r="G719" t="s">
        <v>258</v>
      </c>
      <c r="H719" t="s">
        <v>293</v>
      </c>
      <c r="I719" t="s">
        <v>299</v>
      </c>
      <c r="J719" t="s">
        <v>279</v>
      </c>
      <c r="K719" t="s">
        <v>607</v>
      </c>
      <c r="L719" t="s">
        <v>245</v>
      </c>
      <c r="M719" t="s">
        <v>246</v>
      </c>
      <c r="N719" t="s">
        <v>247</v>
      </c>
      <c r="O719">
        <v>42332</v>
      </c>
      <c r="P719">
        <v>4.46</v>
      </c>
      <c r="Q719">
        <v>10.89</v>
      </c>
      <c r="R719">
        <f t="shared" si="67"/>
        <v>6.4300000000000006</v>
      </c>
      <c r="S719">
        <v>10</v>
      </c>
      <c r="T719">
        <f t="shared" si="68"/>
        <v>108.9</v>
      </c>
      <c r="U719">
        <v>0.1</v>
      </c>
      <c r="V719">
        <f t="shared" si="69"/>
        <v>10.89</v>
      </c>
      <c r="W719">
        <f t="shared" si="70"/>
        <v>98.01</v>
      </c>
      <c r="X719">
        <v>4.5</v>
      </c>
      <c r="Y719">
        <f t="shared" si="71"/>
        <v>102.51</v>
      </c>
    </row>
    <row r="720" spans="1:25" x14ac:dyDescent="0.25">
      <c r="A720" t="s">
        <v>1733</v>
      </c>
      <c r="B720">
        <v>42328</v>
      </c>
      <c r="C720" t="str">
        <f t="shared" si="66"/>
        <v>2015</v>
      </c>
      <c r="D720" t="s">
        <v>1623</v>
      </c>
      <c r="E720" t="s">
        <v>346</v>
      </c>
      <c r="F720" t="s">
        <v>257</v>
      </c>
      <c r="G720" t="s">
        <v>258</v>
      </c>
      <c r="H720" t="s">
        <v>241</v>
      </c>
      <c r="I720" t="s">
        <v>309</v>
      </c>
      <c r="J720" t="s">
        <v>243</v>
      </c>
      <c r="K720" t="s">
        <v>617</v>
      </c>
      <c r="L720" t="s">
        <v>245</v>
      </c>
      <c r="M720" t="s">
        <v>246</v>
      </c>
      <c r="N720" t="s">
        <v>247</v>
      </c>
      <c r="O720">
        <v>42330</v>
      </c>
      <c r="P720">
        <v>1.94</v>
      </c>
      <c r="Q720">
        <v>3.08</v>
      </c>
      <c r="R720">
        <f t="shared" si="67"/>
        <v>1.1400000000000001</v>
      </c>
      <c r="S720">
        <v>11</v>
      </c>
      <c r="T720">
        <f t="shared" si="68"/>
        <v>33.880000000000003</v>
      </c>
      <c r="U720">
        <v>0.09</v>
      </c>
      <c r="V720">
        <f t="shared" si="69"/>
        <v>3.0491999999999999</v>
      </c>
      <c r="W720">
        <f t="shared" si="70"/>
        <v>30.830800000000004</v>
      </c>
      <c r="X720">
        <v>0.99</v>
      </c>
      <c r="Y720">
        <f t="shared" si="71"/>
        <v>31.820800000000002</v>
      </c>
    </row>
    <row r="721" spans="1:25" x14ac:dyDescent="0.25">
      <c r="A721" t="s">
        <v>1734</v>
      </c>
      <c r="B721">
        <v>42330</v>
      </c>
      <c r="C721" t="str">
        <f t="shared" si="66"/>
        <v>2015</v>
      </c>
      <c r="D721" t="s">
        <v>1353</v>
      </c>
      <c r="E721" t="s">
        <v>727</v>
      </c>
      <c r="F721" t="s">
        <v>257</v>
      </c>
      <c r="G721" t="s">
        <v>258</v>
      </c>
      <c r="H721" t="s">
        <v>259</v>
      </c>
      <c r="I721" t="s">
        <v>333</v>
      </c>
      <c r="J721" t="s">
        <v>304</v>
      </c>
      <c r="K721" t="s">
        <v>630</v>
      </c>
      <c r="L721" t="s">
        <v>245</v>
      </c>
      <c r="M721" t="s">
        <v>253</v>
      </c>
      <c r="N721" t="s">
        <v>247</v>
      </c>
      <c r="O721">
        <v>42331</v>
      </c>
      <c r="P721">
        <v>1.53</v>
      </c>
      <c r="Q721">
        <v>2.78</v>
      </c>
      <c r="R721">
        <f t="shared" si="67"/>
        <v>1.2499999999999998</v>
      </c>
      <c r="S721">
        <v>21</v>
      </c>
      <c r="T721">
        <f t="shared" si="68"/>
        <v>58.379999999999995</v>
      </c>
      <c r="U721">
        <v>0.06</v>
      </c>
      <c r="V721">
        <f t="shared" si="69"/>
        <v>3.5027999999999997</v>
      </c>
      <c r="W721">
        <f t="shared" si="70"/>
        <v>54.877199999999995</v>
      </c>
      <c r="X721">
        <v>1.34</v>
      </c>
      <c r="Y721">
        <f t="shared" si="71"/>
        <v>56.217199999999998</v>
      </c>
    </row>
    <row r="722" spans="1:25" x14ac:dyDescent="0.25">
      <c r="A722" t="s">
        <v>1735</v>
      </c>
      <c r="B722">
        <v>42332</v>
      </c>
      <c r="C722" t="str">
        <f t="shared" si="66"/>
        <v>2015</v>
      </c>
      <c r="D722" t="s">
        <v>864</v>
      </c>
      <c r="E722" t="s">
        <v>633</v>
      </c>
      <c r="F722" t="s">
        <v>239</v>
      </c>
      <c r="G722" t="s">
        <v>240</v>
      </c>
      <c r="H722" t="s">
        <v>293</v>
      </c>
      <c r="I722" t="s">
        <v>242</v>
      </c>
      <c r="J722" t="s">
        <v>279</v>
      </c>
      <c r="K722" t="s">
        <v>377</v>
      </c>
      <c r="L722" t="s">
        <v>268</v>
      </c>
      <c r="M722" t="s">
        <v>246</v>
      </c>
      <c r="N722" t="s">
        <v>247</v>
      </c>
      <c r="O722">
        <v>42332</v>
      </c>
      <c r="P722">
        <v>39.64</v>
      </c>
      <c r="Q722">
        <v>152.47999999999999</v>
      </c>
      <c r="R722">
        <f t="shared" si="67"/>
        <v>112.83999999999999</v>
      </c>
      <c r="S722">
        <v>17</v>
      </c>
      <c r="T722">
        <f t="shared" si="68"/>
        <v>2592.16</v>
      </c>
      <c r="U722">
        <v>0.04</v>
      </c>
      <c r="V722">
        <f t="shared" si="69"/>
        <v>103.68639999999999</v>
      </c>
      <c r="W722">
        <f t="shared" si="70"/>
        <v>2488.4735999999998</v>
      </c>
      <c r="X722">
        <v>6.5</v>
      </c>
      <c r="Y722">
        <f t="shared" si="71"/>
        <v>2494.9735999999998</v>
      </c>
    </row>
    <row r="723" spans="1:25" x14ac:dyDescent="0.25">
      <c r="A723" t="s">
        <v>1736</v>
      </c>
      <c r="B723">
        <v>42336</v>
      </c>
      <c r="C723" t="str">
        <f t="shared" si="66"/>
        <v>2015</v>
      </c>
      <c r="D723" t="s">
        <v>1737</v>
      </c>
      <c r="E723" t="s">
        <v>532</v>
      </c>
      <c r="F723" t="s">
        <v>257</v>
      </c>
      <c r="G723" t="s">
        <v>258</v>
      </c>
      <c r="H723" t="s">
        <v>293</v>
      </c>
      <c r="I723" t="s">
        <v>260</v>
      </c>
      <c r="J723" t="s">
        <v>261</v>
      </c>
      <c r="K723" t="s">
        <v>576</v>
      </c>
      <c r="L723" t="s">
        <v>245</v>
      </c>
      <c r="M723" t="s">
        <v>253</v>
      </c>
      <c r="N723" t="s">
        <v>247</v>
      </c>
      <c r="O723">
        <v>42338</v>
      </c>
      <c r="P723">
        <v>3.88</v>
      </c>
      <c r="Q723">
        <v>6.47</v>
      </c>
      <c r="R723">
        <f t="shared" si="67"/>
        <v>2.59</v>
      </c>
      <c r="S723">
        <v>16</v>
      </c>
      <c r="T723">
        <f t="shared" si="68"/>
        <v>103.52</v>
      </c>
      <c r="U723">
        <v>0.01</v>
      </c>
      <c r="V723">
        <f t="shared" si="69"/>
        <v>1.0351999999999999</v>
      </c>
      <c r="W723">
        <f t="shared" si="70"/>
        <v>102.48479999999999</v>
      </c>
      <c r="X723">
        <v>1.22</v>
      </c>
      <c r="Y723">
        <f t="shared" si="71"/>
        <v>103.70479999999999</v>
      </c>
    </row>
    <row r="724" spans="1:25" x14ac:dyDescent="0.25">
      <c r="A724" t="s">
        <v>1738</v>
      </c>
      <c r="B724">
        <v>42338</v>
      </c>
      <c r="C724" t="str">
        <f t="shared" si="66"/>
        <v>2015</v>
      </c>
      <c r="D724" t="s">
        <v>764</v>
      </c>
      <c r="E724" t="s">
        <v>612</v>
      </c>
      <c r="F724" t="s">
        <v>239</v>
      </c>
      <c r="G724" t="s">
        <v>240</v>
      </c>
      <c r="H724" t="s">
        <v>259</v>
      </c>
      <c r="I724" t="s">
        <v>242</v>
      </c>
      <c r="J724" t="s">
        <v>243</v>
      </c>
      <c r="K724" t="s">
        <v>313</v>
      </c>
      <c r="L724" t="s">
        <v>245</v>
      </c>
      <c r="M724" t="s">
        <v>246</v>
      </c>
      <c r="N724" t="s">
        <v>247</v>
      </c>
      <c r="O724">
        <v>42339</v>
      </c>
      <c r="P724">
        <v>36.020000000000003</v>
      </c>
      <c r="Q724">
        <v>58.1</v>
      </c>
      <c r="R724">
        <f t="shared" si="67"/>
        <v>22.08</v>
      </c>
      <c r="S724">
        <v>27</v>
      </c>
      <c r="T724">
        <f t="shared" si="68"/>
        <v>1568.7</v>
      </c>
      <c r="U724">
        <v>7.0000000000000007E-2</v>
      </c>
      <c r="V724">
        <f t="shared" si="69"/>
        <v>109.80900000000001</v>
      </c>
      <c r="W724">
        <f t="shared" si="70"/>
        <v>1458.8910000000001</v>
      </c>
      <c r="X724">
        <v>1.49</v>
      </c>
      <c r="Y724">
        <f t="shared" si="71"/>
        <v>1460.3810000000001</v>
      </c>
    </row>
    <row r="725" spans="1:25" x14ac:dyDescent="0.25">
      <c r="A725" t="s">
        <v>1739</v>
      </c>
      <c r="B725">
        <v>42338</v>
      </c>
      <c r="C725" t="str">
        <f t="shared" si="66"/>
        <v>2015</v>
      </c>
      <c r="D725" t="s">
        <v>1740</v>
      </c>
      <c r="E725" t="s">
        <v>775</v>
      </c>
      <c r="F725" t="s">
        <v>257</v>
      </c>
      <c r="G725" t="s">
        <v>258</v>
      </c>
      <c r="H725" t="s">
        <v>259</v>
      </c>
      <c r="I725" t="s">
        <v>381</v>
      </c>
      <c r="J725" t="s">
        <v>294</v>
      </c>
      <c r="K725" t="s">
        <v>572</v>
      </c>
      <c r="L725" t="s">
        <v>245</v>
      </c>
      <c r="M725" t="s">
        <v>253</v>
      </c>
      <c r="N725" t="s">
        <v>247</v>
      </c>
      <c r="O725">
        <v>42339</v>
      </c>
      <c r="P725">
        <v>4.37</v>
      </c>
      <c r="Q725">
        <v>9.11</v>
      </c>
      <c r="R725">
        <f t="shared" si="67"/>
        <v>4.7399999999999993</v>
      </c>
      <c r="S725">
        <v>30</v>
      </c>
      <c r="T725">
        <f t="shared" si="68"/>
        <v>273.29999999999995</v>
      </c>
      <c r="U725">
        <v>0.03</v>
      </c>
      <c r="V725">
        <f t="shared" si="69"/>
        <v>8.1989999999999981</v>
      </c>
      <c r="W725">
        <f t="shared" si="70"/>
        <v>265.10099999999994</v>
      </c>
      <c r="X725">
        <v>2.25</v>
      </c>
      <c r="Y725">
        <f t="shared" si="71"/>
        <v>267.35099999999994</v>
      </c>
    </row>
    <row r="726" spans="1:25" x14ac:dyDescent="0.25">
      <c r="A726" t="s">
        <v>1741</v>
      </c>
      <c r="B726">
        <v>42342</v>
      </c>
      <c r="C726" t="str">
        <f t="shared" si="66"/>
        <v>2015</v>
      </c>
      <c r="D726" t="s">
        <v>1090</v>
      </c>
      <c r="E726" t="s">
        <v>835</v>
      </c>
      <c r="F726" t="s">
        <v>257</v>
      </c>
      <c r="G726" t="s">
        <v>258</v>
      </c>
      <c r="H726" t="s">
        <v>293</v>
      </c>
      <c r="I726" t="s">
        <v>284</v>
      </c>
      <c r="J726" t="s">
        <v>243</v>
      </c>
      <c r="K726" t="s">
        <v>1119</v>
      </c>
      <c r="L726" t="s">
        <v>245</v>
      </c>
      <c r="M726" t="s">
        <v>246</v>
      </c>
      <c r="N726" t="s">
        <v>247</v>
      </c>
      <c r="O726">
        <v>42343</v>
      </c>
      <c r="P726">
        <v>1.84</v>
      </c>
      <c r="Q726">
        <v>2.88</v>
      </c>
      <c r="R726">
        <f t="shared" si="67"/>
        <v>1.0399999999999998</v>
      </c>
      <c r="S726">
        <v>28</v>
      </c>
      <c r="T726">
        <f t="shared" si="68"/>
        <v>80.64</v>
      </c>
      <c r="U726">
        <v>0.1</v>
      </c>
      <c r="V726">
        <f t="shared" si="69"/>
        <v>8.0640000000000001</v>
      </c>
      <c r="W726">
        <f t="shared" si="70"/>
        <v>72.575999999999993</v>
      </c>
      <c r="X726">
        <v>0.99</v>
      </c>
      <c r="Y726">
        <f t="shared" si="71"/>
        <v>73.565999999999988</v>
      </c>
    </row>
    <row r="727" spans="1:25" x14ac:dyDescent="0.25">
      <c r="A727" t="s">
        <v>1742</v>
      </c>
      <c r="B727">
        <v>42344</v>
      </c>
      <c r="C727" t="str">
        <f t="shared" si="66"/>
        <v>2015</v>
      </c>
      <c r="D727" t="s">
        <v>1450</v>
      </c>
      <c r="E727" t="s">
        <v>341</v>
      </c>
      <c r="F727" t="s">
        <v>257</v>
      </c>
      <c r="G727" t="s">
        <v>258</v>
      </c>
      <c r="H727" t="s">
        <v>259</v>
      </c>
      <c r="I727" t="s">
        <v>342</v>
      </c>
      <c r="J727" t="s">
        <v>279</v>
      </c>
      <c r="K727" t="s">
        <v>630</v>
      </c>
      <c r="L727" t="s">
        <v>245</v>
      </c>
      <c r="M727" t="s">
        <v>253</v>
      </c>
      <c r="N727" t="s">
        <v>247</v>
      </c>
      <c r="O727">
        <v>42346</v>
      </c>
      <c r="P727">
        <v>1.17</v>
      </c>
      <c r="Q727">
        <v>2.78</v>
      </c>
      <c r="R727">
        <f t="shared" si="67"/>
        <v>1.6099999999999999</v>
      </c>
      <c r="S727">
        <v>39</v>
      </c>
      <c r="T727">
        <f t="shared" si="68"/>
        <v>108.41999999999999</v>
      </c>
      <c r="U727">
        <v>0.05</v>
      </c>
      <c r="V727">
        <f t="shared" si="69"/>
        <v>5.4209999999999994</v>
      </c>
      <c r="W727">
        <f t="shared" si="70"/>
        <v>102.999</v>
      </c>
      <c r="X727">
        <v>1.2</v>
      </c>
      <c r="Y727">
        <f t="shared" si="71"/>
        <v>104.199</v>
      </c>
    </row>
    <row r="728" spans="1:25" x14ac:dyDescent="0.25">
      <c r="A728" t="s">
        <v>1743</v>
      </c>
      <c r="B728">
        <v>42344</v>
      </c>
      <c r="C728" t="str">
        <f t="shared" si="66"/>
        <v>2015</v>
      </c>
      <c r="D728" t="s">
        <v>1744</v>
      </c>
      <c r="E728" t="s">
        <v>352</v>
      </c>
      <c r="F728" t="s">
        <v>257</v>
      </c>
      <c r="G728" t="s">
        <v>258</v>
      </c>
      <c r="H728" t="s">
        <v>259</v>
      </c>
      <c r="I728" t="s">
        <v>275</v>
      </c>
      <c r="J728" t="s">
        <v>294</v>
      </c>
      <c r="K728" t="s">
        <v>453</v>
      </c>
      <c r="L728" t="s">
        <v>245</v>
      </c>
      <c r="M728" t="s">
        <v>246</v>
      </c>
      <c r="N728" t="s">
        <v>247</v>
      </c>
      <c r="O728">
        <v>42345</v>
      </c>
      <c r="P728">
        <v>1.18</v>
      </c>
      <c r="Q728">
        <v>1.88</v>
      </c>
      <c r="R728">
        <f t="shared" si="67"/>
        <v>0.7</v>
      </c>
      <c r="S728">
        <v>20</v>
      </c>
      <c r="T728">
        <f t="shared" si="68"/>
        <v>37.599999999999994</v>
      </c>
      <c r="U728">
        <v>7.0000000000000007E-2</v>
      </c>
      <c r="V728">
        <f t="shared" si="69"/>
        <v>2.6319999999999997</v>
      </c>
      <c r="W728">
        <f t="shared" si="70"/>
        <v>34.967999999999996</v>
      </c>
      <c r="X728">
        <v>1.49</v>
      </c>
      <c r="Y728">
        <f t="shared" si="71"/>
        <v>36.457999999999998</v>
      </c>
    </row>
    <row r="729" spans="1:25" x14ac:dyDescent="0.25">
      <c r="A729" t="s">
        <v>1745</v>
      </c>
      <c r="B729">
        <v>42346</v>
      </c>
      <c r="C729" t="str">
        <f t="shared" si="66"/>
        <v>2015</v>
      </c>
      <c r="D729" t="s">
        <v>664</v>
      </c>
      <c r="E729" t="s">
        <v>665</v>
      </c>
      <c r="F729" t="s">
        <v>448</v>
      </c>
      <c r="G729" t="s">
        <v>449</v>
      </c>
      <c r="H729" t="s">
        <v>259</v>
      </c>
      <c r="I729" t="s">
        <v>333</v>
      </c>
      <c r="J729" t="s">
        <v>279</v>
      </c>
      <c r="K729" t="s">
        <v>529</v>
      </c>
      <c r="L729" t="s">
        <v>245</v>
      </c>
      <c r="M729" t="s">
        <v>253</v>
      </c>
      <c r="N729" t="s">
        <v>247</v>
      </c>
      <c r="O729">
        <v>42350</v>
      </c>
      <c r="P729">
        <v>1.6</v>
      </c>
      <c r="Q729">
        <v>2.62</v>
      </c>
      <c r="R729">
        <f t="shared" si="67"/>
        <v>1.02</v>
      </c>
      <c r="S729">
        <v>26</v>
      </c>
      <c r="T729">
        <f t="shared" si="68"/>
        <v>68.12</v>
      </c>
      <c r="U729">
        <v>0.08</v>
      </c>
      <c r="V729">
        <f t="shared" si="69"/>
        <v>5.4496000000000002</v>
      </c>
      <c r="W729">
        <f t="shared" si="70"/>
        <v>62.670400000000001</v>
      </c>
      <c r="X729">
        <v>0.8</v>
      </c>
      <c r="Y729">
        <f t="shared" si="71"/>
        <v>63.470399999999998</v>
      </c>
    </row>
    <row r="730" spans="1:25" x14ac:dyDescent="0.25">
      <c r="A730" t="s">
        <v>1746</v>
      </c>
      <c r="B730">
        <v>42347</v>
      </c>
      <c r="C730" t="str">
        <f t="shared" si="66"/>
        <v>2015</v>
      </c>
      <c r="D730" t="s">
        <v>355</v>
      </c>
      <c r="E730" t="s">
        <v>356</v>
      </c>
      <c r="F730" t="s">
        <v>239</v>
      </c>
      <c r="G730" t="s">
        <v>240</v>
      </c>
      <c r="H730" t="s">
        <v>259</v>
      </c>
      <c r="I730" t="s">
        <v>251</v>
      </c>
      <c r="J730" t="s">
        <v>243</v>
      </c>
      <c r="K730" t="s">
        <v>280</v>
      </c>
      <c r="L730" t="s">
        <v>245</v>
      </c>
      <c r="M730" t="s">
        <v>253</v>
      </c>
      <c r="N730" t="s">
        <v>247</v>
      </c>
      <c r="O730">
        <v>42347</v>
      </c>
      <c r="P730">
        <v>1.0900000000000001</v>
      </c>
      <c r="Q730">
        <v>2.6</v>
      </c>
      <c r="R730">
        <f t="shared" si="67"/>
        <v>1.51</v>
      </c>
      <c r="S730">
        <v>14</v>
      </c>
      <c r="T730">
        <f t="shared" si="68"/>
        <v>36.4</v>
      </c>
      <c r="U730">
        <v>0.08</v>
      </c>
      <c r="V730">
        <f t="shared" si="69"/>
        <v>2.9119999999999999</v>
      </c>
      <c r="W730">
        <f t="shared" si="70"/>
        <v>33.488</v>
      </c>
      <c r="X730">
        <v>2.4</v>
      </c>
      <c r="Y730">
        <f t="shared" si="71"/>
        <v>35.887999999999998</v>
      </c>
    </row>
    <row r="731" spans="1:25" x14ac:dyDescent="0.25">
      <c r="A731" t="s">
        <v>1747</v>
      </c>
      <c r="B731">
        <v>42347</v>
      </c>
      <c r="C731" t="str">
        <f t="shared" si="66"/>
        <v>2015</v>
      </c>
      <c r="D731" t="s">
        <v>1718</v>
      </c>
      <c r="E731" t="s">
        <v>356</v>
      </c>
      <c r="F731" t="s">
        <v>239</v>
      </c>
      <c r="G731" t="s">
        <v>240</v>
      </c>
      <c r="H731" t="s">
        <v>241</v>
      </c>
      <c r="I731" t="s">
        <v>251</v>
      </c>
      <c r="J731" t="s">
        <v>304</v>
      </c>
      <c r="K731" t="s">
        <v>1748</v>
      </c>
      <c r="L731" t="s">
        <v>245</v>
      </c>
      <c r="M731" t="s">
        <v>253</v>
      </c>
      <c r="N731" t="s">
        <v>263</v>
      </c>
      <c r="O731">
        <v>42348</v>
      </c>
      <c r="P731">
        <v>0.32</v>
      </c>
      <c r="Q731">
        <v>1.68</v>
      </c>
      <c r="R731">
        <f t="shared" si="67"/>
        <v>1.3599999999999999</v>
      </c>
      <c r="S731">
        <v>6</v>
      </c>
      <c r="T731">
        <f t="shared" si="68"/>
        <v>10.08</v>
      </c>
      <c r="U731">
        <v>0.05</v>
      </c>
      <c r="V731">
        <f t="shared" si="69"/>
        <v>0.504</v>
      </c>
      <c r="W731">
        <f t="shared" si="70"/>
        <v>9.5760000000000005</v>
      </c>
      <c r="X731">
        <v>1.02</v>
      </c>
      <c r="Y731">
        <f t="shared" si="71"/>
        <v>10.596</v>
      </c>
    </row>
    <row r="732" spans="1:25" x14ac:dyDescent="0.25">
      <c r="A732" t="s">
        <v>1749</v>
      </c>
      <c r="B732">
        <v>42354</v>
      </c>
      <c r="C732" t="str">
        <f t="shared" si="66"/>
        <v>2015</v>
      </c>
      <c r="D732" t="s">
        <v>908</v>
      </c>
      <c r="E732" t="s">
        <v>909</v>
      </c>
      <c r="F732" t="s">
        <v>448</v>
      </c>
      <c r="G732" t="s">
        <v>449</v>
      </c>
      <c r="H732" t="s">
        <v>241</v>
      </c>
      <c r="I732" t="s">
        <v>333</v>
      </c>
      <c r="J732" t="s">
        <v>261</v>
      </c>
      <c r="K732" t="s">
        <v>373</v>
      </c>
      <c r="L732" t="s">
        <v>268</v>
      </c>
      <c r="M732" t="s">
        <v>246</v>
      </c>
      <c r="N732" t="s">
        <v>263</v>
      </c>
      <c r="O732">
        <v>42356</v>
      </c>
      <c r="P732">
        <v>6.39</v>
      </c>
      <c r="Q732">
        <v>19.98</v>
      </c>
      <c r="R732">
        <f t="shared" si="67"/>
        <v>13.59</v>
      </c>
      <c r="S732">
        <v>18</v>
      </c>
      <c r="T732">
        <f t="shared" si="68"/>
        <v>359.64</v>
      </c>
      <c r="U732">
        <v>0.04</v>
      </c>
      <c r="V732">
        <f t="shared" si="69"/>
        <v>14.3856</v>
      </c>
      <c r="W732">
        <f t="shared" si="70"/>
        <v>345.25439999999998</v>
      </c>
      <c r="X732">
        <v>4</v>
      </c>
      <c r="Y732">
        <f t="shared" si="71"/>
        <v>349.25439999999998</v>
      </c>
    </row>
    <row r="733" spans="1:25" x14ac:dyDescent="0.25">
      <c r="A733" t="s">
        <v>1750</v>
      </c>
      <c r="B733">
        <v>42354</v>
      </c>
      <c r="C733" t="str">
        <f t="shared" si="66"/>
        <v>2015</v>
      </c>
      <c r="D733" t="s">
        <v>908</v>
      </c>
      <c r="E733" t="s">
        <v>909</v>
      </c>
      <c r="F733" t="s">
        <v>448</v>
      </c>
      <c r="G733" t="s">
        <v>449</v>
      </c>
      <c r="H733" t="s">
        <v>241</v>
      </c>
      <c r="I733" t="s">
        <v>333</v>
      </c>
      <c r="J733" t="s">
        <v>261</v>
      </c>
      <c r="K733" t="s">
        <v>734</v>
      </c>
      <c r="L733" t="s">
        <v>245</v>
      </c>
      <c r="M733" t="s">
        <v>246</v>
      </c>
      <c r="N733" t="s">
        <v>247</v>
      </c>
      <c r="O733">
        <v>42356</v>
      </c>
      <c r="P733">
        <v>14.95</v>
      </c>
      <c r="Q733">
        <v>34.76</v>
      </c>
      <c r="R733">
        <f t="shared" si="67"/>
        <v>19.809999999999999</v>
      </c>
      <c r="S733">
        <v>46</v>
      </c>
      <c r="T733">
        <f t="shared" si="68"/>
        <v>1598.9599999999998</v>
      </c>
      <c r="U733">
        <v>0.09</v>
      </c>
      <c r="V733">
        <f t="shared" si="69"/>
        <v>143.90639999999999</v>
      </c>
      <c r="W733">
        <f t="shared" si="70"/>
        <v>1455.0535999999997</v>
      </c>
      <c r="X733">
        <v>8.2200000000000006</v>
      </c>
      <c r="Y733">
        <f t="shared" si="71"/>
        <v>1463.2735999999998</v>
      </c>
    </row>
    <row r="734" spans="1:25" x14ac:dyDescent="0.25">
      <c r="A734" t="s">
        <v>1751</v>
      </c>
      <c r="B734">
        <v>42354</v>
      </c>
      <c r="C734" t="str">
        <f t="shared" si="66"/>
        <v>2015</v>
      </c>
      <c r="D734" t="s">
        <v>1343</v>
      </c>
      <c r="E734" t="s">
        <v>288</v>
      </c>
      <c r="F734" t="s">
        <v>257</v>
      </c>
      <c r="G734" t="s">
        <v>258</v>
      </c>
      <c r="H734" t="s">
        <v>274</v>
      </c>
      <c r="I734" t="s">
        <v>284</v>
      </c>
      <c r="J734" t="s">
        <v>304</v>
      </c>
      <c r="K734" t="s">
        <v>285</v>
      </c>
      <c r="L734" t="s">
        <v>245</v>
      </c>
      <c r="M734" t="s">
        <v>246</v>
      </c>
      <c r="N734" t="s">
        <v>247</v>
      </c>
      <c r="O734">
        <v>42355</v>
      </c>
      <c r="P734">
        <v>99.39</v>
      </c>
      <c r="Q734">
        <v>162.93</v>
      </c>
      <c r="R734">
        <f t="shared" si="67"/>
        <v>63.540000000000006</v>
      </c>
      <c r="S734">
        <v>41</v>
      </c>
      <c r="T734">
        <f t="shared" si="68"/>
        <v>6680.13</v>
      </c>
      <c r="U734">
        <v>0.01</v>
      </c>
      <c r="V734">
        <f t="shared" si="69"/>
        <v>66.801299999999998</v>
      </c>
      <c r="W734">
        <f t="shared" si="70"/>
        <v>6613.3287</v>
      </c>
      <c r="X734">
        <v>19.989999999999998</v>
      </c>
      <c r="Y734">
        <f t="shared" si="71"/>
        <v>6633.3186999999998</v>
      </c>
    </row>
    <row r="735" spans="1:25" x14ac:dyDescent="0.25">
      <c r="A735" t="s">
        <v>1752</v>
      </c>
      <c r="B735">
        <v>42357</v>
      </c>
      <c r="C735" t="str">
        <f t="shared" si="66"/>
        <v>2015</v>
      </c>
      <c r="D735" t="s">
        <v>278</v>
      </c>
      <c r="E735" t="s">
        <v>266</v>
      </c>
      <c r="F735" t="s">
        <v>239</v>
      </c>
      <c r="G735" t="s">
        <v>240</v>
      </c>
      <c r="H735" t="s">
        <v>241</v>
      </c>
      <c r="I735" t="s">
        <v>242</v>
      </c>
      <c r="J735" t="s">
        <v>294</v>
      </c>
      <c r="K735" t="s">
        <v>698</v>
      </c>
      <c r="L735" t="s">
        <v>245</v>
      </c>
      <c r="M735" t="s">
        <v>253</v>
      </c>
      <c r="N735" t="s">
        <v>247</v>
      </c>
      <c r="O735">
        <v>42359</v>
      </c>
      <c r="P735">
        <v>3.32</v>
      </c>
      <c r="Q735">
        <v>5.18</v>
      </c>
      <c r="R735">
        <f t="shared" si="67"/>
        <v>1.8599999999999999</v>
      </c>
      <c r="S735">
        <v>25</v>
      </c>
      <c r="T735">
        <f t="shared" si="68"/>
        <v>129.5</v>
      </c>
      <c r="U735">
        <v>0.1</v>
      </c>
      <c r="V735">
        <f t="shared" si="69"/>
        <v>12.950000000000001</v>
      </c>
      <c r="W735">
        <f t="shared" si="70"/>
        <v>116.55</v>
      </c>
      <c r="X735">
        <v>2.04</v>
      </c>
      <c r="Y735">
        <f t="shared" si="71"/>
        <v>118.59</v>
      </c>
    </row>
    <row r="736" spans="1:25" x14ac:dyDescent="0.25">
      <c r="A736" t="s">
        <v>1753</v>
      </c>
      <c r="B736">
        <v>42357</v>
      </c>
      <c r="C736" t="str">
        <f t="shared" si="66"/>
        <v>2015</v>
      </c>
      <c r="D736" t="s">
        <v>1312</v>
      </c>
      <c r="E736" t="s">
        <v>789</v>
      </c>
      <c r="F736" t="s">
        <v>257</v>
      </c>
      <c r="G736" t="s">
        <v>258</v>
      </c>
      <c r="H736" t="s">
        <v>259</v>
      </c>
      <c r="I736" t="s">
        <v>309</v>
      </c>
      <c r="J736" t="s">
        <v>261</v>
      </c>
      <c r="K736" t="s">
        <v>607</v>
      </c>
      <c r="L736" t="s">
        <v>245</v>
      </c>
      <c r="M736" t="s">
        <v>246</v>
      </c>
      <c r="N736" t="s">
        <v>247</v>
      </c>
      <c r="O736">
        <v>42359</v>
      </c>
      <c r="P736">
        <v>4.46</v>
      </c>
      <c r="Q736">
        <v>10.89</v>
      </c>
      <c r="R736">
        <f t="shared" si="67"/>
        <v>6.4300000000000006</v>
      </c>
      <c r="S736">
        <v>30</v>
      </c>
      <c r="T736">
        <f t="shared" si="68"/>
        <v>326.70000000000005</v>
      </c>
      <c r="U736">
        <v>0.08</v>
      </c>
      <c r="V736">
        <f t="shared" si="69"/>
        <v>26.136000000000003</v>
      </c>
      <c r="W736">
        <f t="shared" si="70"/>
        <v>300.56400000000002</v>
      </c>
      <c r="X736">
        <v>4.5</v>
      </c>
      <c r="Y736">
        <f t="shared" si="71"/>
        <v>305.06400000000002</v>
      </c>
    </row>
    <row r="737" spans="1:25" x14ac:dyDescent="0.25">
      <c r="A737" t="s">
        <v>1754</v>
      </c>
      <c r="B737">
        <v>42360</v>
      </c>
      <c r="C737" t="str">
        <f t="shared" si="66"/>
        <v>2015</v>
      </c>
      <c r="D737" t="s">
        <v>690</v>
      </c>
      <c r="E737" t="s">
        <v>691</v>
      </c>
      <c r="F737" t="s">
        <v>448</v>
      </c>
      <c r="G737" t="s">
        <v>449</v>
      </c>
      <c r="H737" t="s">
        <v>241</v>
      </c>
      <c r="I737" t="s">
        <v>504</v>
      </c>
      <c r="J737" t="s">
        <v>294</v>
      </c>
      <c r="K737" t="s">
        <v>429</v>
      </c>
      <c r="L737" t="s">
        <v>268</v>
      </c>
      <c r="M737" t="s">
        <v>246</v>
      </c>
      <c r="N737" t="s">
        <v>247</v>
      </c>
      <c r="O737">
        <v>42362</v>
      </c>
      <c r="P737">
        <v>19.78</v>
      </c>
      <c r="Q737">
        <v>45.99</v>
      </c>
      <c r="R737">
        <f t="shared" si="67"/>
        <v>26.21</v>
      </c>
      <c r="S737">
        <v>11</v>
      </c>
      <c r="T737">
        <f t="shared" si="68"/>
        <v>505.89000000000004</v>
      </c>
      <c r="U737">
        <v>7.0000000000000007E-2</v>
      </c>
      <c r="V737">
        <f t="shared" si="69"/>
        <v>35.412300000000009</v>
      </c>
      <c r="W737">
        <f t="shared" si="70"/>
        <v>470.47770000000003</v>
      </c>
      <c r="X737">
        <v>4.99</v>
      </c>
      <c r="Y737">
        <f t="shared" si="71"/>
        <v>475.46770000000004</v>
      </c>
    </row>
    <row r="738" spans="1:25" x14ac:dyDescent="0.25">
      <c r="A738" t="s">
        <v>1755</v>
      </c>
      <c r="B738">
        <v>42362</v>
      </c>
      <c r="C738" t="str">
        <f t="shared" si="66"/>
        <v>2015</v>
      </c>
      <c r="D738" t="s">
        <v>838</v>
      </c>
      <c r="E738" t="s">
        <v>288</v>
      </c>
      <c r="F738" t="s">
        <v>257</v>
      </c>
      <c r="G738" t="s">
        <v>258</v>
      </c>
      <c r="H738" t="s">
        <v>259</v>
      </c>
      <c r="I738" t="s">
        <v>284</v>
      </c>
      <c r="J738" t="s">
        <v>261</v>
      </c>
      <c r="K738" t="s">
        <v>453</v>
      </c>
      <c r="L738" t="s">
        <v>245</v>
      </c>
      <c r="M738" t="s">
        <v>246</v>
      </c>
      <c r="N738" t="s">
        <v>247</v>
      </c>
      <c r="O738">
        <v>42364</v>
      </c>
      <c r="P738">
        <v>1.18</v>
      </c>
      <c r="Q738">
        <v>1.88</v>
      </c>
      <c r="R738">
        <f t="shared" si="67"/>
        <v>0.7</v>
      </c>
      <c r="S738">
        <v>39</v>
      </c>
      <c r="T738">
        <f t="shared" si="68"/>
        <v>73.319999999999993</v>
      </c>
      <c r="U738">
        <v>7.0000000000000007E-2</v>
      </c>
      <c r="V738">
        <f t="shared" si="69"/>
        <v>5.1323999999999996</v>
      </c>
      <c r="W738">
        <f t="shared" si="70"/>
        <v>68.187599999999989</v>
      </c>
      <c r="X738">
        <v>1.49</v>
      </c>
      <c r="Y738">
        <f t="shared" si="71"/>
        <v>69.677599999999984</v>
      </c>
    </row>
    <row r="739" spans="1:25" x14ac:dyDescent="0.25">
      <c r="A739" t="s">
        <v>1756</v>
      </c>
      <c r="B739">
        <v>42363</v>
      </c>
      <c r="C739" t="str">
        <f t="shared" si="66"/>
        <v>2015</v>
      </c>
      <c r="D739" t="s">
        <v>1147</v>
      </c>
      <c r="E739" t="s">
        <v>320</v>
      </c>
      <c r="F739" t="s">
        <v>257</v>
      </c>
      <c r="G739" t="s">
        <v>258</v>
      </c>
      <c r="H739" t="s">
        <v>259</v>
      </c>
      <c r="I739" t="s">
        <v>260</v>
      </c>
      <c r="J739" t="s">
        <v>279</v>
      </c>
      <c r="K739" t="s">
        <v>939</v>
      </c>
      <c r="L739" t="s">
        <v>268</v>
      </c>
      <c r="M739" t="s">
        <v>647</v>
      </c>
      <c r="N739" t="s">
        <v>247</v>
      </c>
      <c r="O739">
        <v>42370</v>
      </c>
      <c r="P739">
        <v>377.99</v>
      </c>
      <c r="Q739">
        <v>599.99</v>
      </c>
      <c r="R739">
        <f t="shared" si="67"/>
        <v>222</v>
      </c>
      <c r="S739">
        <v>17</v>
      </c>
      <c r="T739">
        <f t="shared" si="68"/>
        <v>10199.83</v>
      </c>
      <c r="U739">
        <v>0.08</v>
      </c>
      <c r="V739">
        <f t="shared" si="69"/>
        <v>815.9864</v>
      </c>
      <c r="W739">
        <f t="shared" si="70"/>
        <v>9383.8436000000002</v>
      </c>
      <c r="X739">
        <v>24.49</v>
      </c>
      <c r="Y739">
        <f t="shared" si="71"/>
        <v>9408.3335999999999</v>
      </c>
    </row>
    <row r="740" spans="1:25" x14ac:dyDescent="0.25">
      <c r="A740" t="s">
        <v>1757</v>
      </c>
      <c r="B740">
        <v>42363</v>
      </c>
      <c r="C740" t="str">
        <f t="shared" si="66"/>
        <v>2015</v>
      </c>
      <c r="D740" t="s">
        <v>602</v>
      </c>
      <c r="E740" t="s">
        <v>428</v>
      </c>
      <c r="F740" t="s">
        <v>257</v>
      </c>
      <c r="G740" t="s">
        <v>258</v>
      </c>
      <c r="H740" t="s">
        <v>259</v>
      </c>
      <c r="I740" t="s">
        <v>333</v>
      </c>
      <c r="J740" t="s">
        <v>243</v>
      </c>
      <c r="K740" t="s">
        <v>289</v>
      </c>
      <c r="L740" t="s">
        <v>245</v>
      </c>
      <c r="M740" t="s">
        <v>253</v>
      </c>
      <c r="N740" t="s">
        <v>247</v>
      </c>
      <c r="O740">
        <v>42364</v>
      </c>
      <c r="P740">
        <v>1.0900000000000001</v>
      </c>
      <c r="Q740">
        <v>1.68</v>
      </c>
      <c r="R740">
        <f t="shared" si="67"/>
        <v>0.58999999999999986</v>
      </c>
      <c r="S740">
        <v>24</v>
      </c>
      <c r="T740">
        <f t="shared" si="68"/>
        <v>40.32</v>
      </c>
      <c r="U740">
        <v>0.05</v>
      </c>
      <c r="V740">
        <f t="shared" si="69"/>
        <v>2.016</v>
      </c>
      <c r="W740">
        <f t="shared" si="70"/>
        <v>38.304000000000002</v>
      </c>
      <c r="X740">
        <v>1</v>
      </c>
      <c r="Y740">
        <f t="shared" si="71"/>
        <v>39.304000000000002</v>
      </c>
    </row>
    <row r="741" spans="1:25" x14ac:dyDescent="0.25">
      <c r="A741" t="s">
        <v>1758</v>
      </c>
      <c r="B741">
        <v>42366</v>
      </c>
      <c r="C741" t="str">
        <f t="shared" si="66"/>
        <v>2015</v>
      </c>
      <c r="D741" t="s">
        <v>1759</v>
      </c>
      <c r="E741" t="s">
        <v>1115</v>
      </c>
      <c r="F741" t="s">
        <v>239</v>
      </c>
      <c r="G741" t="s">
        <v>240</v>
      </c>
      <c r="H741" t="s">
        <v>241</v>
      </c>
      <c r="I741" t="s">
        <v>242</v>
      </c>
      <c r="J741" t="s">
        <v>243</v>
      </c>
      <c r="K741" t="s">
        <v>413</v>
      </c>
      <c r="L741" t="s">
        <v>268</v>
      </c>
      <c r="M741" t="s">
        <v>414</v>
      </c>
      <c r="N741" t="s">
        <v>247</v>
      </c>
      <c r="O741">
        <v>42367</v>
      </c>
      <c r="P741">
        <v>8.82</v>
      </c>
      <c r="Q741">
        <v>20.99</v>
      </c>
      <c r="R741">
        <f t="shared" si="67"/>
        <v>12.169999999999998</v>
      </c>
      <c r="S741">
        <v>30</v>
      </c>
      <c r="T741">
        <f t="shared" si="68"/>
        <v>629.69999999999993</v>
      </c>
      <c r="U741">
        <v>0.03</v>
      </c>
      <c r="V741">
        <f t="shared" si="69"/>
        <v>18.890999999999998</v>
      </c>
      <c r="W741">
        <f t="shared" si="70"/>
        <v>610.80899999999997</v>
      </c>
      <c r="X741">
        <v>4.8099999999999996</v>
      </c>
      <c r="Y741">
        <f t="shared" si="71"/>
        <v>615.61899999999991</v>
      </c>
    </row>
    <row r="742" spans="1:25" x14ac:dyDescent="0.25">
      <c r="A742" t="s">
        <v>1760</v>
      </c>
      <c r="B742">
        <v>42366</v>
      </c>
      <c r="C742" t="str">
        <f t="shared" si="66"/>
        <v>2015</v>
      </c>
      <c r="D742" t="s">
        <v>1072</v>
      </c>
      <c r="E742" t="s">
        <v>463</v>
      </c>
      <c r="F742" t="s">
        <v>257</v>
      </c>
      <c r="G742" t="s">
        <v>258</v>
      </c>
      <c r="H742" t="s">
        <v>293</v>
      </c>
      <c r="I742" t="s">
        <v>333</v>
      </c>
      <c r="J742" t="s">
        <v>261</v>
      </c>
      <c r="K742" t="s">
        <v>453</v>
      </c>
      <c r="L742" t="s">
        <v>245</v>
      </c>
      <c r="M742" t="s">
        <v>246</v>
      </c>
      <c r="N742" t="s">
        <v>247</v>
      </c>
      <c r="O742">
        <v>42368</v>
      </c>
      <c r="P742">
        <v>1.18</v>
      </c>
      <c r="Q742">
        <v>1.88</v>
      </c>
      <c r="R742">
        <f t="shared" si="67"/>
        <v>0.7</v>
      </c>
      <c r="S742">
        <v>1</v>
      </c>
      <c r="T742">
        <f t="shared" si="68"/>
        <v>1.88</v>
      </c>
      <c r="U742">
        <v>0.09</v>
      </c>
      <c r="V742">
        <f t="shared" si="69"/>
        <v>0.16919999999999999</v>
      </c>
      <c r="W742">
        <f t="shared" si="70"/>
        <v>1.7107999999999999</v>
      </c>
      <c r="X742">
        <v>1.49</v>
      </c>
      <c r="Y742">
        <f t="shared" si="71"/>
        <v>3.2008000000000001</v>
      </c>
    </row>
    <row r="743" spans="1:25" x14ac:dyDescent="0.25">
      <c r="A743" t="s">
        <v>1761</v>
      </c>
      <c r="B743">
        <v>42366</v>
      </c>
      <c r="C743" t="str">
        <f t="shared" si="66"/>
        <v>2015</v>
      </c>
      <c r="D743" t="s">
        <v>1660</v>
      </c>
      <c r="E743" t="s">
        <v>1661</v>
      </c>
      <c r="F743" t="s">
        <v>448</v>
      </c>
      <c r="G743" t="s">
        <v>449</v>
      </c>
      <c r="H743" t="s">
        <v>259</v>
      </c>
      <c r="I743" t="s">
        <v>381</v>
      </c>
      <c r="J743" t="s">
        <v>279</v>
      </c>
      <c r="K743" t="s">
        <v>786</v>
      </c>
      <c r="L743" t="s">
        <v>245</v>
      </c>
      <c r="M743" t="s">
        <v>323</v>
      </c>
      <c r="N743" t="s">
        <v>263</v>
      </c>
      <c r="O743">
        <v>42373</v>
      </c>
      <c r="P743">
        <v>16.8</v>
      </c>
      <c r="Q743">
        <v>40.97</v>
      </c>
      <c r="R743">
        <f t="shared" si="67"/>
        <v>24.169999999999998</v>
      </c>
      <c r="S743">
        <v>49</v>
      </c>
      <c r="T743">
        <f t="shared" si="68"/>
        <v>2007.53</v>
      </c>
      <c r="U743">
        <v>0.1</v>
      </c>
      <c r="V743">
        <f t="shared" si="69"/>
        <v>200.75300000000001</v>
      </c>
      <c r="W743">
        <f t="shared" si="70"/>
        <v>1806.777</v>
      </c>
      <c r="X743">
        <v>8.99</v>
      </c>
      <c r="Y743">
        <f t="shared" si="71"/>
        <v>1815.7670000000001</v>
      </c>
    </row>
    <row r="744" spans="1:25" x14ac:dyDescent="0.25">
      <c r="A744" t="s">
        <v>1762</v>
      </c>
      <c r="B744">
        <v>42369</v>
      </c>
      <c r="C744" t="str">
        <f t="shared" si="66"/>
        <v>2015</v>
      </c>
      <c r="D744" t="s">
        <v>988</v>
      </c>
      <c r="E744" t="s">
        <v>989</v>
      </c>
      <c r="F744" t="s">
        <v>448</v>
      </c>
      <c r="G744" t="s">
        <v>449</v>
      </c>
      <c r="H744" t="s">
        <v>241</v>
      </c>
      <c r="I744" t="s">
        <v>299</v>
      </c>
      <c r="J744" t="s">
        <v>243</v>
      </c>
      <c r="K744" t="s">
        <v>776</v>
      </c>
      <c r="L744" t="s">
        <v>245</v>
      </c>
      <c r="M744" t="s">
        <v>246</v>
      </c>
      <c r="N744" t="s">
        <v>247</v>
      </c>
      <c r="O744">
        <v>42370</v>
      </c>
      <c r="P744">
        <v>4.53</v>
      </c>
      <c r="Q744">
        <v>7.3</v>
      </c>
      <c r="R744">
        <f t="shared" si="67"/>
        <v>2.7699999999999996</v>
      </c>
      <c r="S744">
        <v>38</v>
      </c>
      <c r="T744">
        <f t="shared" si="68"/>
        <v>277.39999999999998</v>
      </c>
      <c r="U744">
        <v>0.05</v>
      </c>
      <c r="V744">
        <f t="shared" si="69"/>
        <v>13.87</v>
      </c>
      <c r="W744">
        <f t="shared" si="70"/>
        <v>263.52999999999997</v>
      </c>
      <c r="X744">
        <v>7.72</v>
      </c>
      <c r="Y744">
        <f t="shared" si="71"/>
        <v>271.25</v>
      </c>
    </row>
    <row r="745" spans="1:25" x14ac:dyDescent="0.25">
      <c r="A745" t="s">
        <v>1763</v>
      </c>
      <c r="B745">
        <v>42369</v>
      </c>
      <c r="C745" t="str">
        <f t="shared" si="66"/>
        <v>2015</v>
      </c>
      <c r="D745" t="s">
        <v>988</v>
      </c>
      <c r="E745" t="s">
        <v>989</v>
      </c>
      <c r="F745" t="s">
        <v>448</v>
      </c>
      <c r="G745" t="s">
        <v>449</v>
      </c>
      <c r="H745" t="s">
        <v>241</v>
      </c>
      <c r="I745" t="s">
        <v>299</v>
      </c>
      <c r="J745" t="s">
        <v>304</v>
      </c>
      <c r="K745" t="s">
        <v>799</v>
      </c>
      <c r="L745" t="s">
        <v>245</v>
      </c>
      <c r="M745" t="s">
        <v>246</v>
      </c>
      <c r="N745" t="s">
        <v>247</v>
      </c>
      <c r="O745">
        <v>42370</v>
      </c>
      <c r="P745">
        <v>2.29</v>
      </c>
      <c r="Q745">
        <v>3.69</v>
      </c>
      <c r="R745">
        <f t="shared" si="67"/>
        <v>1.4</v>
      </c>
      <c r="S745">
        <v>41</v>
      </c>
      <c r="T745">
        <f t="shared" si="68"/>
        <v>151.29</v>
      </c>
      <c r="U745">
        <v>0.01</v>
      </c>
      <c r="V745">
        <f t="shared" si="69"/>
        <v>1.5128999999999999</v>
      </c>
      <c r="W745">
        <f t="shared" si="70"/>
        <v>149.77709999999999</v>
      </c>
      <c r="X745">
        <v>0.5</v>
      </c>
      <c r="Y745">
        <f t="shared" si="71"/>
        <v>150.27709999999999</v>
      </c>
    </row>
    <row r="746" spans="1:25" x14ac:dyDescent="0.25">
      <c r="A746" t="s">
        <v>1763</v>
      </c>
      <c r="B746">
        <v>42369</v>
      </c>
      <c r="C746" t="str">
        <f t="shared" si="66"/>
        <v>2015</v>
      </c>
      <c r="D746" t="s">
        <v>988</v>
      </c>
      <c r="E746" t="s">
        <v>989</v>
      </c>
      <c r="F746" t="s">
        <v>448</v>
      </c>
      <c r="G746" t="s">
        <v>449</v>
      </c>
      <c r="H746" t="s">
        <v>241</v>
      </c>
      <c r="I746" t="s">
        <v>299</v>
      </c>
      <c r="J746" t="s">
        <v>243</v>
      </c>
      <c r="K746" t="s">
        <v>572</v>
      </c>
      <c r="L746" t="s">
        <v>245</v>
      </c>
      <c r="M746" t="s">
        <v>253</v>
      </c>
      <c r="N746" t="s">
        <v>263</v>
      </c>
      <c r="O746">
        <v>42370</v>
      </c>
      <c r="P746">
        <v>4.37</v>
      </c>
      <c r="Q746">
        <v>9.11</v>
      </c>
      <c r="R746">
        <f t="shared" si="67"/>
        <v>4.7399999999999993</v>
      </c>
      <c r="S746">
        <v>21</v>
      </c>
      <c r="T746">
        <f t="shared" si="68"/>
        <v>191.31</v>
      </c>
      <c r="U746">
        <v>0.03</v>
      </c>
      <c r="V746">
        <f t="shared" si="69"/>
        <v>5.7393000000000001</v>
      </c>
      <c r="W746">
        <f t="shared" si="70"/>
        <v>185.57069999999999</v>
      </c>
      <c r="X746">
        <v>2.25</v>
      </c>
      <c r="Y746">
        <f t="shared" si="71"/>
        <v>187.82069999999999</v>
      </c>
    </row>
    <row r="747" spans="1:25" x14ac:dyDescent="0.25">
      <c r="A747" t="s">
        <v>1764</v>
      </c>
      <c r="B747">
        <v>42371</v>
      </c>
      <c r="C747" t="str">
        <f t="shared" si="66"/>
        <v>2016</v>
      </c>
      <c r="D747" t="s">
        <v>1765</v>
      </c>
      <c r="E747" t="s">
        <v>1766</v>
      </c>
      <c r="F747" t="s">
        <v>257</v>
      </c>
      <c r="G747" t="s">
        <v>258</v>
      </c>
      <c r="H747" t="s">
        <v>259</v>
      </c>
      <c r="I747" t="s">
        <v>492</v>
      </c>
      <c r="J747" t="s">
        <v>294</v>
      </c>
      <c r="K747" t="s">
        <v>1130</v>
      </c>
      <c r="L747" t="s">
        <v>268</v>
      </c>
      <c r="M747" t="s">
        <v>246</v>
      </c>
      <c r="N747" t="s">
        <v>247</v>
      </c>
      <c r="O747">
        <v>42372</v>
      </c>
      <c r="P747">
        <v>14.7</v>
      </c>
      <c r="Q747">
        <v>29.99</v>
      </c>
      <c r="R747">
        <f t="shared" si="67"/>
        <v>15.29</v>
      </c>
      <c r="S747">
        <v>14</v>
      </c>
      <c r="T747">
        <f t="shared" si="68"/>
        <v>419.85999999999996</v>
      </c>
      <c r="U747">
        <v>0.04</v>
      </c>
      <c r="V747">
        <f t="shared" si="69"/>
        <v>16.7944</v>
      </c>
      <c r="W747">
        <f t="shared" si="70"/>
        <v>403.06559999999996</v>
      </c>
      <c r="X747">
        <v>5.5</v>
      </c>
      <c r="Y747">
        <f t="shared" si="71"/>
        <v>408.56559999999996</v>
      </c>
    </row>
    <row r="748" spans="1:25" x14ac:dyDescent="0.25">
      <c r="A748" t="s">
        <v>1767</v>
      </c>
      <c r="B748">
        <v>42378</v>
      </c>
      <c r="C748" t="str">
        <f t="shared" si="66"/>
        <v>2016</v>
      </c>
      <c r="D748" t="s">
        <v>1312</v>
      </c>
      <c r="E748" t="s">
        <v>789</v>
      </c>
      <c r="F748" t="s">
        <v>257</v>
      </c>
      <c r="G748" t="s">
        <v>258</v>
      </c>
      <c r="H748" t="s">
        <v>241</v>
      </c>
      <c r="I748" t="s">
        <v>309</v>
      </c>
      <c r="J748" t="s">
        <v>243</v>
      </c>
      <c r="K748" t="s">
        <v>399</v>
      </c>
      <c r="L748" t="s">
        <v>245</v>
      </c>
      <c r="M748" t="s">
        <v>253</v>
      </c>
      <c r="N748" t="s">
        <v>247</v>
      </c>
      <c r="O748">
        <v>42380</v>
      </c>
      <c r="P748">
        <v>3.47</v>
      </c>
      <c r="Q748">
        <v>6.68</v>
      </c>
      <c r="R748">
        <f t="shared" si="67"/>
        <v>3.2099999999999995</v>
      </c>
      <c r="S748">
        <v>10</v>
      </c>
      <c r="T748">
        <f t="shared" si="68"/>
        <v>66.8</v>
      </c>
      <c r="U748">
        <v>0.08</v>
      </c>
      <c r="V748">
        <f t="shared" si="69"/>
        <v>5.3440000000000003</v>
      </c>
      <c r="W748">
        <f t="shared" si="70"/>
        <v>61.455999999999996</v>
      </c>
      <c r="X748">
        <v>1.5</v>
      </c>
      <c r="Y748">
        <f t="shared" si="71"/>
        <v>62.955999999999996</v>
      </c>
    </row>
    <row r="749" spans="1:25" x14ac:dyDescent="0.25">
      <c r="A749" t="s">
        <v>1768</v>
      </c>
      <c r="B749">
        <v>42381</v>
      </c>
      <c r="C749" t="str">
        <f t="shared" si="66"/>
        <v>2016</v>
      </c>
      <c r="D749" t="s">
        <v>1355</v>
      </c>
      <c r="E749" t="s">
        <v>673</v>
      </c>
      <c r="F749" t="s">
        <v>257</v>
      </c>
      <c r="G749" t="s">
        <v>258</v>
      </c>
      <c r="H749" t="s">
        <v>241</v>
      </c>
      <c r="I749" t="s">
        <v>372</v>
      </c>
      <c r="J749" t="s">
        <v>243</v>
      </c>
      <c r="K749" t="s">
        <v>443</v>
      </c>
      <c r="L749" t="s">
        <v>245</v>
      </c>
      <c r="M749" t="s">
        <v>246</v>
      </c>
      <c r="N749" t="s">
        <v>247</v>
      </c>
      <c r="O749">
        <v>42383</v>
      </c>
      <c r="P749">
        <v>13.64</v>
      </c>
      <c r="Q749">
        <v>20.98</v>
      </c>
      <c r="R749">
        <f t="shared" si="67"/>
        <v>7.34</v>
      </c>
      <c r="S749">
        <v>34</v>
      </c>
      <c r="T749">
        <f t="shared" si="68"/>
        <v>713.32</v>
      </c>
      <c r="U749">
        <v>7.0000000000000007E-2</v>
      </c>
      <c r="V749">
        <f t="shared" si="69"/>
        <v>49.932400000000008</v>
      </c>
      <c r="W749">
        <f t="shared" si="70"/>
        <v>663.38760000000002</v>
      </c>
      <c r="X749">
        <v>1.49</v>
      </c>
      <c r="Y749">
        <f t="shared" si="71"/>
        <v>664.87760000000003</v>
      </c>
    </row>
    <row r="750" spans="1:25" x14ac:dyDescent="0.25">
      <c r="A750" t="s">
        <v>1769</v>
      </c>
      <c r="B750">
        <v>42386</v>
      </c>
      <c r="C750" t="str">
        <f t="shared" si="66"/>
        <v>2016</v>
      </c>
      <c r="D750" t="s">
        <v>319</v>
      </c>
      <c r="E750" t="s">
        <v>320</v>
      </c>
      <c r="F750" t="s">
        <v>257</v>
      </c>
      <c r="G750" t="s">
        <v>258</v>
      </c>
      <c r="H750" t="s">
        <v>241</v>
      </c>
      <c r="I750" t="s">
        <v>321</v>
      </c>
      <c r="J750" t="s">
        <v>243</v>
      </c>
      <c r="K750" t="s">
        <v>403</v>
      </c>
      <c r="L750" t="s">
        <v>268</v>
      </c>
      <c r="M750" t="s">
        <v>323</v>
      </c>
      <c r="N750" t="s">
        <v>247</v>
      </c>
      <c r="O750">
        <v>42387</v>
      </c>
      <c r="P750">
        <v>1.87</v>
      </c>
      <c r="Q750">
        <v>8.1199999999999992</v>
      </c>
      <c r="R750">
        <f t="shared" si="67"/>
        <v>6.2499999999999991</v>
      </c>
      <c r="S750">
        <v>47</v>
      </c>
      <c r="T750">
        <f t="shared" si="68"/>
        <v>381.64</v>
      </c>
      <c r="U750">
        <v>7.0000000000000007E-2</v>
      </c>
      <c r="V750">
        <f t="shared" si="69"/>
        <v>26.7148</v>
      </c>
      <c r="W750">
        <f t="shared" si="70"/>
        <v>354.92519999999996</v>
      </c>
      <c r="X750">
        <v>2.83</v>
      </c>
      <c r="Y750">
        <f t="shared" si="71"/>
        <v>357.75519999999995</v>
      </c>
    </row>
    <row r="751" spans="1:25" x14ac:dyDescent="0.25">
      <c r="A751" t="s">
        <v>1770</v>
      </c>
      <c r="B751">
        <v>42386</v>
      </c>
      <c r="C751" t="str">
        <f t="shared" si="66"/>
        <v>2016</v>
      </c>
      <c r="D751" t="s">
        <v>1676</v>
      </c>
      <c r="E751" t="s">
        <v>709</v>
      </c>
      <c r="F751" t="s">
        <v>257</v>
      </c>
      <c r="G751" t="s">
        <v>258</v>
      </c>
      <c r="H751" t="s">
        <v>274</v>
      </c>
      <c r="I751" t="s">
        <v>275</v>
      </c>
      <c r="J751" t="s">
        <v>304</v>
      </c>
      <c r="K751" t="s">
        <v>403</v>
      </c>
      <c r="L751" t="s">
        <v>268</v>
      </c>
      <c r="M751" t="s">
        <v>323</v>
      </c>
      <c r="N751" t="s">
        <v>247</v>
      </c>
      <c r="O751">
        <v>42386</v>
      </c>
      <c r="P751">
        <v>1.87</v>
      </c>
      <c r="Q751">
        <v>8.1199999999999992</v>
      </c>
      <c r="R751">
        <f t="shared" si="67"/>
        <v>6.2499999999999991</v>
      </c>
      <c r="S751">
        <v>36</v>
      </c>
      <c r="T751">
        <f t="shared" si="68"/>
        <v>292.32</v>
      </c>
      <c r="U751">
        <v>0.1</v>
      </c>
      <c r="V751">
        <f t="shared" si="69"/>
        <v>29.231999999999999</v>
      </c>
      <c r="W751">
        <f t="shared" si="70"/>
        <v>263.08799999999997</v>
      </c>
      <c r="X751">
        <v>2.83</v>
      </c>
      <c r="Y751">
        <f t="shared" si="71"/>
        <v>265.91799999999995</v>
      </c>
    </row>
    <row r="752" spans="1:25" x14ac:dyDescent="0.25">
      <c r="A752" t="s">
        <v>1771</v>
      </c>
      <c r="B752">
        <v>42386</v>
      </c>
      <c r="C752" t="str">
        <f t="shared" si="66"/>
        <v>2016</v>
      </c>
      <c r="D752" t="s">
        <v>1690</v>
      </c>
      <c r="E752" t="s">
        <v>332</v>
      </c>
      <c r="F752" t="s">
        <v>257</v>
      </c>
      <c r="G752" t="s">
        <v>258</v>
      </c>
      <c r="H752" t="s">
        <v>241</v>
      </c>
      <c r="I752" t="s">
        <v>333</v>
      </c>
      <c r="J752" t="s">
        <v>304</v>
      </c>
      <c r="K752" t="s">
        <v>387</v>
      </c>
      <c r="L752" t="s">
        <v>245</v>
      </c>
      <c r="M752" t="s">
        <v>323</v>
      </c>
      <c r="N752" t="s">
        <v>247</v>
      </c>
      <c r="O752">
        <v>42388</v>
      </c>
      <c r="P752">
        <v>4.79</v>
      </c>
      <c r="Q752">
        <v>11.97</v>
      </c>
      <c r="R752">
        <f t="shared" si="67"/>
        <v>7.1800000000000006</v>
      </c>
      <c r="S752">
        <v>28</v>
      </c>
      <c r="T752">
        <f t="shared" si="68"/>
        <v>335.16</v>
      </c>
      <c r="U752">
        <v>0.03</v>
      </c>
      <c r="V752">
        <f t="shared" si="69"/>
        <v>10.0548</v>
      </c>
      <c r="W752">
        <f t="shared" si="70"/>
        <v>325.10520000000002</v>
      </c>
      <c r="X752">
        <v>5.81</v>
      </c>
      <c r="Y752">
        <f t="shared" si="71"/>
        <v>330.91520000000003</v>
      </c>
    </row>
    <row r="753" spans="1:25" x14ac:dyDescent="0.25">
      <c r="A753" t="s">
        <v>1772</v>
      </c>
      <c r="B753">
        <v>42387</v>
      </c>
      <c r="C753" t="str">
        <f t="shared" si="66"/>
        <v>2016</v>
      </c>
      <c r="D753" t="s">
        <v>1433</v>
      </c>
      <c r="E753" t="s">
        <v>467</v>
      </c>
      <c r="F753" t="s">
        <v>257</v>
      </c>
      <c r="G753" t="s">
        <v>258</v>
      </c>
      <c r="H753" t="s">
        <v>241</v>
      </c>
      <c r="I753" t="s">
        <v>342</v>
      </c>
      <c r="J753" t="s">
        <v>294</v>
      </c>
      <c r="K753" t="s">
        <v>384</v>
      </c>
      <c r="L753" t="s">
        <v>268</v>
      </c>
      <c r="M753" t="s">
        <v>246</v>
      </c>
      <c r="N753" t="s">
        <v>247</v>
      </c>
      <c r="O753">
        <v>42389</v>
      </c>
      <c r="P753">
        <v>8.31</v>
      </c>
      <c r="Q753">
        <v>15.98</v>
      </c>
      <c r="R753">
        <f t="shared" si="67"/>
        <v>7.67</v>
      </c>
      <c r="S753">
        <v>4</v>
      </c>
      <c r="T753">
        <f t="shared" si="68"/>
        <v>63.92</v>
      </c>
      <c r="U753">
        <v>0.09</v>
      </c>
      <c r="V753">
        <f t="shared" si="69"/>
        <v>5.7527999999999997</v>
      </c>
      <c r="W753">
        <f t="shared" si="70"/>
        <v>58.167200000000001</v>
      </c>
      <c r="X753">
        <v>6.5</v>
      </c>
      <c r="Y753">
        <f t="shared" si="71"/>
        <v>64.667200000000008</v>
      </c>
    </row>
    <row r="754" spans="1:25" x14ac:dyDescent="0.25">
      <c r="A754" t="s">
        <v>1773</v>
      </c>
      <c r="B754">
        <v>42388</v>
      </c>
      <c r="C754" t="str">
        <f t="shared" si="66"/>
        <v>2016</v>
      </c>
      <c r="D754" t="s">
        <v>769</v>
      </c>
      <c r="E754" t="s">
        <v>288</v>
      </c>
      <c r="F754" t="s">
        <v>257</v>
      </c>
      <c r="G754" t="s">
        <v>258</v>
      </c>
      <c r="H754" t="s">
        <v>259</v>
      </c>
      <c r="I754" t="s">
        <v>284</v>
      </c>
      <c r="J754" t="s">
        <v>243</v>
      </c>
      <c r="K754" t="s">
        <v>607</v>
      </c>
      <c r="L754" t="s">
        <v>245</v>
      </c>
      <c r="M754" t="s">
        <v>246</v>
      </c>
      <c r="N754" t="s">
        <v>247</v>
      </c>
      <c r="O754">
        <v>42388</v>
      </c>
      <c r="P754">
        <v>4.46</v>
      </c>
      <c r="Q754">
        <v>10.89</v>
      </c>
      <c r="R754">
        <f t="shared" si="67"/>
        <v>6.4300000000000006</v>
      </c>
      <c r="S754">
        <v>25</v>
      </c>
      <c r="T754">
        <f t="shared" si="68"/>
        <v>272.25</v>
      </c>
      <c r="U754">
        <v>0.03</v>
      </c>
      <c r="V754">
        <f t="shared" si="69"/>
        <v>8.1675000000000004</v>
      </c>
      <c r="W754">
        <f t="shared" si="70"/>
        <v>264.08249999999998</v>
      </c>
      <c r="X754">
        <v>4.5</v>
      </c>
      <c r="Y754">
        <f t="shared" si="71"/>
        <v>268.58249999999998</v>
      </c>
    </row>
    <row r="755" spans="1:25" x14ac:dyDescent="0.25">
      <c r="A755" t="s">
        <v>1774</v>
      </c>
      <c r="B755">
        <v>42388</v>
      </c>
      <c r="C755" t="str">
        <f t="shared" si="66"/>
        <v>2016</v>
      </c>
      <c r="D755" t="s">
        <v>1775</v>
      </c>
      <c r="E755" t="s">
        <v>346</v>
      </c>
      <c r="F755" t="s">
        <v>257</v>
      </c>
      <c r="G755" t="s">
        <v>258</v>
      </c>
      <c r="H755" t="s">
        <v>274</v>
      </c>
      <c r="I755" t="s">
        <v>309</v>
      </c>
      <c r="J755" t="s">
        <v>261</v>
      </c>
      <c r="K755" t="s">
        <v>353</v>
      </c>
      <c r="L755" t="s">
        <v>245</v>
      </c>
      <c r="M755" t="s">
        <v>323</v>
      </c>
      <c r="N755" t="s">
        <v>247</v>
      </c>
      <c r="O755">
        <v>42388</v>
      </c>
      <c r="P755">
        <v>0.94</v>
      </c>
      <c r="Q755">
        <v>2.08</v>
      </c>
      <c r="R755">
        <f t="shared" si="67"/>
        <v>1.1400000000000001</v>
      </c>
      <c r="S755">
        <v>33</v>
      </c>
      <c r="T755">
        <f t="shared" si="68"/>
        <v>68.64</v>
      </c>
      <c r="U755">
        <v>0.05</v>
      </c>
      <c r="V755">
        <f t="shared" si="69"/>
        <v>3.4320000000000004</v>
      </c>
      <c r="W755">
        <f t="shared" si="70"/>
        <v>65.207999999999998</v>
      </c>
      <c r="X755">
        <v>2.56</v>
      </c>
      <c r="Y755">
        <f t="shared" si="71"/>
        <v>67.768000000000001</v>
      </c>
    </row>
    <row r="756" spans="1:25" x14ac:dyDescent="0.25">
      <c r="A756" t="s">
        <v>1776</v>
      </c>
      <c r="B756">
        <v>42388</v>
      </c>
      <c r="C756" t="str">
        <f t="shared" si="66"/>
        <v>2016</v>
      </c>
      <c r="D756" t="s">
        <v>1777</v>
      </c>
      <c r="E756" t="s">
        <v>1584</v>
      </c>
      <c r="F756" t="s">
        <v>257</v>
      </c>
      <c r="G756" t="s">
        <v>258</v>
      </c>
      <c r="H756" t="s">
        <v>259</v>
      </c>
      <c r="I756" t="s">
        <v>333</v>
      </c>
      <c r="J756" t="s">
        <v>261</v>
      </c>
      <c r="K756" t="s">
        <v>464</v>
      </c>
      <c r="L756" t="s">
        <v>268</v>
      </c>
      <c r="M756" t="s">
        <v>246</v>
      </c>
      <c r="N756" t="s">
        <v>247</v>
      </c>
      <c r="O756">
        <v>42388</v>
      </c>
      <c r="P756">
        <v>156.5</v>
      </c>
      <c r="Q756">
        <v>300.97000000000003</v>
      </c>
      <c r="R756">
        <f t="shared" si="67"/>
        <v>144.47000000000003</v>
      </c>
      <c r="S756">
        <v>43</v>
      </c>
      <c r="T756">
        <f t="shared" si="68"/>
        <v>12941.710000000001</v>
      </c>
      <c r="U756">
        <v>0.08</v>
      </c>
      <c r="V756">
        <f t="shared" si="69"/>
        <v>1035.3368</v>
      </c>
      <c r="W756">
        <f t="shared" si="70"/>
        <v>11906.373200000002</v>
      </c>
      <c r="X756">
        <v>7.18</v>
      </c>
      <c r="Y756">
        <f t="shared" si="71"/>
        <v>11913.553200000002</v>
      </c>
    </row>
    <row r="757" spans="1:25" x14ac:dyDescent="0.25">
      <c r="A757" t="s">
        <v>1778</v>
      </c>
      <c r="B757">
        <v>42393</v>
      </c>
      <c r="C757" t="str">
        <f t="shared" si="66"/>
        <v>2016</v>
      </c>
      <c r="D757" t="s">
        <v>1779</v>
      </c>
      <c r="E757" t="s">
        <v>816</v>
      </c>
      <c r="F757" t="s">
        <v>257</v>
      </c>
      <c r="G757" t="s">
        <v>258</v>
      </c>
      <c r="H757" t="s">
        <v>241</v>
      </c>
      <c r="I757" t="s">
        <v>492</v>
      </c>
      <c r="J757" t="s">
        <v>261</v>
      </c>
      <c r="K757" t="s">
        <v>676</v>
      </c>
      <c r="L757" t="s">
        <v>245</v>
      </c>
      <c r="M757" t="s">
        <v>323</v>
      </c>
      <c r="N757" t="s">
        <v>247</v>
      </c>
      <c r="O757">
        <v>42394</v>
      </c>
      <c r="P757">
        <v>5.19</v>
      </c>
      <c r="Q757">
        <v>12.98</v>
      </c>
      <c r="R757">
        <f t="shared" si="67"/>
        <v>7.79</v>
      </c>
      <c r="S757">
        <v>50</v>
      </c>
      <c r="T757">
        <f t="shared" si="68"/>
        <v>649</v>
      </c>
      <c r="U757">
        <v>0.08</v>
      </c>
      <c r="V757">
        <f t="shared" si="69"/>
        <v>51.92</v>
      </c>
      <c r="W757">
        <f t="shared" si="70"/>
        <v>597.08000000000004</v>
      </c>
      <c r="X757">
        <v>3.14</v>
      </c>
      <c r="Y757">
        <f t="shared" si="71"/>
        <v>600.22</v>
      </c>
    </row>
    <row r="758" spans="1:25" x14ac:dyDescent="0.25">
      <c r="A758" t="s">
        <v>1780</v>
      </c>
      <c r="B758">
        <v>42395</v>
      </c>
      <c r="C758" t="str">
        <f t="shared" si="66"/>
        <v>2016</v>
      </c>
      <c r="D758" t="s">
        <v>535</v>
      </c>
      <c r="E758" t="s">
        <v>536</v>
      </c>
      <c r="F758" t="s">
        <v>448</v>
      </c>
      <c r="G758" t="s">
        <v>449</v>
      </c>
      <c r="H758" t="s">
        <v>259</v>
      </c>
      <c r="I758" t="s">
        <v>333</v>
      </c>
      <c r="J758" t="s">
        <v>243</v>
      </c>
      <c r="K758" t="s">
        <v>262</v>
      </c>
      <c r="L758" t="s">
        <v>245</v>
      </c>
      <c r="M758" t="s">
        <v>253</v>
      </c>
      <c r="N758" t="s">
        <v>263</v>
      </c>
      <c r="O758">
        <v>42397</v>
      </c>
      <c r="P758">
        <v>2.41</v>
      </c>
      <c r="Q758">
        <v>3.71</v>
      </c>
      <c r="R758">
        <f t="shared" si="67"/>
        <v>1.2999999999999998</v>
      </c>
      <c r="S758">
        <v>16</v>
      </c>
      <c r="T758">
        <f t="shared" si="68"/>
        <v>59.36</v>
      </c>
      <c r="U758">
        <v>0.1</v>
      </c>
      <c r="V758">
        <f t="shared" si="69"/>
        <v>5.9359999999999999</v>
      </c>
      <c r="W758">
        <f t="shared" si="70"/>
        <v>53.423999999999999</v>
      </c>
      <c r="X758">
        <v>1.93</v>
      </c>
      <c r="Y758">
        <f t="shared" si="71"/>
        <v>55.353999999999999</v>
      </c>
    </row>
    <row r="759" spans="1:25" x14ac:dyDescent="0.25">
      <c r="A759" t="s">
        <v>1781</v>
      </c>
      <c r="B759">
        <v>42397</v>
      </c>
      <c r="C759" t="str">
        <f t="shared" si="66"/>
        <v>2016</v>
      </c>
      <c r="D759" t="s">
        <v>1782</v>
      </c>
      <c r="E759" t="s">
        <v>643</v>
      </c>
      <c r="F759" t="s">
        <v>257</v>
      </c>
      <c r="G759" t="s">
        <v>258</v>
      </c>
      <c r="H759" t="s">
        <v>241</v>
      </c>
      <c r="I759" t="s">
        <v>342</v>
      </c>
      <c r="J759" t="s">
        <v>304</v>
      </c>
      <c r="K759" t="s">
        <v>377</v>
      </c>
      <c r="L759" t="s">
        <v>268</v>
      </c>
      <c r="M759" t="s">
        <v>246</v>
      </c>
      <c r="N759" t="s">
        <v>247</v>
      </c>
      <c r="O759">
        <v>42398</v>
      </c>
      <c r="P759">
        <v>39.64</v>
      </c>
      <c r="Q759">
        <v>152.47999999999999</v>
      </c>
      <c r="R759">
        <f t="shared" si="67"/>
        <v>112.83999999999999</v>
      </c>
      <c r="S759">
        <v>27</v>
      </c>
      <c r="T759">
        <f t="shared" si="68"/>
        <v>4116.96</v>
      </c>
      <c r="U759">
        <v>0.1</v>
      </c>
      <c r="V759">
        <f t="shared" si="69"/>
        <v>411.69600000000003</v>
      </c>
      <c r="W759">
        <f t="shared" si="70"/>
        <v>3705.2640000000001</v>
      </c>
      <c r="X759">
        <v>6.5</v>
      </c>
      <c r="Y759">
        <f t="shared" si="71"/>
        <v>3711.7640000000001</v>
      </c>
    </row>
    <row r="760" spans="1:25" x14ac:dyDescent="0.25">
      <c r="A760" t="s">
        <v>1783</v>
      </c>
      <c r="B760">
        <v>42397</v>
      </c>
      <c r="C760" t="str">
        <f t="shared" si="66"/>
        <v>2016</v>
      </c>
      <c r="D760" t="s">
        <v>1784</v>
      </c>
      <c r="E760" t="s">
        <v>1785</v>
      </c>
      <c r="F760" t="s">
        <v>448</v>
      </c>
      <c r="G760" t="s">
        <v>449</v>
      </c>
      <c r="H760" t="s">
        <v>241</v>
      </c>
      <c r="I760" t="s">
        <v>381</v>
      </c>
      <c r="J760" t="s">
        <v>261</v>
      </c>
      <c r="K760" t="s">
        <v>941</v>
      </c>
      <c r="L760" t="s">
        <v>245</v>
      </c>
      <c r="M760" t="s">
        <v>253</v>
      </c>
      <c r="N760" t="s">
        <v>247</v>
      </c>
      <c r="O760">
        <v>42399</v>
      </c>
      <c r="P760">
        <v>2.59</v>
      </c>
      <c r="Q760">
        <v>3.98</v>
      </c>
      <c r="R760">
        <f t="shared" si="67"/>
        <v>1.3900000000000001</v>
      </c>
      <c r="S760">
        <v>41</v>
      </c>
      <c r="T760">
        <f t="shared" si="68"/>
        <v>163.18</v>
      </c>
      <c r="U760">
        <v>0.1</v>
      </c>
      <c r="V760">
        <f t="shared" si="69"/>
        <v>16.318000000000001</v>
      </c>
      <c r="W760">
        <f t="shared" si="70"/>
        <v>146.86199999999999</v>
      </c>
      <c r="X760">
        <v>2.97</v>
      </c>
      <c r="Y760">
        <f t="shared" si="71"/>
        <v>149.83199999999999</v>
      </c>
    </row>
    <row r="761" spans="1:25" x14ac:dyDescent="0.25">
      <c r="A761" t="s">
        <v>1786</v>
      </c>
      <c r="B761">
        <v>42398</v>
      </c>
      <c r="C761" t="str">
        <f t="shared" si="66"/>
        <v>2016</v>
      </c>
      <c r="D761" t="s">
        <v>1590</v>
      </c>
      <c r="E761" t="s">
        <v>912</v>
      </c>
      <c r="F761" t="s">
        <v>257</v>
      </c>
      <c r="G761" t="s">
        <v>258</v>
      </c>
      <c r="H761" t="s">
        <v>241</v>
      </c>
      <c r="I761" t="s">
        <v>372</v>
      </c>
      <c r="J761" t="s">
        <v>294</v>
      </c>
      <c r="K761" t="s">
        <v>630</v>
      </c>
      <c r="L761" t="s">
        <v>245</v>
      </c>
      <c r="M761" t="s">
        <v>253</v>
      </c>
      <c r="N761" t="s">
        <v>247</v>
      </c>
      <c r="O761">
        <v>42400</v>
      </c>
      <c r="P761">
        <v>1.53</v>
      </c>
      <c r="Q761">
        <v>2.78</v>
      </c>
      <c r="R761">
        <f t="shared" si="67"/>
        <v>1.2499999999999998</v>
      </c>
      <c r="S761">
        <v>38</v>
      </c>
      <c r="T761">
        <f t="shared" si="68"/>
        <v>105.63999999999999</v>
      </c>
      <c r="U761">
        <v>0</v>
      </c>
      <c r="V761">
        <f t="shared" si="69"/>
        <v>0</v>
      </c>
      <c r="W761">
        <f t="shared" si="70"/>
        <v>105.63999999999999</v>
      </c>
      <c r="X761">
        <v>1.34</v>
      </c>
      <c r="Y761">
        <f t="shared" si="71"/>
        <v>106.97999999999999</v>
      </c>
    </row>
    <row r="762" spans="1:25" x14ac:dyDescent="0.25">
      <c r="A762" t="s">
        <v>1787</v>
      </c>
      <c r="B762">
        <v>42401</v>
      </c>
      <c r="C762" t="str">
        <f t="shared" si="66"/>
        <v>2016</v>
      </c>
      <c r="D762" t="s">
        <v>1788</v>
      </c>
      <c r="E762" t="s">
        <v>522</v>
      </c>
      <c r="F762" t="s">
        <v>239</v>
      </c>
      <c r="G762" t="s">
        <v>240</v>
      </c>
      <c r="H762" t="s">
        <v>274</v>
      </c>
      <c r="I762" t="s">
        <v>251</v>
      </c>
      <c r="J762" t="s">
        <v>243</v>
      </c>
      <c r="K762" t="s">
        <v>1249</v>
      </c>
      <c r="L762" t="s">
        <v>245</v>
      </c>
      <c r="M762" t="s">
        <v>246</v>
      </c>
      <c r="N762" t="s">
        <v>247</v>
      </c>
      <c r="O762">
        <v>42402</v>
      </c>
      <c r="P762">
        <v>1.19</v>
      </c>
      <c r="Q762">
        <v>1.98</v>
      </c>
      <c r="R762">
        <f t="shared" si="67"/>
        <v>0.79</v>
      </c>
      <c r="S762">
        <v>12</v>
      </c>
      <c r="T762">
        <f t="shared" si="68"/>
        <v>23.759999999999998</v>
      </c>
      <c r="U762">
        <v>7.0000000000000007E-2</v>
      </c>
      <c r="V762">
        <f t="shared" si="69"/>
        <v>1.6632</v>
      </c>
      <c r="W762">
        <f t="shared" si="70"/>
        <v>22.096799999999998</v>
      </c>
      <c r="X762">
        <v>4.7699999999999996</v>
      </c>
      <c r="Y762">
        <f t="shared" si="71"/>
        <v>26.866799999999998</v>
      </c>
    </row>
    <row r="763" spans="1:25" x14ac:dyDescent="0.25">
      <c r="A763" t="s">
        <v>1789</v>
      </c>
      <c r="B763">
        <v>42402</v>
      </c>
      <c r="C763" t="str">
        <f t="shared" si="66"/>
        <v>2016</v>
      </c>
      <c r="D763" t="s">
        <v>1790</v>
      </c>
      <c r="E763" t="s">
        <v>767</v>
      </c>
      <c r="F763" t="s">
        <v>257</v>
      </c>
      <c r="G763" t="s">
        <v>258</v>
      </c>
      <c r="H763" t="s">
        <v>259</v>
      </c>
      <c r="I763" t="s">
        <v>260</v>
      </c>
      <c r="J763" t="s">
        <v>261</v>
      </c>
      <c r="K763" t="s">
        <v>594</v>
      </c>
      <c r="L763" t="s">
        <v>268</v>
      </c>
      <c r="M763" t="s">
        <v>269</v>
      </c>
      <c r="N763" t="s">
        <v>270</v>
      </c>
      <c r="O763">
        <v>42403</v>
      </c>
      <c r="P763">
        <v>278.99</v>
      </c>
      <c r="Q763">
        <v>449.99</v>
      </c>
      <c r="R763">
        <f t="shared" si="67"/>
        <v>171</v>
      </c>
      <c r="S763">
        <v>16</v>
      </c>
      <c r="T763">
        <f t="shared" si="68"/>
        <v>7199.84</v>
      </c>
      <c r="U763">
        <v>0.09</v>
      </c>
      <c r="V763">
        <f t="shared" si="69"/>
        <v>647.98559999999998</v>
      </c>
      <c r="W763">
        <f t="shared" si="70"/>
        <v>6551.8544000000002</v>
      </c>
      <c r="X763">
        <v>49</v>
      </c>
      <c r="Y763">
        <f t="shared" si="71"/>
        <v>6600.8544000000002</v>
      </c>
    </row>
    <row r="764" spans="1:25" x14ac:dyDescent="0.25">
      <c r="A764" t="s">
        <v>1791</v>
      </c>
      <c r="B764">
        <v>42403</v>
      </c>
      <c r="C764" t="str">
        <f t="shared" si="66"/>
        <v>2016</v>
      </c>
      <c r="D764" t="s">
        <v>697</v>
      </c>
      <c r="E764" t="s">
        <v>238</v>
      </c>
      <c r="F764" t="s">
        <v>239</v>
      </c>
      <c r="G764" t="s">
        <v>240</v>
      </c>
      <c r="H764" t="s">
        <v>293</v>
      </c>
      <c r="I764" t="s">
        <v>242</v>
      </c>
      <c r="J764" t="s">
        <v>279</v>
      </c>
      <c r="K764" t="s">
        <v>1728</v>
      </c>
      <c r="L764" t="s">
        <v>245</v>
      </c>
      <c r="M764" t="s">
        <v>253</v>
      </c>
      <c r="N764" t="s">
        <v>247</v>
      </c>
      <c r="O764">
        <v>42405</v>
      </c>
      <c r="P764">
        <v>3.95</v>
      </c>
      <c r="Q764">
        <v>6.08</v>
      </c>
      <c r="R764">
        <f t="shared" si="67"/>
        <v>2.13</v>
      </c>
      <c r="S764">
        <v>42</v>
      </c>
      <c r="T764">
        <f t="shared" si="68"/>
        <v>255.36</v>
      </c>
      <c r="U764">
        <v>0.09</v>
      </c>
      <c r="V764">
        <f t="shared" si="69"/>
        <v>22.982400000000002</v>
      </c>
      <c r="W764">
        <f t="shared" si="70"/>
        <v>232.3776</v>
      </c>
      <c r="X764">
        <v>1.82</v>
      </c>
      <c r="Y764">
        <f t="shared" si="71"/>
        <v>234.19759999999999</v>
      </c>
    </row>
    <row r="765" spans="1:25" x14ac:dyDescent="0.25">
      <c r="A765" t="s">
        <v>1792</v>
      </c>
      <c r="B765">
        <v>42404</v>
      </c>
      <c r="C765" t="str">
        <f t="shared" si="66"/>
        <v>2016</v>
      </c>
      <c r="D765" t="s">
        <v>1793</v>
      </c>
      <c r="E765" t="s">
        <v>1794</v>
      </c>
      <c r="F765" t="s">
        <v>448</v>
      </c>
      <c r="G765" t="s">
        <v>449</v>
      </c>
      <c r="H765" t="s">
        <v>293</v>
      </c>
      <c r="I765" t="s">
        <v>284</v>
      </c>
      <c r="J765" t="s">
        <v>294</v>
      </c>
      <c r="K765" t="s">
        <v>786</v>
      </c>
      <c r="L765" t="s">
        <v>245</v>
      </c>
      <c r="M765" t="s">
        <v>323</v>
      </c>
      <c r="N765" t="s">
        <v>263</v>
      </c>
      <c r="O765">
        <v>42405</v>
      </c>
      <c r="P765">
        <v>16.8</v>
      </c>
      <c r="Q765">
        <v>40.97</v>
      </c>
      <c r="R765">
        <f t="shared" si="67"/>
        <v>24.169999999999998</v>
      </c>
      <c r="S765">
        <v>49</v>
      </c>
      <c r="T765">
        <f t="shared" si="68"/>
        <v>2007.53</v>
      </c>
      <c r="U765">
        <v>0.04</v>
      </c>
      <c r="V765">
        <f t="shared" si="69"/>
        <v>80.301199999999994</v>
      </c>
      <c r="W765">
        <f t="shared" si="70"/>
        <v>1927.2287999999999</v>
      </c>
      <c r="X765">
        <v>8.99</v>
      </c>
      <c r="Y765">
        <f t="shared" si="71"/>
        <v>1936.2187999999999</v>
      </c>
    </row>
    <row r="766" spans="1:25" x14ac:dyDescent="0.25">
      <c r="A766" t="s">
        <v>1795</v>
      </c>
      <c r="B766">
        <v>42408</v>
      </c>
      <c r="C766" t="str">
        <f t="shared" si="66"/>
        <v>2016</v>
      </c>
      <c r="D766" t="s">
        <v>1316</v>
      </c>
      <c r="E766" t="s">
        <v>376</v>
      </c>
      <c r="F766" t="s">
        <v>239</v>
      </c>
      <c r="G766" t="s">
        <v>240</v>
      </c>
      <c r="H766" t="s">
        <v>241</v>
      </c>
      <c r="I766" t="s">
        <v>242</v>
      </c>
      <c r="J766" t="s">
        <v>304</v>
      </c>
      <c r="K766" t="s">
        <v>425</v>
      </c>
      <c r="L766" t="s">
        <v>245</v>
      </c>
      <c r="M766" t="s">
        <v>253</v>
      </c>
      <c r="N766" t="s">
        <v>247</v>
      </c>
      <c r="O766">
        <v>42409</v>
      </c>
      <c r="P766">
        <v>21.56</v>
      </c>
      <c r="Q766">
        <v>36.549999999999997</v>
      </c>
      <c r="R766">
        <f t="shared" si="67"/>
        <v>14.989999999999998</v>
      </c>
      <c r="S766">
        <v>6</v>
      </c>
      <c r="T766">
        <f t="shared" si="68"/>
        <v>219.29999999999998</v>
      </c>
      <c r="U766">
        <v>0.01</v>
      </c>
      <c r="V766">
        <f t="shared" si="69"/>
        <v>2.1930000000000001</v>
      </c>
      <c r="W766">
        <f t="shared" si="70"/>
        <v>217.10699999999997</v>
      </c>
      <c r="X766">
        <v>13.89</v>
      </c>
      <c r="Y766">
        <f t="shared" si="71"/>
        <v>230.99699999999996</v>
      </c>
    </row>
    <row r="767" spans="1:25" x14ac:dyDescent="0.25">
      <c r="A767" t="s">
        <v>1796</v>
      </c>
      <c r="B767">
        <v>42409</v>
      </c>
      <c r="C767" t="str">
        <f t="shared" si="66"/>
        <v>2016</v>
      </c>
      <c r="D767" t="s">
        <v>437</v>
      </c>
      <c r="E767" t="s">
        <v>438</v>
      </c>
      <c r="F767" t="s">
        <v>257</v>
      </c>
      <c r="G767" t="s">
        <v>258</v>
      </c>
      <c r="H767" t="s">
        <v>259</v>
      </c>
      <c r="I767" t="s">
        <v>309</v>
      </c>
      <c r="J767" t="s">
        <v>279</v>
      </c>
      <c r="K767" t="s">
        <v>941</v>
      </c>
      <c r="L767" t="s">
        <v>245</v>
      </c>
      <c r="M767" t="s">
        <v>253</v>
      </c>
      <c r="N767" t="s">
        <v>247</v>
      </c>
      <c r="O767">
        <v>42414</v>
      </c>
      <c r="P767">
        <v>2.59</v>
      </c>
      <c r="Q767">
        <v>3.98</v>
      </c>
      <c r="R767">
        <f t="shared" si="67"/>
        <v>1.3900000000000001</v>
      </c>
      <c r="S767">
        <v>50</v>
      </c>
      <c r="T767">
        <f t="shared" si="68"/>
        <v>199</v>
      </c>
      <c r="U767">
        <v>0.08</v>
      </c>
      <c r="V767">
        <f t="shared" si="69"/>
        <v>15.92</v>
      </c>
      <c r="W767">
        <f t="shared" si="70"/>
        <v>183.08</v>
      </c>
      <c r="X767">
        <v>2.97</v>
      </c>
      <c r="Y767">
        <f t="shared" si="71"/>
        <v>186.05</v>
      </c>
    </row>
    <row r="768" spans="1:25" x14ac:dyDescent="0.25">
      <c r="A768" t="s">
        <v>1797</v>
      </c>
      <c r="B768">
        <v>42410</v>
      </c>
      <c r="C768" t="str">
        <f t="shared" si="66"/>
        <v>2016</v>
      </c>
      <c r="D768" t="s">
        <v>437</v>
      </c>
      <c r="E768" t="s">
        <v>438</v>
      </c>
      <c r="F768" t="s">
        <v>257</v>
      </c>
      <c r="G768" t="s">
        <v>258</v>
      </c>
      <c r="H768" t="s">
        <v>259</v>
      </c>
      <c r="I768" t="s">
        <v>309</v>
      </c>
      <c r="J768" t="s">
        <v>304</v>
      </c>
      <c r="K768" t="s">
        <v>537</v>
      </c>
      <c r="L768" t="s">
        <v>245</v>
      </c>
      <c r="M768" t="s">
        <v>253</v>
      </c>
      <c r="N768" t="s">
        <v>247</v>
      </c>
      <c r="O768">
        <v>42411</v>
      </c>
      <c r="P768">
        <v>11.11</v>
      </c>
      <c r="Q768">
        <v>19.84</v>
      </c>
      <c r="R768">
        <f t="shared" si="67"/>
        <v>8.73</v>
      </c>
      <c r="S768">
        <v>10</v>
      </c>
      <c r="T768">
        <f t="shared" si="68"/>
        <v>198.4</v>
      </c>
      <c r="U768">
        <v>0.05</v>
      </c>
      <c r="V768">
        <f t="shared" si="69"/>
        <v>9.9200000000000017</v>
      </c>
      <c r="W768">
        <f t="shared" si="70"/>
        <v>188.48000000000002</v>
      </c>
      <c r="X768">
        <v>4.0999999999999996</v>
      </c>
      <c r="Y768">
        <f t="shared" si="71"/>
        <v>192.58</v>
      </c>
    </row>
    <row r="769" spans="1:25" x14ac:dyDescent="0.25">
      <c r="A769" t="s">
        <v>1798</v>
      </c>
      <c r="B769">
        <v>42411</v>
      </c>
      <c r="C769" t="str">
        <f t="shared" si="66"/>
        <v>2016</v>
      </c>
      <c r="D769" t="s">
        <v>1006</v>
      </c>
      <c r="E769" t="s">
        <v>745</v>
      </c>
      <c r="F769" t="s">
        <v>257</v>
      </c>
      <c r="G769" t="s">
        <v>258</v>
      </c>
      <c r="H769" t="s">
        <v>274</v>
      </c>
      <c r="I769" t="s">
        <v>372</v>
      </c>
      <c r="J769" t="s">
        <v>304</v>
      </c>
      <c r="K769" t="s">
        <v>748</v>
      </c>
      <c r="L769" t="s">
        <v>268</v>
      </c>
      <c r="M769" t="s">
        <v>246</v>
      </c>
      <c r="N769" t="s">
        <v>247</v>
      </c>
      <c r="O769">
        <v>42413</v>
      </c>
      <c r="P769">
        <v>41.28</v>
      </c>
      <c r="Q769">
        <v>95.99</v>
      </c>
      <c r="R769">
        <f t="shared" si="67"/>
        <v>54.709999999999994</v>
      </c>
      <c r="S769">
        <v>14</v>
      </c>
      <c r="T769">
        <f t="shared" si="68"/>
        <v>1343.86</v>
      </c>
      <c r="U769">
        <v>0.04</v>
      </c>
      <c r="V769">
        <f t="shared" si="69"/>
        <v>53.754399999999997</v>
      </c>
      <c r="W769">
        <f t="shared" si="70"/>
        <v>1290.1055999999999</v>
      </c>
      <c r="X769">
        <v>8.99</v>
      </c>
      <c r="Y769">
        <f t="shared" si="71"/>
        <v>1299.0955999999999</v>
      </c>
    </row>
    <row r="770" spans="1:25" x14ac:dyDescent="0.25">
      <c r="A770" t="s">
        <v>1799</v>
      </c>
      <c r="B770">
        <v>42411</v>
      </c>
      <c r="C770" t="str">
        <f t="shared" si="66"/>
        <v>2016</v>
      </c>
      <c r="D770" t="s">
        <v>1703</v>
      </c>
      <c r="E770" t="s">
        <v>709</v>
      </c>
      <c r="F770" t="s">
        <v>257</v>
      </c>
      <c r="G770" t="s">
        <v>258</v>
      </c>
      <c r="H770" t="s">
        <v>241</v>
      </c>
      <c r="I770" t="s">
        <v>275</v>
      </c>
      <c r="J770" t="s">
        <v>279</v>
      </c>
      <c r="K770" t="s">
        <v>285</v>
      </c>
      <c r="L770" t="s">
        <v>245</v>
      </c>
      <c r="M770" t="s">
        <v>246</v>
      </c>
      <c r="N770" t="s">
        <v>247</v>
      </c>
      <c r="O770">
        <v>42420</v>
      </c>
      <c r="P770">
        <v>99.39</v>
      </c>
      <c r="Q770">
        <v>162.93</v>
      </c>
      <c r="R770">
        <f t="shared" si="67"/>
        <v>63.540000000000006</v>
      </c>
      <c r="S770">
        <v>22</v>
      </c>
      <c r="T770">
        <f t="shared" si="68"/>
        <v>3584.46</v>
      </c>
      <c r="U770">
        <v>7.0000000000000007E-2</v>
      </c>
      <c r="V770">
        <f t="shared" si="69"/>
        <v>250.91220000000001</v>
      </c>
      <c r="W770">
        <f t="shared" si="70"/>
        <v>3333.5477999999998</v>
      </c>
      <c r="X770">
        <v>19.989999999999998</v>
      </c>
      <c r="Y770">
        <f t="shared" si="71"/>
        <v>3353.5377999999996</v>
      </c>
    </row>
    <row r="771" spans="1:25" x14ac:dyDescent="0.25">
      <c r="A771" t="s">
        <v>1800</v>
      </c>
      <c r="B771">
        <v>42412</v>
      </c>
      <c r="C771" t="str">
        <f t="shared" si="66"/>
        <v>2016</v>
      </c>
      <c r="D771" t="s">
        <v>1122</v>
      </c>
      <c r="E771" t="s">
        <v>420</v>
      </c>
      <c r="F771" t="s">
        <v>239</v>
      </c>
      <c r="G771" t="s">
        <v>240</v>
      </c>
      <c r="H771" t="s">
        <v>293</v>
      </c>
      <c r="I771" t="s">
        <v>251</v>
      </c>
      <c r="J771" t="s">
        <v>261</v>
      </c>
      <c r="K771" t="s">
        <v>803</v>
      </c>
      <c r="L771" t="s">
        <v>245</v>
      </c>
      <c r="M771" t="s">
        <v>253</v>
      </c>
      <c r="N771" t="s">
        <v>247</v>
      </c>
      <c r="O771">
        <v>42413</v>
      </c>
      <c r="P771">
        <v>5.22</v>
      </c>
      <c r="Q771">
        <v>9.85</v>
      </c>
      <c r="R771">
        <f t="shared" si="67"/>
        <v>4.63</v>
      </c>
      <c r="S771">
        <v>48</v>
      </c>
      <c r="T771">
        <f t="shared" si="68"/>
        <v>472.79999999999995</v>
      </c>
      <c r="U771">
        <v>0.09</v>
      </c>
      <c r="V771">
        <f t="shared" si="69"/>
        <v>42.551999999999992</v>
      </c>
      <c r="W771">
        <f t="shared" si="70"/>
        <v>430.24799999999993</v>
      </c>
      <c r="X771">
        <v>4.82</v>
      </c>
      <c r="Y771">
        <f t="shared" si="71"/>
        <v>435.06799999999993</v>
      </c>
    </row>
    <row r="772" spans="1:25" x14ac:dyDescent="0.25">
      <c r="A772" t="s">
        <v>1801</v>
      </c>
      <c r="B772">
        <v>42412</v>
      </c>
      <c r="C772" t="str">
        <f t="shared" si="66"/>
        <v>2016</v>
      </c>
      <c r="D772" t="s">
        <v>1122</v>
      </c>
      <c r="E772" t="s">
        <v>420</v>
      </c>
      <c r="F772" t="s">
        <v>239</v>
      </c>
      <c r="G772" t="s">
        <v>240</v>
      </c>
      <c r="H772" t="s">
        <v>293</v>
      </c>
      <c r="I772" t="s">
        <v>251</v>
      </c>
      <c r="J772" t="s">
        <v>261</v>
      </c>
      <c r="K772" t="s">
        <v>817</v>
      </c>
      <c r="L772" t="s">
        <v>245</v>
      </c>
      <c r="M772" t="s">
        <v>253</v>
      </c>
      <c r="N772" t="s">
        <v>247</v>
      </c>
      <c r="O772">
        <v>42413</v>
      </c>
      <c r="P772">
        <v>1.76</v>
      </c>
      <c r="Q772">
        <v>2.94</v>
      </c>
      <c r="R772">
        <f t="shared" si="67"/>
        <v>1.18</v>
      </c>
      <c r="S772">
        <v>18</v>
      </c>
      <c r="T772">
        <f t="shared" si="68"/>
        <v>52.92</v>
      </c>
      <c r="U772">
        <v>0.01</v>
      </c>
      <c r="V772">
        <f t="shared" si="69"/>
        <v>0.5292</v>
      </c>
      <c r="W772">
        <f t="shared" si="70"/>
        <v>52.390799999999999</v>
      </c>
      <c r="X772">
        <v>0.81</v>
      </c>
      <c r="Y772">
        <f t="shared" si="71"/>
        <v>53.200800000000001</v>
      </c>
    </row>
    <row r="773" spans="1:25" x14ac:dyDescent="0.25">
      <c r="A773" t="s">
        <v>1802</v>
      </c>
      <c r="B773">
        <v>42413</v>
      </c>
      <c r="C773" t="str">
        <f t="shared" si="66"/>
        <v>2016</v>
      </c>
      <c r="D773" t="s">
        <v>1216</v>
      </c>
      <c r="E773" t="s">
        <v>292</v>
      </c>
      <c r="F773" t="s">
        <v>257</v>
      </c>
      <c r="G773" t="s">
        <v>258</v>
      </c>
      <c r="H773" t="s">
        <v>274</v>
      </c>
      <c r="I773" t="s">
        <v>260</v>
      </c>
      <c r="J773" t="s">
        <v>243</v>
      </c>
      <c r="K773" t="s">
        <v>439</v>
      </c>
      <c r="L773" t="s">
        <v>440</v>
      </c>
      <c r="M773" t="s">
        <v>323</v>
      </c>
      <c r="N773" t="s">
        <v>247</v>
      </c>
      <c r="O773">
        <v>42414</v>
      </c>
      <c r="P773">
        <v>5.5</v>
      </c>
      <c r="Q773">
        <v>12.22</v>
      </c>
      <c r="R773">
        <f t="shared" si="67"/>
        <v>6.7200000000000006</v>
      </c>
      <c r="S773">
        <v>10</v>
      </c>
      <c r="T773">
        <f t="shared" si="68"/>
        <v>122.2</v>
      </c>
      <c r="U773">
        <v>0.1</v>
      </c>
      <c r="V773">
        <f t="shared" si="69"/>
        <v>12.22</v>
      </c>
      <c r="W773">
        <f t="shared" si="70"/>
        <v>109.98</v>
      </c>
      <c r="X773">
        <v>2.85</v>
      </c>
      <c r="Y773">
        <f t="shared" si="71"/>
        <v>112.83</v>
      </c>
    </row>
    <row r="774" spans="1:25" x14ac:dyDescent="0.25">
      <c r="A774" t="s">
        <v>1803</v>
      </c>
      <c r="B774">
        <v>42413</v>
      </c>
      <c r="C774" t="str">
        <f t="shared" ref="C774:C837" si="72">TEXT(B774,"yyyy")</f>
        <v>2016</v>
      </c>
      <c r="D774" t="s">
        <v>1804</v>
      </c>
      <c r="E774" t="s">
        <v>1805</v>
      </c>
      <c r="F774" t="s">
        <v>257</v>
      </c>
      <c r="G774" t="s">
        <v>258</v>
      </c>
      <c r="H774" t="s">
        <v>259</v>
      </c>
      <c r="I774" t="s">
        <v>275</v>
      </c>
      <c r="J774" t="s">
        <v>243</v>
      </c>
      <c r="K774" t="s">
        <v>963</v>
      </c>
      <c r="L774" t="s">
        <v>245</v>
      </c>
      <c r="M774" t="s">
        <v>323</v>
      </c>
      <c r="N774" t="s">
        <v>263</v>
      </c>
      <c r="O774">
        <v>42416</v>
      </c>
      <c r="P774">
        <v>4.1900000000000004</v>
      </c>
      <c r="Q774">
        <v>10.23</v>
      </c>
      <c r="R774">
        <f t="shared" ref="R774:R837" si="73">Q774-P774</f>
        <v>6.04</v>
      </c>
      <c r="S774">
        <v>19</v>
      </c>
      <c r="T774">
        <f t="shared" ref="T774:T837" si="74">Q774*S774</f>
        <v>194.37</v>
      </c>
      <c r="U774">
        <v>0.08</v>
      </c>
      <c r="V774">
        <f t="shared" ref="V774:V837" si="75">T774*U774</f>
        <v>15.5496</v>
      </c>
      <c r="W774">
        <f t="shared" ref="W774:W837" si="76">T774-V774</f>
        <v>178.82040000000001</v>
      </c>
      <c r="X774">
        <v>4.68</v>
      </c>
      <c r="Y774">
        <f t="shared" ref="Y774:Y837" si="77">W774+X774</f>
        <v>183.50040000000001</v>
      </c>
    </row>
    <row r="775" spans="1:25" x14ac:dyDescent="0.25">
      <c r="A775" t="s">
        <v>1806</v>
      </c>
      <c r="B775">
        <v>42413</v>
      </c>
      <c r="C775" t="str">
        <f t="shared" si="72"/>
        <v>2016</v>
      </c>
      <c r="D775" t="s">
        <v>1284</v>
      </c>
      <c r="E775" t="s">
        <v>1001</v>
      </c>
      <c r="F775" t="s">
        <v>239</v>
      </c>
      <c r="G775" t="s">
        <v>240</v>
      </c>
      <c r="H775" t="s">
        <v>274</v>
      </c>
      <c r="I775" t="s">
        <v>251</v>
      </c>
      <c r="J775" t="s">
        <v>243</v>
      </c>
      <c r="K775" t="s">
        <v>519</v>
      </c>
      <c r="L775" t="s">
        <v>245</v>
      </c>
      <c r="M775" t="s">
        <v>253</v>
      </c>
      <c r="N775" t="s">
        <v>247</v>
      </c>
      <c r="O775">
        <v>42416</v>
      </c>
      <c r="P775">
        <v>2.9</v>
      </c>
      <c r="Q775">
        <v>4.76</v>
      </c>
      <c r="R775">
        <f t="shared" si="73"/>
        <v>1.8599999999999999</v>
      </c>
      <c r="S775">
        <v>33</v>
      </c>
      <c r="T775">
        <f t="shared" si="74"/>
        <v>157.07999999999998</v>
      </c>
      <c r="U775">
        <v>0.06</v>
      </c>
      <c r="V775">
        <f t="shared" si="75"/>
        <v>9.4247999999999994</v>
      </c>
      <c r="W775">
        <f t="shared" si="76"/>
        <v>147.65519999999998</v>
      </c>
      <c r="X775">
        <v>0.88</v>
      </c>
      <c r="Y775">
        <f t="shared" si="77"/>
        <v>148.53519999999997</v>
      </c>
    </row>
    <row r="776" spans="1:25" x14ac:dyDescent="0.25">
      <c r="A776" t="s">
        <v>1807</v>
      </c>
      <c r="B776">
        <v>42416</v>
      </c>
      <c r="C776" t="str">
        <f t="shared" si="72"/>
        <v>2016</v>
      </c>
      <c r="D776" t="s">
        <v>890</v>
      </c>
      <c r="E776" t="s">
        <v>380</v>
      </c>
      <c r="F776" t="s">
        <v>257</v>
      </c>
      <c r="G776" t="s">
        <v>258</v>
      </c>
      <c r="H776" t="s">
        <v>293</v>
      </c>
      <c r="I776" t="s">
        <v>381</v>
      </c>
      <c r="J776" t="s">
        <v>294</v>
      </c>
      <c r="K776" t="s">
        <v>776</v>
      </c>
      <c r="L776" t="s">
        <v>245</v>
      </c>
      <c r="M776" t="s">
        <v>246</v>
      </c>
      <c r="N776" t="s">
        <v>247</v>
      </c>
      <c r="O776">
        <v>42417</v>
      </c>
      <c r="P776">
        <v>4.53</v>
      </c>
      <c r="Q776">
        <v>7.3</v>
      </c>
      <c r="R776">
        <f t="shared" si="73"/>
        <v>2.7699999999999996</v>
      </c>
      <c r="S776">
        <v>36</v>
      </c>
      <c r="T776">
        <f t="shared" si="74"/>
        <v>262.8</v>
      </c>
      <c r="U776">
        <v>0.1</v>
      </c>
      <c r="V776">
        <f t="shared" si="75"/>
        <v>26.28</v>
      </c>
      <c r="W776">
        <f t="shared" si="76"/>
        <v>236.52</v>
      </c>
      <c r="X776">
        <v>7.72</v>
      </c>
      <c r="Y776">
        <f t="shared" si="77"/>
        <v>244.24</v>
      </c>
    </row>
    <row r="777" spans="1:25" x14ac:dyDescent="0.25">
      <c r="A777" t="s">
        <v>1808</v>
      </c>
      <c r="B777">
        <v>42416</v>
      </c>
      <c r="C777" t="str">
        <f t="shared" si="72"/>
        <v>2016</v>
      </c>
      <c r="D777" t="s">
        <v>1809</v>
      </c>
      <c r="E777" t="s">
        <v>701</v>
      </c>
      <c r="F777" t="s">
        <v>257</v>
      </c>
      <c r="G777" t="s">
        <v>258</v>
      </c>
      <c r="H777" t="s">
        <v>259</v>
      </c>
      <c r="I777" t="s">
        <v>275</v>
      </c>
      <c r="J777" t="s">
        <v>279</v>
      </c>
      <c r="K777" t="s">
        <v>941</v>
      </c>
      <c r="L777" t="s">
        <v>245</v>
      </c>
      <c r="M777" t="s">
        <v>253</v>
      </c>
      <c r="N777" t="s">
        <v>247</v>
      </c>
      <c r="O777">
        <v>42421</v>
      </c>
      <c r="P777">
        <v>2.59</v>
      </c>
      <c r="Q777">
        <v>3.98</v>
      </c>
      <c r="R777">
        <f t="shared" si="73"/>
        <v>1.3900000000000001</v>
      </c>
      <c r="S777">
        <v>11</v>
      </c>
      <c r="T777">
        <f t="shared" si="74"/>
        <v>43.78</v>
      </c>
      <c r="U777">
        <v>0.01</v>
      </c>
      <c r="V777">
        <f t="shared" si="75"/>
        <v>0.43780000000000002</v>
      </c>
      <c r="W777">
        <f t="shared" si="76"/>
        <v>43.342199999999998</v>
      </c>
      <c r="X777">
        <v>2.97</v>
      </c>
      <c r="Y777">
        <f t="shared" si="77"/>
        <v>46.312199999999997</v>
      </c>
    </row>
    <row r="778" spans="1:25" x14ac:dyDescent="0.25">
      <c r="A778" t="s">
        <v>1810</v>
      </c>
      <c r="B778">
        <v>42417</v>
      </c>
      <c r="C778" t="str">
        <f t="shared" si="72"/>
        <v>2016</v>
      </c>
      <c r="D778" t="s">
        <v>646</v>
      </c>
      <c r="E778" t="s">
        <v>376</v>
      </c>
      <c r="F778" t="s">
        <v>239</v>
      </c>
      <c r="G778" t="s">
        <v>240</v>
      </c>
      <c r="H778" t="s">
        <v>241</v>
      </c>
      <c r="I778" t="s">
        <v>242</v>
      </c>
      <c r="J778" t="s">
        <v>294</v>
      </c>
      <c r="K778" t="s">
        <v>529</v>
      </c>
      <c r="L778" t="s">
        <v>245</v>
      </c>
      <c r="M778" t="s">
        <v>253</v>
      </c>
      <c r="N778" t="s">
        <v>247</v>
      </c>
      <c r="O778">
        <v>42418</v>
      </c>
      <c r="P778">
        <v>1.6</v>
      </c>
      <c r="Q778">
        <v>2.62</v>
      </c>
      <c r="R778">
        <f t="shared" si="73"/>
        <v>1.02</v>
      </c>
      <c r="S778">
        <v>48</v>
      </c>
      <c r="T778">
        <f t="shared" si="74"/>
        <v>125.76</v>
      </c>
      <c r="U778">
        <v>0.1</v>
      </c>
      <c r="V778">
        <f t="shared" si="75"/>
        <v>12.576000000000001</v>
      </c>
      <c r="W778">
        <f t="shared" si="76"/>
        <v>113.184</v>
      </c>
      <c r="X778">
        <v>0.8</v>
      </c>
      <c r="Y778">
        <f t="shared" si="77"/>
        <v>113.98399999999999</v>
      </c>
    </row>
    <row r="779" spans="1:25" x14ac:dyDescent="0.25">
      <c r="A779" t="s">
        <v>1811</v>
      </c>
      <c r="B779">
        <v>42420</v>
      </c>
      <c r="C779" t="str">
        <f t="shared" si="72"/>
        <v>2016</v>
      </c>
      <c r="D779" t="s">
        <v>451</v>
      </c>
      <c r="E779" t="s">
        <v>1812</v>
      </c>
      <c r="F779" t="s">
        <v>239</v>
      </c>
      <c r="G779" t="s">
        <v>240</v>
      </c>
      <c r="H779" t="s">
        <v>259</v>
      </c>
      <c r="I779" t="s">
        <v>242</v>
      </c>
      <c r="J779" t="s">
        <v>261</v>
      </c>
      <c r="K779" t="s">
        <v>1130</v>
      </c>
      <c r="L779" t="s">
        <v>268</v>
      </c>
      <c r="M779" t="s">
        <v>246</v>
      </c>
      <c r="N779" t="s">
        <v>247</v>
      </c>
      <c r="O779">
        <v>42422</v>
      </c>
      <c r="P779">
        <v>14.7</v>
      </c>
      <c r="Q779">
        <v>29.99</v>
      </c>
      <c r="R779">
        <f t="shared" si="73"/>
        <v>15.29</v>
      </c>
      <c r="S779">
        <v>11</v>
      </c>
      <c r="T779">
        <f t="shared" si="74"/>
        <v>329.89</v>
      </c>
      <c r="U779">
        <v>0.08</v>
      </c>
      <c r="V779">
        <f t="shared" si="75"/>
        <v>26.391199999999998</v>
      </c>
      <c r="W779">
        <f t="shared" si="76"/>
        <v>303.49879999999996</v>
      </c>
      <c r="X779">
        <v>5.5</v>
      </c>
      <c r="Y779">
        <f t="shared" si="77"/>
        <v>308.99879999999996</v>
      </c>
    </row>
    <row r="780" spans="1:25" x14ac:dyDescent="0.25">
      <c r="A780" t="s">
        <v>1813</v>
      </c>
      <c r="B780">
        <v>42422</v>
      </c>
      <c r="C780" t="str">
        <f t="shared" si="72"/>
        <v>2016</v>
      </c>
      <c r="D780" t="s">
        <v>1814</v>
      </c>
      <c r="E780" t="s">
        <v>352</v>
      </c>
      <c r="F780" t="s">
        <v>257</v>
      </c>
      <c r="G780" t="s">
        <v>258</v>
      </c>
      <c r="H780" t="s">
        <v>293</v>
      </c>
      <c r="I780" t="s">
        <v>275</v>
      </c>
      <c r="J780" t="s">
        <v>294</v>
      </c>
      <c r="K780" t="s">
        <v>594</v>
      </c>
      <c r="L780" t="s">
        <v>268</v>
      </c>
      <c r="M780" t="s">
        <v>269</v>
      </c>
      <c r="N780" t="s">
        <v>270</v>
      </c>
      <c r="O780">
        <v>42423</v>
      </c>
      <c r="P780">
        <v>278.99</v>
      </c>
      <c r="Q780">
        <v>449.99</v>
      </c>
      <c r="R780">
        <f t="shared" si="73"/>
        <v>171</v>
      </c>
      <c r="S780">
        <v>38</v>
      </c>
      <c r="T780">
        <f t="shared" si="74"/>
        <v>17099.62</v>
      </c>
      <c r="U780">
        <v>0.01</v>
      </c>
      <c r="V780">
        <f t="shared" si="75"/>
        <v>170.99619999999999</v>
      </c>
      <c r="W780">
        <f t="shared" si="76"/>
        <v>16928.623799999998</v>
      </c>
      <c r="X780">
        <v>49</v>
      </c>
      <c r="Y780">
        <f t="shared" si="77"/>
        <v>16977.623799999998</v>
      </c>
    </row>
    <row r="781" spans="1:25" x14ac:dyDescent="0.25">
      <c r="A781" t="s">
        <v>1815</v>
      </c>
      <c r="B781">
        <v>42423</v>
      </c>
      <c r="C781" t="str">
        <f t="shared" si="72"/>
        <v>2016</v>
      </c>
      <c r="D781" t="s">
        <v>1816</v>
      </c>
      <c r="E781" t="s">
        <v>1551</v>
      </c>
      <c r="F781" t="s">
        <v>257</v>
      </c>
      <c r="G781" t="s">
        <v>258</v>
      </c>
      <c r="H781" t="s">
        <v>293</v>
      </c>
      <c r="I781" t="s">
        <v>309</v>
      </c>
      <c r="J781" t="s">
        <v>304</v>
      </c>
      <c r="K781" t="s">
        <v>998</v>
      </c>
      <c r="L781" t="s">
        <v>245</v>
      </c>
      <c r="M781" t="s">
        <v>246</v>
      </c>
      <c r="N781" t="s">
        <v>247</v>
      </c>
      <c r="O781">
        <v>42424</v>
      </c>
      <c r="P781">
        <v>21.97</v>
      </c>
      <c r="Q781">
        <v>35.44</v>
      </c>
      <c r="R781">
        <f t="shared" si="73"/>
        <v>13.469999999999999</v>
      </c>
      <c r="S781">
        <v>48</v>
      </c>
      <c r="T781">
        <f t="shared" si="74"/>
        <v>1701.12</v>
      </c>
      <c r="U781">
        <v>0.08</v>
      </c>
      <c r="V781">
        <f t="shared" si="75"/>
        <v>136.08959999999999</v>
      </c>
      <c r="W781">
        <f t="shared" si="76"/>
        <v>1565.0303999999999</v>
      </c>
      <c r="X781">
        <v>4.92</v>
      </c>
      <c r="Y781">
        <f t="shared" si="77"/>
        <v>1569.9503999999999</v>
      </c>
    </row>
    <row r="782" spans="1:25" x14ac:dyDescent="0.25">
      <c r="A782" t="s">
        <v>1817</v>
      </c>
      <c r="B782">
        <v>42426</v>
      </c>
      <c r="C782" t="str">
        <f t="shared" si="72"/>
        <v>2016</v>
      </c>
      <c r="D782" t="s">
        <v>1323</v>
      </c>
      <c r="E782" t="s">
        <v>552</v>
      </c>
      <c r="F782" t="s">
        <v>257</v>
      </c>
      <c r="G782" t="s">
        <v>258</v>
      </c>
      <c r="H782" t="s">
        <v>274</v>
      </c>
      <c r="I782" t="s">
        <v>284</v>
      </c>
      <c r="J782" t="s">
        <v>279</v>
      </c>
      <c r="K782" t="s">
        <v>600</v>
      </c>
      <c r="L782" t="s">
        <v>245</v>
      </c>
      <c r="M782" t="s">
        <v>253</v>
      </c>
      <c r="N782" t="s">
        <v>247</v>
      </c>
      <c r="O782">
        <v>42433</v>
      </c>
      <c r="P782">
        <v>2.98</v>
      </c>
      <c r="Q782">
        <v>5.84</v>
      </c>
      <c r="R782">
        <f t="shared" si="73"/>
        <v>2.86</v>
      </c>
      <c r="S782">
        <v>19</v>
      </c>
      <c r="T782">
        <f t="shared" si="74"/>
        <v>110.96</v>
      </c>
      <c r="U782">
        <v>0.01</v>
      </c>
      <c r="V782">
        <f t="shared" si="75"/>
        <v>1.1095999999999999</v>
      </c>
      <c r="W782">
        <f t="shared" si="76"/>
        <v>109.85039999999999</v>
      </c>
      <c r="X782">
        <v>0.83</v>
      </c>
      <c r="Y782">
        <f t="shared" si="77"/>
        <v>110.68039999999999</v>
      </c>
    </row>
    <row r="783" spans="1:25" x14ac:dyDescent="0.25">
      <c r="A783" t="s">
        <v>1818</v>
      </c>
      <c r="B783">
        <v>42429</v>
      </c>
      <c r="C783" t="str">
        <f t="shared" si="72"/>
        <v>2016</v>
      </c>
      <c r="D783" t="s">
        <v>1102</v>
      </c>
      <c r="E783" t="s">
        <v>1103</v>
      </c>
      <c r="F783" t="s">
        <v>448</v>
      </c>
      <c r="G783" t="s">
        <v>449</v>
      </c>
      <c r="H783" t="s">
        <v>293</v>
      </c>
      <c r="I783" t="s">
        <v>284</v>
      </c>
      <c r="J783" t="s">
        <v>304</v>
      </c>
      <c r="K783" t="s">
        <v>295</v>
      </c>
      <c r="L783" t="s">
        <v>245</v>
      </c>
      <c r="M783" t="s">
        <v>246</v>
      </c>
      <c r="N783" t="s">
        <v>247</v>
      </c>
      <c r="O783">
        <v>42429</v>
      </c>
      <c r="P783">
        <v>54.29</v>
      </c>
      <c r="Q783">
        <v>90.48</v>
      </c>
      <c r="R783">
        <f t="shared" si="73"/>
        <v>36.190000000000005</v>
      </c>
      <c r="S783">
        <v>16</v>
      </c>
      <c r="T783">
        <f t="shared" si="74"/>
        <v>1447.68</v>
      </c>
      <c r="U783">
        <v>0</v>
      </c>
      <c r="V783">
        <f t="shared" si="75"/>
        <v>0</v>
      </c>
      <c r="W783">
        <f t="shared" si="76"/>
        <v>1447.68</v>
      </c>
      <c r="X783">
        <v>19.989999999999998</v>
      </c>
      <c r="Y783">
        <f t="shared" si="77"/>
        <v>1467.67</v>
      </c>
    </row>
    <row r="784" spans="1:25" x14ac:dyDescent="0.25">
      <c r="A784" t="s">
        <v>1819</v>
      </c>
      <c r="B784">
        <v>42434</v>
      </c>
      <c r="C784" t="str">
        <f t="shared" si="72"/>
        <v>2016</v>
      </c>
      <c r="D784" t="s">
        <v>1820</v>
      </c>
      <c r="E784" t="s">
        <v>341</v>
      </c>
      <c r="F784" t="s">
        <v>257</v>
      </c>
      <c r="G784" t="s">
        <v>258</v>
      </c>
      <c r="H784" t="s">
        <v>241</v>
      </c>
      <c r="I784" t="s">
        <v>342</v>
      </c>
      <c r="J784" t="s">
        <v>279</v>
      </c>
      <c r="K784" t="s">
        <v>849</v>
      </c>
      <c r="L784" t="s">
        <v>245</v>
      </c>
      <c r="M784" t="s">
        <v>253</v>
      </c>
      <c r="N784" t="s">
        <v>247</v>
      </c>
      <c r="O784">
        <v>42438</v>
      </c>
      <c r="P784">
        <v>0.93</v>
      </c>
      <c r="Q784">
        <v>1.6</v>
      </c>
      <c r="R784">
        <f t="shared" si="73"/>
        <v>0.67</v>
      </c>
      <c r="S784">
        <v>43</v>
      </c>
      <c r="T784">
        <f t="shared" si="74"/>
        <v>68.8</v>
      </c>
      <c r="U784">
        <v>0.01</v>
      </c>
      <c r="V784">
        <f t="shared" si="75"/>
        <v>0.68799999999999994</v>
      </c>
      <c r="W784">
        <f t="shared" si="76"/>
        <v>68.111999999999995</v>
      </c>
      <c r="X784">
        <v>1.29</v>
      </c>
      <c r="Y784">
        <f t="shared" si="77"/>
        <v>69.402000000000001</v>
      </c>
    </row>
    <row r="785" spans="1:25" x14ac:dyDescent="0.25">
      <c r="A785" t="s">
        <v>1821</v>
      </c>
      <c r="B785">
        <v>42435</v>
      </c>
      <c r="C785" t="str">
        <f t="shared" si="72"/>
        <v>2016</v>
      </c>
      <c r="D785" t="s">
        <v>348</v>
      </c>
      <c r="E785" t="s">
        <v>332</v>
      </c>
      <c r="F785" t="s">
        <v>257</v>
      </c>
      <c r="G785" t="s">
        <v>258</v>
      </c>
      <c r="H785" t="s">
        <v>293</v>
      </c>
      <c r="I785" t="s">
        <v>333</v>
      </c>
      <c r="J785" t="s">
        <v>279</v>
      </c>
      <c r="K785" t="s">
        <v>748</v>
      </c>
      <c r="L785" t="s">
        <v>268</v>
      </c>
      <c r="M785" t="s">
        <v>246</v>
      </c>
      <c r="N785" t="s">
        <v>247</v>
      </c>
      <c r="O785">
        <v>42440</v>
      </c>
      <c r="P785">
        <v>41.28</v>
      </c>
      <c r="Q785">
        <v>95.99</v>
      </c>
      <c r="R785">
        <f t="shared" si="73"/>
        <v>54.709999999999994</v>
      </c>
      <c r="S785">
        <v>40</v>
      </c>
      <c r="T785">
        <f t="shared" si="74"/>
        <v>3839.6</v>
      </c>
      <c r="U785">
        <v>0.05</v>
      </c>
      <c r="V785">
        <f t="shared" si="75"/>
        <v>191.98000000000002</v>
      </c>
      <c r="W785">
        <f t="shared" si="76"/>
        <v>3647.62</v>
      </c>
      <c r="X785">
        <v>8.99</v>
      </c>
      <c r="Y785">
        <f t="shared" si="77"/>
        <v>3656.6099999999997</v>
      </c>
    </row>
    <row r="786" spans="1:25" x14ac:dyDescent="0.25">
      <c r="A786" t="s">
        <v>1822</v>
      </c>
      <c r="B786">
        <v>42435</v>
      </c>
      <c r="C786" t="str">
        <f t="shared" si="72"/>
        <v>2016</v>
      </c>
      <c r="D786" t="s">
        <v>1823</v>
      </c>
      <c r="E786" t="s">
        <v>491</v>
      </c>
      <c r="F786" t="s">
        <v>257</v>
      </c>
      <c r="G786" t="s">
        <v>258</v>
      </c>
      <c r="H786" t="s">
        <v>259</v>
      </c>
      <c r="I786" t="s">
        <v>492</v>
      </c>
      <c r="J786" t="s">
        <v>294</v>
      </c>
      <c r="K786" t="s">
        <v>1429</v>
      </c>
      <c r="L786" t="s">
        <v>245</v>
      </c>
      <c r="M786" t="s">
        <v>246</v>
      </c>
      <c r="N786" t="s">
        <v>263</v>
      </c>
      <c r="O786">
        <v>42436</v>
      </c>
      <c r="P786">
        <v>3.99</v>
      </c>
      <c r="Q786">
        <v>6.23</v>
      </c>
      <c r="R786">
        <f t="shared" si="73"/>
        <v>2.2400000000000002</v>
      </c>
      <c r="S786">
        <v>33</v>
      </c>
      <c r="T786">
        <f t="shared" si="74"/>
        <v>205.59</v>
      </c>
      <c r="U786">
        <v>0.08</v>
      </c>
      <c r="V786">
        <f t="shared" si="75"/>
        <v>16.447200000000002</v>
      </c>
      <c r="W786">
        <f t="shared" si="76"/>
        <v>189.14279999999999</v>
      </c>
      <c r="X786">
        <v>6.97</v>
      </c>
      <c r="Y786">
        <f t="shared" si="77"/>
        <v>196.11279999999999</v>
      </c>
    </row>
    <row r="787" spans="1:25" x14ac:dyDescent="0.25">
      <c r="A787" t="s">
        <v>1824</v>
      </c>
      <c r="B787">
        <v>42436</v>
      </c>
      <c r="C787" t="str">
        <f t="shared" si="72"/>
        <v>2016</v>
      </c>
      <c r="D787" t="s">
        <v>596</v>
      </c>
      <c r="E787" t="s">
        <v>352</v>
      </c>
      <c r="F787" t="s">
        <v>257</v>
      </c>
      <c r="G787" t="s">
        <v>258</v>
      </c>
      <c r="H787" t="s">
        <v>241</v>
      </c>
      <c r="I787" t="s">
        <v>275</v>
      </c>
      <c r="J787" t="s">
        <v>304</v>
      </c>
      <c r="K787" t="s">
        <v>786</v>
      </c>
      <c r="L787" t="s">
        <v>245</v>
      </c>
      <c r="M787" t="s">
        <v>323</v>
      </c>
      <c r="N787" t="s">
        <v>247</v>
      </c>
      <c r="O787">
        <v>42437</v>
      </c>
      <c r="P787">
        <v>16.8</v>
      </c>
      <c r="Q787">
        <v>40.97</v>
      </c>
      <c r="R787">
        <f t="shared" si="73"/>
        <v>24.169999999999998</v>
      </c>
      <c r="S787">
        <v>14</v>
      </c>
      <c r="T787">
        <f t="shared" si="74"/>
        <v>573.57999999999993</v>
      </c>
      <c r="U787">
        <v>0</v>
      </c>
      <c r="V787">
        <f t="shared" si="75"/>
        <v>0</v>
      </c>
      <c r="W787">
        <f t="shared" si="76"/>
        <v>573.57999999999993</v>
      </c>
      <c r="X787">
        <v>8.99</v>
      </c>
      <c r="Y787">
        <f t="shared" si="77"/>
        <v>582.56999999999994</v>
      </c>
    </row>
    <row r="788" spans="1:25" x14ac:dyDescent="0.25">
      <c r="A788" t="s">
        <v>1825</v>
      </c>
      <c r="B788">
        <v>42438</v>
      </c>
      <c r="C788" t="str">
        <f t="shared" si="72"/>
        <v>2016</v>
      </c>
      <c r="D788" t="s">
        <v>1826</v>
      </c>
      <c r="E788" t="s">
        <v>612</v>
      </c>
      <c r="F788" t="s">
        <v>239</v>
      </c>
      <c r="G788" t="s">
        <v>240</v>
      </c>
      <c r="H788" t="s">
        <v>259</v>
      </c>
      <c r="I788" t="s">
        <v>242</v>
      </c>
      <c r="J788" t="s">
        <v>304</v>
      </c>
      <c r="K788" t="s">
        <v>373</v>
      </c>
      <c r="L788" t="s">
        <v>268</v>
      </c>
      <c r="M788" t="s">
        <v>246</v>
      </c>
      <c r="N788" t="s">
        <v>247</v>
      </c>
      <c r="O788">
        <v>42439</v>
      </c>
      <c r="P788">
        <v>6.39</v>
      </c>
      <c r="Q788">
        <v>19.98</v>
      </c>
      <c r="R788">
        <f t="shared" si="73"/>
        <v>13.59</v>
      </c>
      <c r="S788">
        <v>39</v>
      </c>
      <c r="T788">
        <f t="shared" si="74"/>
        <v>779.22</v>
      </c>
      <c r="U788">
        <v>0.05</v>
      </c>
      <c r="V788">
        <f t="shared" si="75"/>
        <v>38.961000000000006</v>
      </c>
      <c r="W788">
        <f t="shared" si="76"/>
        <v>740.25900000000001</v>
      </c>
      <c r="X788">
        <v>4</v>
      </c>
      <c r="Y788">
        <f t="shared" si="77"/>
        <v>744.25900000000001</v>
      </c>
    </row>
    <row r="789" spans="1:25" x14ac:dyDescent="0.25">
      <c r="A789" t="s">
        <v>1827</v>
      </c>
      <c r="B789">
        <v>42440</v>
      </c>
      <c r="C789" t="str">
        <f t="shared" si="72"/>
        <v>2016</v>
      </c>
      <c r="D789" t="s">
        <v>930</v>
      </c>
      <c r="E789" t="s">
        <v>643</v>
      </c>
      <c r="F789" t="s">
        <v>257</v>
      </c>
      <c r="G789" t="s">
        <v>258</v>
      </c>
      <c r="H789" t="s">
        <v>293</v>
      </c>
      <c r="I789" t="s">
        <v>342</v>
      </c>
      <c r="J789" t="s">
        <v>304</v>
      </c>
      <c r="K789" t="s">
        <v>734</v>
      </c>
      <c r="L789" t="s">
        <v>245</v>
      </c>
      <c r="M789" t="s">
        <v>246</v>
      </c>
      <c r="N789" t="s">
        <v>247</v>
      </c>
      <c r="O789">
        <v>42442</v>
      </c>
      <c r="P789">
        <v>14.95</v>
      </c>
      <c r="Q789">
        <v>34.76</v>
      </c>
      <c r="R789">
        <f t="shared" si="73"/>
        <v>19.809999999999999</v>
      </c>
      <c r="S789">
        <v>27</v>
      </c>
      <c r="T789">
        <f t="shared" si="74"/>
        <v>938.52</v>
      </c>
      <c r="U789">
        <v>0.1</v>
      </c>
      <c r="V789">
        <f t="shared" si="75"/>
        <v>93.852000000000004</v>
      </c>
      <c r="W789">
        <f t="shared" si="76"/>
        <v>844.66800000000001</v>
      </c>
      <c r="X789">
        <v>8.2200000000000006</v>
      </c>
      <c r="Y789">
        <f t="shared" si="77"/>
        <v>852.88800000000003</v>
      </c>
    </row>
    <row r="790" spans="1:25" x14ac:dyDescent="0.25">
      <c r="A790" t="s">
        <v>1828</v>
      </c>
      <c r="B790">
        <v>42441</v>
      </c>
      <c r="C790" t="str">
        <f t="shared" si="72"/>
        <v>2016</v>
      </c>
      <c r="D790" t="s">
        <v>1602</v>
      </c>
      <c r="E790" t="s">
        <v>944</v>
      </c>
      <c r="F790" t="s">
        <v>257</v>
      </c>
      <c r="G790" t="s">
        <v>258</v>
      </c>
      <c r="H790" t="s">
        <v>241</v>
      </c>
      <c r="I790" t="s">
        <v>333</v>
      </c>
      <c r="J790" t="s">
        <v>304</v>
      </c>
      <c r="K790" t="s">
        <v>1293</v>
      </c>
      <c r="L790" t="s">
        <v>245</v>
      </c>
      <c r="M790" t="s">
        <v>253</v>
      </c>
      <c r="N790" t="s">
        <v>247</v>
      </c>
      <c r="O790">
        <v>42441</v>
      </c>
      <c r="P790">
        <v>0.94</v>
      </c>
      <c r="Q790">
        <v>1.88</v>
      </c>
      <c r="R790">
        <f t="shared" si="73"/>
        <v>0.94</v>
      </c>
      <c r="S790">
        <v>36</v>
      </c>
      <c r="T790">
        <f t="shared" si="74"/>
        <v>67.679999999999993</v>
      </c>
      <c r="U790">
        <v>0.04</v>
      </c>
      <c r="V790">
        <f t="shared" si="75"/>
        <v>2.7071999999999998</v>
      </c>
      <c r="W790">
        <f t="shared" si="76"/>
        <v>64.972799999999992</v>
      </c>
      <c r="X790">
        <v>0.79</v>
      </c>
      <c r="Y790">
        <f t="shared" si="77"/>
        <v>65.762799999999999</v>
      </c>
    </row>
    <row r="791" spans="1:25" x14ac:dyDescent="0.25">
      <c r="A791" t="s">
        <v>1829</v>
      </c>
      <c r="B791">
        <v>42441</v>
      </c>
      <c r="C791" t="str">
        <f t="shared" si="72"/>
        <v>2016</v>
      </c>
      <c r="D791" t="s">
        <v>693</v>
      </c>
      <c r="E791" t="s">
        <v>694</v>
      </c>
      <c r="F791" t="s">
        <v>257</v>
      </c>
      <c r="G791" t="s">
        <v>258</v>
      </c>
      <c r="H791" t="s">
        <v>259</v>
      </c>
      <c r="I791" t="s">
        <v>284</v>
      </c>
      <c r="J791" t="s">
        <v>279</v>
      </c>
      <c r="K791" t="s">
        <v>849</v>
      </c>
      <c r="L791" t="s">
        <v>245</v>
      </c>
      <c r="M791" t="s">
        <v>253</v>
      </c>
      <c r="N791" t="s">
        <v>247</v>
      </c>
      <c r="O791">
        <v>42446</v>
      </c>
      <c r="P791">
        <v>0.93</v>
      </c>
      <c r="Q791">
        <v>1.6</v>
      </c>
      <c r="R791">
        <f t="shared" si="73"/>
        <v>0.67</v>
      </c>
      <c r="S791">
        <v>40</v>
      </c>
      <c r="T791">
        <f t="shared" si="74"/>
        <v>64</v>
      </c>
      <c r="U791">
        <v>0.01</v>
      </c>
      <c r="V791">
        <f t="shared" si="75"/>
        <v>0.64</v>
      </c>
      <c r="W791">
        <f t="shared" si="76"/>
        <v>63.36</v>
      </c>
      <c r="X791">
        <v>1.29</v>
      </c>
      <c r="Y791">
        <f t="shared" si="77"/>
        <v>64.650000000000006</v>
      </c>
    </row>
    <row r="792" spans="1:25" x14ac:dyDescent="0.25">
      <c r="A792" t="s">
        <v>1830</v>
      </c>
      <c r="B792">
        <v>42443</v>
      </c>
      <c r="C792" t="str">
        <f t="shared" si="72"/>
        <v>2016</v>
      </c>
      <c r="D792" t="s">
        <v>1831</v>
      </c>
      <c r="E792" t="s">
        <v>552</v>
      </c>
      <c r="F792" t="s">
        <v>257</v>
      </c>
      <c r="G792" t="s">
        <v>258</v>
      </c>
      <c r="H792" t="s">
        <v>241</v>
      </c>
      <c r="I792" t="s">
        <v>284</v>
      </c>
      <c r="J792" t="s">
        <v>279</v>
      </c>
      <c r="K792" t="s">
        <v>475</v>
      </c>
      <c r="L792" t="s">
        <v>245</v>
      </c>
      <c r="M792" t="s">
        <v>246</v>
      </c>
      <c r="N792" t="s">
        <v>247</v>
      </c>
      <c r="O792">
        <v>42447</v>
      </c>
      <c r="P792">
        <v>12.39</v>
      </c>
      <c r="Q792">
        <v>19.98</v>
      </c>
      <c r="R792">
        <f t="shared" si="73"/>
        <v>7.59</v>
      </c>
      <c r="S792">
        <v>47</v>
      </c>
      <c r="T792">
        <f t="shared" si="74"/>
        <v>939.06000000000006</v>
      </c>
      <c r="U792">
        <v>0</v>
      </c>
      <c r="V792">
        <f t="shared" si="75"/>
        <v>0</v>
      </c>
      <c r="W792">
        <f t="shared" si="76"/>
        <v>939.06000000000006</v>
      </c>
      <c r="X792">
        <v>5.77</v>
      </c>
      <c r="Y792">
        <f t="shared" si="77"/>
        <v>944.83</v>
      </c>
    </row>
    <row r="793" spans="1:25" x14ac:dyDescent="0.25">
      <c r="A793" t="s">
        <v>1832</v>
      </c>
      <c r="B793">
        <v>42446</v>
      </c>
      <c r="C793" t="str">
        <f t="shared" si="72"/>
        <v>2016</v>
      </c>
      <c r="D793" t="s">
        <v>311</v>
      </c>
      <c r="E793" t="s">
        <v>312</v>
      </c>
      <c r="F793" t="s">
        <v>257</v>
      </c>
      <c r="G793" t="s">
        <v>258</v>
      </c>
      <c r="H793" t="s">
        <v>274</v>
      </c>
      <c r="I793" t="s">
        <v>284</v>
      </c>
      <c r="J793" t="s">
        <v>261</v>
      </c>
      <c r="K793" t="s">
        <v>425</v>
      </c>
      <c r="L793" t="s">
        <v>245</v>
      </c>
      <c r="M793" t="s">
        <v>253</v>
      </c>
      <c r="N793" t="s">
        <v>247</v>
      </c>
      <c r="O793">
        <v>42448</v>
      </c>
      <c r="P793">
        <v>21.56</v>
      </c>
      <c r="Q793">
        <v>36.549999999999997</v>
      </c>
      <c r="R793">
        <f t="shared" si="73"/>
        <v>14.989999999999998</v>
      </c>
      <c r="S793">
        <v>2</v>
      </c>
      <c r="T793">
        <f t="shared" si="74"/>
        <v>73.099999999999994</v>
      </c>
      <c r="U793">
        <v>0.03</v>
      </c>
      <c r="V793">
        <f t="shared" si="75"/>
        <v>2.1929999999999996</v>
      </c>
      <c r="W793">
        <f t="shared" si="76"/>
        <v>70.906999999999996</v>
      </c>
      <c r="X793">
        <v>13.89</v>
      </c>
      <c r="Y793">
        <f t="shared" si="77"/>
        <v>84.796999999999997</v>
      </c>
    </row>
    <row r="794" spans="1:25" x14ac:dyDescent="0.25">
      <c r="A794" t="s">
        <v>1832</v>
      </c>
      <c r="B794">
        <v>42446</v>
      </c>
      <c r="C794" t="str">
        <f t="shared" si="72"/>
        <v>2016</v>
      </c>
      <c r="D794" t="s">
        <v>1132</v>
      </c>
      <c r="E794" t="s">
        <v>1133</v>
      </c>
      <c r="F794" t="s">
        <v>257</v>
      </c>
      <c r="G794" t="s">
        <v>258</v>
      </c>
      <c r="H794" t="s">
        <v>259</v>
      </c>
      <c r="I794" t="s">
        <v>372</v>
      </c>
      <c r="J794" t="s">
        <v>261</v>
      </c>
      <c r="K794" t="s">
        <v>582</v>
      </c>
      <c r="L794" t="s">
        <v>245</v>
      </c>
      <c r="M794" t="s">
        <v>253</v>
      </c>
      <c r="N794" t="s">
        <v>247</v>
      </c>
      <c r="O794">
        <v>42449</v>
      </c>
      <c r="P794">
        <v>0.24</v>
      </c>
      <c r="Q794">
        <v>1.26</v>
      </c>
      <c r="R794">
        <f t="shared" si="73"/>
        <v>1.02</v>
      </c>
      <c r="S794">
        <v>47</v>
      </c>
      <c r="T794">
        <f t="shared" si="74"/>
        <v>59.22</v>
      </c>
      <c r="U794">
        <v>7.0000000000000007E-2</v>
      </c>
      <c r="V794">
        <f t="shared" si="75"/>
        <v>4.1454000000000004</v>
      </c>
      <c r="W794">
        <f t="shared" si="76"/>
        <v>55.074599999999997</v>
      </c>
      <c r="X794">
        <v>0.7</v>
      </c>
      <c r="Y794">
        <f t="shared" si="77"/>
        <v>55.7746</v>
      </c>
    </row>
    <row r="795" spans="1:25" x14ac:dyDescent="0.25">
      <c r="A795" t="s">
        <v>1833</v>
      </c>
      <c r="B795">
        <v>42446</v>
      </c>
      <c r="C795" t="str">
        <f t="shared" si="72"/>
        <v>2016</v>
      </c>
      <c r="D795" t="s">
        <v>1834</v>
      </c>
      <c r="E795" t="s">
        <v>637</v>
      </c>
      <c r="F795" t="s">
        <v>239</v>
      </c>
      <c r="G795" t="s">
        <v>240</v>
      </c>
      <c r="H795" t="s">
        <v>293</v>
      </c>
      <c r="I795" t="s">
        <v>242</v>
      </c>
      <c r="J795" t="s">
        <v>304</v>
      </c>
      <c r="K795" t="s">
        <v>403</v>
      </c>
      <c r="L795" t="s">
        <v>268</v>
      </c>
      <c r="M795" t="s">
        <v>323</v>
      </c>
      <c r="N795" t="s">
        <v>263</v>
      </c>
      <c r="O795">
        <v>42447</v>
      </c>
      <c r="P795">
        <v>1.87</v>
      </c>
      <c r="Q795">
        <v>8.1199999999999992</v>
      </c>
      <c r="R795">
        <f t="shared" si="73"/>
        <v>6.2499999999999991</v>
      </c>
      <c r="S795">
        <v>37</v>
      </c>
      <c r="T795">
        <f t="shared" si="74"/>
        <v>300.44</v>
      </c>
      <c r="U795">
        <v>0.01</v>
      </c>
      <c r="V795">
        <f t="shared" si="75"/>
        <v>3.0044</v>
      </c>
      <c r="W795">
        <f t="shared" si="76"/>
        <v>297.43560000000002</v>
      </c>
      <c r="X795">
        <v>2.83</v>
      </c>
      <c r="Y795">
        <f t="shared" si="77"/>
        <v>300.26560000000001</v>
      </c>
    </row>
    <row r="796" spans="1:25" x14ac:dyDescent="0.25">
      <c r="A796" t="s">
        <v>1835</v>
      </c>
      <c r="B796">
        <v>42447</v>
      </c>
      <c r="C796" t="str">
        <f t="shared" si="72"/>
        <v>2016</v>
      </c>
      <c r="D796" t="s">
        <v>1823</v>
      </c>
      <c r="E796" t="s">
        <v>491</v>
      </c>
      <c r="F796" t="s">
        <v>257</v>
      </c>
      <c r="G796" t="s">
        <v>258</v>
      </c>
      <c r="H796" t="s">
        <v>259</v>
      </c>
      <c r="I796" t="s">
        <v>492</v>
      </c>
      <c r="J796" t="s">
        <v>279</v>
      </c>
      <c r="K796" t="s">
        <v>1138</v>
      </c>
      <c r="L796" t="s">
        <v>245</v>
      </c>
      <c r="M796" t="s">
        <v>246</v>
      </c>
      <c r="N796" t="s">
        <v>247</v>
      </c>
      <c r="O796">
        <v>42452</v>
      </c>
      <c r="P796">
        <v>1.84</v>
      </c>
      <c r="Q796">
        <v>2.88</v>
      </c>
      <c r="R796">
        <f t="shared" si="73"/>
        <v>1.0399999999999998</v>
      </c>
      <c r="S796">
        <v>18</v>
      </c>
      <c r="T796">
        <f t="shared" si="74"/>
        <v>51.839999999999996</v>
      </c>
      <c r="U796">
        <v>0.02</v>
      </c>
      <c r="V796">
        <f t="shared" si="75"/>
        <v>1.0367999999999999</v>
      </c>
      <c r="W796">
        <f t="shared" si="76"/>
        <v>50.803199999999997</v>
      </c>
      <c r="X796">
        <v>5.33</v>
      </c>
      <c r="Y796">
        <f t="shared" si="77"/>
        <v>56.133199999999995</v>
      </c>
    </row>
    <row r="797" spans="1:25" x14ac:dyDescent="0.25">
      <c r="A797" t="s">
        <v>1836</v>
      </c>
      <c r="B797">
        <v>42447</v>
      </c>
      <c r="C797" t="str">
        <f t="shared" si="72"/>
        <v>2016</v>
      </c>
      <c r="D797" t="s">
        <v>1837</v>
      </c>
      <c r="E797" t="s">
        <v>376</v>
      </c>
      <c r="F797" t="s">
        <v>239</v>
      </c>
      <c r="G797" t="s">
        <v>240</v>
      </c>
      <c r="H797" t="s">
        <v>241</v>
      </c>
      <c r="I797" t="s">
        <v>242</v>
      </c>
      <c r="J797" t="s">
        <v>243</v>
      </c>
      <c r="K797" t="s">
        <v>435</v>
      </c>
      <c r="L797" t="s">
        <v>245</v>
      </c>
      <c r="M797" t="s">
        <v>253</v>
      </c>
      <c r="N797" t="s">
        <v>247</v>
      </c>
      <c r="O797">
        <v>42447</v>
      </c>
      <c r="P797">
        <v>3.75</v>
      </c>
      <c r="Q797">
        <v>7.08</v>
      </c>
      <c r="R797">
        <f t="shared" si="73"/>
        <v>3.33</v>
      </c>
      <c r="S797">
        <v>16</v>
      </c>
      <c r="T797">
        <f t="shared" si="74"/>
        <v>113.28</v>
      </c>
      <c r="U797">
        <v>0.02</v>
      </c>
      <c r="V797">
        <f t="shared" si="75"/>
        <v>2.2656000000000001</v>
      </c>
      <c r="W797">
        <f t="shared" si="76"/>
        <v>111.01439999999999</v>
      </c>
      <c r="X797">
        <v>2.35</v>
      </c>
      <c r="Y797">
        <f t="shared" si="77"/>
        <v>113.36439999999999</v>
      </c>
    </row>
    <row r="798" spans="1:25" x14ac:dyDescent="0.25">
      <c r="A798" t="s">
        <v>1838</v>
      </c>
      <c r="B798">
        <v>42449</v>
      </c>
      <c r="C798" t="str">
        <f t="shared" si="72"/>
        <v>2016</v>
      </c>
      <c r="D798" t="s">
        <v>1839</v>
      </c>
      <c r="E798" t="s">
        <v>1658</v>
      </c>
      <c r="F798" t="s">
        <v>257</v>
      </c>
      <c r="G798" t="s">
        <v>258</v>
      </c>
      <c r="H798" t="s">
        <v>259</v>
      </c>
      <c r="I798" t="s">
        <v>260</v>
      </c>
      <c r="J798" t="s">
        <v>294</v>
      </c>
      <c r="K798" t="s">
        <v>519</v>
      </c>
      <c r="L798" t="s">
        <v>245</v>
      </c>
      <c r="M798" t="s">
        <v>253</v>
      </c>
      <c r="N798" t="s">
        <v>247</v>
      </c>
      <c r="O798">
        <v>42451</v>
      </c>
      <c r="P798">
        <v>2.9</v>
      </c>
      <c r="Q798">
        <v>4.76</v>
      </c>
      <c r="R798">
        <f t="shared" si="73"/>
        <v>1.8599999999999999</v>
      </c>
      <c r="S798">
        <v>23</v>
      </c>
      <c r="T798">
        <f t="shared" si="74"/>
        <v>109.47999999999999</v>
      </c>
      <c r="U798">
        <v>0.05</v>
      </c>
      <c r="V798">
        <f t="shared" si="75"/>
        <v>5.4740000000000002</v>
      </c>
      <c r="W798">
        <f t="shared" si="76"/>
        <v>104.00599999999999</v>
      </c>
      <c r="X798">
        <v>0.88</v>
      </c>
      <c r="Y798">
        <f t="shared" si="77"/>
        <v>104.88599999999998</v>
      </c>
    </row>
    <row r="799" spans="1:25" x14ac:dyDescent="0.25">
      <c r="A799" t="s">
        <v>1840</v>
      </c>
      <c r="B799">
        <v>42450</v>
      </c>
      <c r="C799" t="str">
        <f t="shared" si="72"/>
        <v>2016</v>
      </c>
      <c r="D799" t="s">
        <v>1841</v>
      </c>
      <c r="E799" t="s">
        <v>420</v>
      </c>
      <c r="F799" t="s">
        <v>239</v>
      </c>
      <c r="G799" t="s">
        <v>240</v>
      </c>
      <c r="H799" t="s">
        <v>259</v>
      </c>
      <c r="I799" t="s">
        <v>251</v>
      </c>
      <c r="J799" t="s">
        <v>304</v>
      </c>
      <c r="K799" t="s">
        <v>413</v>
      </c>
      <c r="L799" t="s">
        <v>268</v>
      </c>
      <c r="M799" t="s">
        <v>414</v>
      </c>
      <c r="N799" t="s">
        <v>247</v>
      </c>
      <c r="O799">
        <v>42451</v>
      </c>
      <c r="P799">
        <v>8.82</v>
      </c>
      <c r="Q799">
        <v>20.99</v>
      </c>
      <c r="R799">
        <f t="shared" si="73"/>
        <v>12.169999999999998</v>
      </c>
      <c r="S799">
        <v>2</v>
      </c>
      <c r="T799">
        <f t="shared" si="74"/>
        <v>41.98</v>
      </c>
      <c r="U799">
        <v>7.0000000000000007E-2</v>
      </c>
      <c r="V799">
        <f t="shared" si="75"/>
        <v>2.9386000000000001</v>
      </c>
      <c r="W799">
        <f t="shared" si="76"/>
        <v>39.041399999999996</v>
      </c>
      <c r="X799">
        <v>4.8099999999999996</v>
      </c>
      <c r="Y799">
        <f t="shared" si="77"/>
        <v>43.851399999999998</v>
      </c>
    </row>
    <row r="800" spans="1:25" x14ac:dyDescent="0.25">
      <c r="A800" t="s">
        <v>1842</v>
      </c>
      <c r="B800">
        <v>42454</v>
      </c>
      <c r="C800" t="str">
        <f t="shared" si="72"/>
        <v>2016</v>
      </c>
      <c r="D800" t="s">
        <v>784</v>
      </c>
      <c r="E800" t="s">
        <v>637</v>
      </c>
      <c r="F800" t="s">
        <v>239</v>
      </c>
      <c r="G800" t="s">
        <v>240</v>
      </c>
      <c r="H800" t="s">
        <v>259</v>
      </c>
      <c r="I800" t="s">
        <v>251</v>
      </c>
      <c r="J800" t="s">
        <v>294</v>
      </c>
      <c r="K800" t="s">
        <v>888</v>
      </c>
      <c r="L800" t="s">
        <v>245</v>
      </c>
      <c r="M800" t="s">
        <v>253</v>
      </c>
      <c r="N800" t="s">
        <v>247</v>
      </c>
      <c r="O800">
        <v>42454</v>
      </c>
      <c r="P800">
        <v>2.31</v>
      </c>
      <c r="Q800">
        <v>3.78</v>
      </c>
      <c r="R800">
        <f t="shared" si="73"/>
        <v>1.4699999999999998</v>
      </c>
      <c r="S800">
        <v>28</v>
      </c>
      <c r="T800">
        <f t="shared" si="74"/>
        <v>105.83999999999999</v>
      </c>
      <c r="U800">
        <v>0</v>
      </c>
      <c r="V800">
        <f t="shared" si="75"/>
        <v>0</v>
      </c>
      <c r="W800">
        <f t="shared" si="76"/>
        <v>105.83999999999999</v>
      </c>
      <c r="X800">
        <v>0.71</v>
      </c>
      <c r="Y800">
        <f t="shared" si="77"/>
        <v>106.54999999999998</v>
      </c>
    </row>
    <row r="801" spans="1:25" x14ac:dyDescent="0.25">
      <c r="A801" t="s">
        <v>1843</v>
      </c>
      <c r="B801">
        <v>42455</v>
      </c>
      <c r="C801" t="str">
        <f t="shared" si="72"/>
        <v>2016</v>
      </c>
      <c r="D801" t="s">
        <v>1844</v>
      </c>
      <c r="E801" t="s">
        <v>928</v>
      </c>
      <c r="F801" t="s">
        <v>257</v>
      </c>
      <c r="G801" t="s">
        <v>258</v>
      </c>
      <c r="H801" t="s">
        <v>259</v>
      </c>
      <c r="I801" t="s">
        <v>284</v>
      </c>
      <c r="J801" t="s">
        <v>279</v>
      </c>
      <c r="K801" t="s">
        <v>718</v>
      </c>
      <c r="L801" t="s">
        <v>245</v>
      </c>
      <c r="M801" t="s">
        <v>323</v>
      </c>
      <c r="N801" t="s">
        <v>247</v>
      </c>
      <c r="O801">
        <v>42457</v>
      </c>
      <c r="P801">
        <v>2.5</v>
      </c>
      <c r="Q801">
        <v>5.68</v>
      </c>
      <c r="R801">
        <f t="shared" si="73"/>
        <v>3.1799999999999997</v>
      </c>
      <c r="S801">
        <v>45</v>
      </c>
      <c r="T801">
        <f t="shared" si="74"/>
        <v>255.6</v>
      </c>
      <c r="U801">
        <v>0.01</v>
      </c>
      <c r="V801">
        <f t="shared" si="75"/>
        <v>2.556</v>
      </c>
      <c r="W801">
        <f t="shared" si="76"/>
        <v>253.04399999999998</v>
      </c>
      <c r="X801">
        <v>3.6</v>
      </c>
      <c r="Y801">
        <f t="shared" si="77"/>
        <v>256.64400000000001</v>
      </c>
    </row>
    <row r="802" spans="1:25" x14ac:dyDescent="0.25">
      <c r="A802" t="s">
        <v>1845</v>
      </c>
      <c r="B802">
        <v>42455</v>
      </c>
      <c r="C802" t="str">
        <f t="shared" si="72"/>
        <v>2016</v>
      </c>
      <c r="D802" t="s">
        <v>1793</v>
      </c>
      <c r="E802" t="s">
        <v>1794</v>
      </c>
      <c r="F802" t="s">
        <v>448</v>
      </c>
      <c r="G802" t="s">
        <v>449</v>
      </c>
      <c r="H802" t="s">
        <v>293</v>
      </c>
      <c r="I802" t="s">
        <v>284</v>
      </c>
      <c r="J802" t="s">
        <v>261</v>
      </c>
      <c r="K802" t="s">
        <v>368</v>
      </c>
      <c r="L802" t="s">
        <v>245</v>
      </c>
      <c r="M802" t="s">
        <v>246</v>
      </c>
      <c r="N802" t="s">
        <v>247</v>
      </c>
      <c r="O802">
        <v>42457</v>
      </c>
      <c r="P802">
        <v>1.59</v>
      </c>
      <c r="Q802">
        <v>2.61</v>
      </c>
      <c r="R802">
        <f t="shared" si="73"/>
        <v>1.0199999999999998</v>
      </c>
      <c r="S802">
        <v>8</v>
      </c>
      <c r="T802">
        <f t="shared" si="74"/>
        <v>20.88</v>
      </c>
      <c r="U802">
        <v>0.02</v>
      </c>
      <c r="V802">
        <f t="shared" si="75"/>
        <v>0.41759999999999997</v>
      </c>
      <c r="W802">
        <f t="shared" si="76"/>
        <v>20.462399999999999</v>
      </c>
      <c r="X802">
        <v>0.5</v>
      </c>
      <c r="Y802">
        <f t="shared" si="77"/>
        <v>20.962399999999999</v>
      </c>
    </row>
    <row r="803" spans="1:25" x14ac:dyDescent="0.25">
      <c r="A803" t="s">
        <v>1846</v>
      </c>
      <c r="B803">
        <v>42456</v>
      </c>
      <c r="C803" t="str">
        <f t="shared" si="72"/>
        <v>2016</v>
      </c>
      <c r="D803" t="s">
        <v>1114</v>
      </c>
      <c r="E803" t="s">
        <v>1115</v>
      </c>
      <c r="F803" t="s">
        <v>239</v>
      </c>
      <c r="G803" t="s">
        <v>240</v>
      </c>
      <c r="H803" t="s">
        <v>274</v>
      </c>
      <c r="I803" t="s">
        <v>251</v>
      </c>
      <c r="J803" t="s">
        <v>243</v>
      </c>
      <c r="K803" t="s">
        <v>594</v>
      </c>
      <c r="L803" t="s">
        <v>268</v>
      </c>
      <c r="M803" t="s">
        <v>647</v>
      </c>
      <c r="N803" t="s">
        <v>247</v>
      </c>
      <c r="O803">
        <v>42457</v>
      </c>
      <c r="P803">
        <v>216</v>
      </c>
      <c r="Q803">
        <v>449.99</v>
      </c>
      <c r="R803">
        <f t="shared" si="73"/>
        <v>233.99</v>
      </c>
      <c r="S803">
        <v>49</v>
      </c>
      <c r="T803">
        <f t="shared" si="74"/>
        <v>22049.510000000002</v>
      </c>
      <c r="U803">
        <v>0.06</v>
      </c>
      <c r="V803">
        <f t="shared" si="75"/>
        <v>1322.9706000000001</v>
      </c>
      <c r="W803">
        <f t="shared" si="76"/>
        <v>20726.539400000001</v>
      </c>
      <c r="X803">
        <v>24.49</v>
      </c>
      <c r="Y803">
        <f t="shared" si="77"/>
        <v>20751.029400000003</v>
      </c>
    </row>
    <row r="804" spans="1:25" x14ac:dyDescent="0.25">
      <c r="A804" t="s">
        <v>1847</v>
      </c>
      <c r="B804">
        <v>42456</v>
      </c>
      <c r="C804" t="str">
        <f t="shared" si="72"/>
        <v>2016</v>
      </c>
      <c r="D804" t="s">
        <v>1848</v>
      </c>
      <c r="E804" t="s">
        <v>806</v>
      </c>
      <c r="F804" t="s">
        <v>257</v>
      </c>
      <c r="G804" t="s">
        <v>258</v>
      </c>
      <c r="H804" t="s">
        <v>241</v>
      </c>
      <c r="I804" t="s">
        <v>299</v>
      </c>
      <c r="J804" t="s">
        <v>279</v>
      </c>
      <c r="K804" t="s">
        <v>267</v>
      </c>
      <c r="L804" t="s">
        <v>268</v>
      </c>
      <c r="M804" t="s">
        <v>269</v>
      </c>
      <c r="N804" t="s">
        <v>270</v>
      </c>
      <c r="O804">
        <v>42463</v>
      </c>
      <c r="P804">
        <v>75</v>
      </c>
      <c r="Q804">
        <v>120.97</v>
      </c>
      <c r="R804">
        <f t="shared" si="73"/>
        <v>45.97</v>
      </c>
      <c r="S804">
        <v>42</v>
      </c>
      <c r="T804">
        <f t="shared" si="74"/>
        <v>5080.74</v>
      </c>
      <c r="U804">
        <v>0</v>
      </c>
      <c r="V804">
        <f t="shared" si="75"/>
        <v>0</v>
      </c>
      <c r="W804">
        <f t="shared" si="76"/>
        <v>5080.74</v>
      </c>
      <c r="X804">
        <v>26.3</v>
      </c>
      <c r="Y804">
        <f t="shared" si="77"/>
        <v>5107.04</v>
      </c>
    </row>
    <row r="805" spans="1:25" x14ac:dyDescent="0.25">
      <c r="A805" t="s">
        <v>1849</v>
      </c>
      <c r="B805">
        <v>42458</v>
      </c>
      <c r="C805" t="str">
        <f t="shared" si="72"/>
        <v>2016</v>
      </c>
      <c r="D805" t="s">
        <v>1706</v>
      </c>
      <c r="E805" t="s">
        <v>1290</v>
      </c>
      <c r="F805" t="s">
        <v>257</v>
      </c>
      <c r="G805" t="s">
        <v>258</v>
      </c>
      <c r="H805" t="s">
        <v>259</v>
      </c>
      <c r="I805" t="s">
        <v>260</v>
      </c>
      <c r="J805" t="s">
        <v>261</v>
      </c>
      <c r="K805" t="s">
        <v>676</v>
      </c>
      <c r="L805" t="s">
        <v>245</v>
      </c>
      <c r="M805" t="s">
        <v>323</v>
      </c>
      <c r="N805" t="s">
        <v>247</v>
      </c>
      <c r="O805">
        <v>42459</v>
      </c>
      <c r="P805">
        <v>5.19</v>
      </c>
      <c r="Q805">
        <v>12.98</v>
      </c>
      <c r="R805">
        <f t="shared" si="73"/>
        <v>7.79</v>
      </c>
      <c r="S805">
        <v>45</v>
      </c>
      <c r="T805">
        <f t="shared" si="74"/>
        <v>584.1</v>
      </c>
      <c r="U805">
        <v>0.05</v>
      </c>
      <c r="V805">
        <f t="shared" si="75"/>
        <v>29.205000000000002</v>
      </c>
      <c r="W805">
        <f t="shared" si="76"/>
        <v>554.89499999999998</v>
      </c>
      <c r="X805">
        <v>3.14</v>
      </c>
      <c r="Y805">
        <f t="shared" si="77"/>
        <v>558.03499999999997</v>
      </c>
    </row>
    <row r="806" spans="1:25" x14ac:dyDescent="0.25">
      <c r="A806" t="s">
        <v>1850</v>
      </c>
      <c r="B806">
        <v>42458</v>
      </c>
      <c r="C806" t="str">
        <f t="shared" si="72"/>
        <v>2016</v>
      </c>
      <c r="D806" t="s">
        <v>1851</v>
      </c>
      <c r="E806" t="s">
        <v>612</v>
      </c>
      <c r="F806" t="s">
        <v>239</v>
      </c>
      <c r="G806" t="s">
        <v>240</v>
      </c>
      <c r="H806" t="s">
        <v>259</v>
      </c>
      <c r="I806" t="s">
        <v>242</v>
      </c>
      <c r="J806" t="s">
        <v>279</v>
      </c>
      <c r="K806" t="s">
        <v>617</v>
      </c>
      <c r="L806" t="s">
        <v>245</v>
      </c>
      <c r="M806" t="s">
        <v>246</v>
      </c>
      <c r="N806" t="s">
        <v>247</v>
      </c>
      <c r="O806">
        <v>42460</v>
      </c>
      <c r="P806">
        <v>1.94</v>
      </c>
      <c r="Q806">
        <v>3.08</v>
      </c>
      <c r="R806">
        <f t="shared" si="73"/>
        <v>1.1400000000000001</v>
      </c>
      <c r="S806">
        <v>42</v>
      </c>
      <c r="T806">
        <f t="shared" si="74"/>
        <v>129.36000000000001</v>
      </c>
      <c r="U806">
        <v>0.09</v>
      </c>
      <c r="V806">
        <f t="shared" si="75"/>
        <v>11.6424</v>
      </c>
      <c r="W806">
        <f t="shared" si="76"/>
        <v>117.71760000000002</v>
      </c>
      <c r="X806">
        <v>0.99</v>
      </c>
      <c r="Y806">
        <f t="shared" si="77"/>
        <v>118.70760000000001</v>
      </c>
    </row>
    <row r="807" spans="1:25" x14ac:dyDescent="0.25">
      <c r="A807" t="s">
        <v>1852</v>
      </c>
      <c r="B807">
        <v>42459</v>
      </c>
      <c r="C807" t="str">
        <f t="shared" si="72"/>
        <v>2016</v>
      </c>
      <c r="D807" t="s">
        <v>1853</v>
      </c>
      <c r="E807" t="s">
        <v>332</v>
      </c>
      <c r="F807" t="s">
        <v>257</v>
      </c>
      <c r="G807" t="s">
        <v>258</v>
      </c>
      <c r="H807" t="s">
        <v>259</v>
      </c>
      <c r="I807" t="s">
        <v>333</v>
      </c>
      <c r="J807" t="s">
        <v>294</v>
      </c>
      <c r="K807" t="s">
        <v>353</v>
      </c>
      <c r="L807" t="s">
        <v>245</v>
      </c>
      <c r="M807" t="s">
        <v>323</v>
      </c>
      <c r="N807" t="s">
        <v>247</v>
      </c>
      <c r="O807">
        <v>42460</v>
      </c>
      <c r="P807">
        <v>0.94</v>
      </c>
      <c r="Q807">
        <v>2.08</v>
      </c>
      <c r="R807">
        <f t="shared" si="73"/>
        <v>1.1400000000000001</v>
      </c>
      <c r="S807">
        <v>2</v>
      </c>
      <c r="T807">
        <f t="shared" si="74"/>
        <v>4.16</v>
      </c>
      <c r="U807">
        <v>0.01</v>
      </c>
      <c r="V807">
        <f t="shared" si="75"/>
        <v>4.1600000000000005E-2</v>
      </c>
      <c r="W807">
        <f t="shared" si="76"/>
        <v>4.1184000000000003</v>
      </c>
      <c r="X807">
        <v>2.56</v>
      </c>
      <c r="Y807">
        <f t="shared" si="77"/>
        <v>6.6783999999999999</v>
      </c>
    </row>
    <row r="808" spans="1:25" x14ac:dyDescent="0.25">
      <c r="A808" t="s">
        <v>1854</v>
      </c>
      <c r="B808">
        <v>42462</v>
      </c>
      <c r="C808" t="str">
        <f t="shared" si="72"/>
        <v>2016</v>
      </c>
      <c r="D808" t="s">
        <v>1855</v>
      </c>
      <c r="E808" t="s">
        <v>432</v>
      </c>
      <c r="F808" t="s">
        <v>257</v>
      </c>
      <c r="G808" t="s">
        <v>258</v>
      </c>
      <c r="H808" t="s">
        <v>259</v>
      </c>
      <c r="I808" t="s">
        <v>333</v>
      </c>
      <c r="J808" t="s">
        <v>279</v>
      </c>
      <c r="K808" t="s">
        <v>421</v>
      </c>
      <c r="L808" t="s">
        <v>245</v>
      </c>
      <c r="M808" t="s">
        <v>246</v>
      </c>
      <c r="N808" t="s">
        <v>247</v>
      </c>
      <c r="O808">
        <v>42470</v>
      </c>
      <c r="P808">
        <v>13.88</v>
      </c>
      <c r="Q808">
        <v>22.38</v>
      </c>
      <c r="R808">
        <f t="shared" si="73"/>
        <v>8.4999999999999982</v>
      </c>
      <c r="S808">
        <v>16</v>
      </c>
      <c r="T808">
        <f t="shared" si="74"/>
        <v>358.08</v>
      </c>
      <c r="U808">
        <v>0.09</v>
      </c>
      <c r="V808">
        <f t="shared" si="75"/>
        <v>32.227199999999996</v>
      </c>
      <c r="W808">
        <f t="shared" si="76"/>
        <v>325.8528</v>
      </c>
      <c r="X808">
        <v>15.1</v>
      </c>
      <c r="Y808">
        <f t="shared" si="77"/>
        <v>340.95280000000002</v>
      </c>
    </row>
    <row r="809" spans="1:25" x14ac:dyDescent="0.25">
      <c r="A809" t="s">
        <v>1856</v>
      </c>
      <c r="B809">
        <v>42463</v>
      </c>
      <c r="C809" t="str">
        <f t="shared" si="72"/>
        <v>2016</v>
      </c>
      <c r="D809" t="s">
        <v>331</v>
      </c>
      <c r="E809" t="s">
        <v>332</v>
      </c>
      <c r="F809" t="s">
        <v>257</v>
      </c>
      <c r="G809" t="s">
        <v>258</v>
      </c>
      <c r="H809" t="s">
        <v>293</v>
      </c>
      <c r="I809" t="s">
        <v>333</v>
      </c>
      <c r="J809" t="s">
        <v>279</v>
      </c>
      <c r="K809" t="s">
        <v>582</v>
      </c>
      <c r="L809" t="s">
        <v>245</v>
      </c>
      <c r="M809" t="s">
        <v>253</v>
      </c>
      <c r="N809" t="s">
        <v>263</v>
      </c>
      <c r="O809">
        <v>42463</v>
      </c>
      <c r="P809">
        <v>0.24</v>
      </c>
      <c r="Q809">
        <v>1.26</v>
      </c>
      <c r="R809">
        <f t="shared" si="73"/>
        <v>1.02</v>
      </c>
      <c r="S809">
        <v>40</v>
      </c>
      <c r="T809">
        <f t="shared" si="74"/>
        <v>50.4</v>
      </c>
      <c r="U809">
        <v>0.04</v>
      </c>
      <c r="V809">
        <f t="shared" si="75"/>
        <v>2.016</v>
      </c>
      <c r="W809">
        <f t="shared" si="76"/>
        <v>48.384</v>
      </c>
      <c r="X809">
        <v>0.7</v>
      </c>
      <c r="Y809">
        <f t="shared" si="77"/>
        <v>49.084000000000003</v>
      </c>
    </row>
    <row r="810" spans="1:25" x14ac:dyDescent="0.25">
      <c r="A810" t="s">
        <v>1857</v>
      </c>
      <c r="B810">
        <v>42465</v>
      </c>
      <c r="C810" t="str">
        <f t="shared" si="72"/>
        <v>2016</v>
      </c>
      <c r="D810" t="s">
        <v>1858</v>
      </c>
      <c r="E810" t="s">
        <v>288</v>
      </c>
      <c r="F810" t="s">
        <v>257</v>
      </c>
      <c r="G810" t="s">
        <v>258</v>
      </c>
      <c r="H810" t="s">
        <v>274</v>
      </c>
      <c r="I810" t="s">
        <v>284</v>
      </c>
      <c r="J810" t="s">
        <v>279</v>
      </c>
      <c r="K810" t="s">
        <v>879</v>
      </c>
      <c r="L810" t="s">
        <v>245</v>
      </c>
      <c r="M810" t="s">
        <v>323</v>
      </c>
      <c r="N810" t="s">
        <v>247</v>
      </c>
      <c r="O810">
        <v>42471</v>
      </c>
      <c r="P810">
        <v>4.0999999999999996</v>
      </c>
      <c r="Q810">
        <v>9.31</v>
      </c>
      <c r="R810">
        <f t="shared" si="73"/>
        <v>5.2100000000000009</v>
      </c>
      <c r="S810">
        <v>35</v>
      </c>
      <c r="T810">
        <f t="shared" si="74"/>
        <v>325.85000000000002</v>
      </c>
      <c r="U810">
        <v>0.05</v>
      </c>
      <c r="V810">
        <f t="shared" si="75"/>
        <v>16.2925</v>
      </c>
      <c r="W810">
        <f t="shared" si="76"/>
        <v>309.5575</v>
      </c>
      <c r="X810">
        <v>3.98</v>
      </c>
      <c r="Y810">
        <f t="shared" si="77"/>
        <v>313.53750000000002</v>
      </c>
    </row>
    <row r="811" spans="1:25" x14ac:dyDescent="0.25">
      <c r="A811" t="s">
        <v>1859</v>
      </c>
      <c r="B811">
        <v>42466</v>
      </c>
      <c r="C811" t="str">
        <f t="shared" si="72"/>
        <v>2016</v>
      </c>
      <c r="D811" t="s">
        <v>1860</v>
      </c>
      <c r="E811" t="s">
        <v>606</v>
      </c>
      <c r="F811" t="s">
        <v>448</v>
      </c>
      <c r="G811" t="s">
        <v>449</v>
      </c>
      <c r="H811" t="s">
        <v>241</v>
      </c>
      <c r="I811" t="s">
        <v>284</v>
      </c>
      <c r="J811" t="s">
        <v>294</v>
      </c>
      <c r="K811" t="s">
        <v>630</v>
      </c>
      <c r="L811" t="s">
        <v>245</v>
      </c>
      <c r="M811" t="s">
        <v>253</v>
      </c>
      <c r="N811" t="s">
        <v>247</v>
      </c>
      <c r="O811">
        <v>42468</v>
      </c>
      <c r="P811">
        <v>1.53</v>
      </c>
      <c r="Q811">
        <v>2.78</v>
      </c>
      <c r="R811">
        <f t="shared" si="73"/>
        <v>1.2499999999999998</v>
      </c>
      <c r="S811">
        <v>10</v>
      </c>
      <c r="T811">
        <f t="shared" si="74"/>
        <v>27.799999999999997</v>
      </c>
      <c r="U811">
        <v>0.01</v>
      </c>
      <c r="V811">
        <f t="shared" si="75"/>
        <v>0.27799999999999997</v>
      </c>
      <c r="W811">
        <f t="shared" si="76"/>
        <v>27.521999999999998</v>
      </c>
      <c r="X811">
        <v>1.34</v>
      </c>
      <c r="Y811">
        <f t="shared" si="77"/>
        <v>28.861999999999998</v>
      </c>
    </row>
    <row r="812" spans="1:25" x14ac:dyDescent="0.25">
      <c r="A812" t="s">
        <v>1861</v>
      </c>
      <c r="B812">
        <v>42470</v>
      </c>
      <c r="C812" t="str">
        <f t="shared" si="72"/>
        <v>2016</v>
      </c>
      <c r="D812" t="s">
        <v>1397</v>
      </c>
      <c r="E812" t="s">
        <v>643</v>
      </c>
      <c r="F812" t="s">
        <v>257</v>
      </c>
      <c r="G812" t="s">
        <v>258</v>
      </c>
      <c r="H812" t="s">
        <v>293</v>
      </c>
      <c r="I812" t="s">
        <v>342</v>
      </c>
      <c r="J812" t="s">
        <v>261</v>
      </c>
      <c r="K812" t="s">
        <v>373</v>
      </c>
      <c r="L812" t="s">
        <v>268</v>
      </c>
      <c r="M812" t="s">
        <v>246</v>
      </c>
      <c r="N812" t="s">
        <v>247</v>
      </c>
      <c r="O812">
        <v>42472</v>
      </c>
      <c r="P812">
        <v>6.39</v>
      </c>
      <c r="Q812">
        <v>19.98</v>
      </c>
      <c r="R812">
        <f t="shared" si="73"/>
        <v>13.59</v>
      </c>
      <c r="S812">
        <v>35</v>
      </c>
      <c r="T812">
        <f t="shared" si="74"/>
        <v>699.30000000000007</v>
      </c>
      <c r="U812">
        <v>0.1</v>
      </c>
      <c r="V812">
        <f t="shared" si="75"/>
        <v>69.930000000000007</v>
      </c>
      <c r="W812">
        <f t="shared" si="76"/>
        <v>629.37000000000012</v>
      </c>
      <c r="X812">
        <v>4</v>
      </c>
      <c r="Y812">
        <f t="shared" si="77"/>
        <v>633.37000000000012</v>
      </c>
    </row>
    <row r="813" spans="1:25" x14ac:dyDescent="0.25">
      <c r="A813" t="s">
        <v>1862</v>
      </c>
      <c r="B813">
        <v>42471</v>
      </c>
      <c r="C813" t="str">
        <f t="shared" si="72"/>
        <v>2016</v>
      </c>
      <c r="D813" t="s">
        <v>370</v>
      </c>
      <c r="E813" t="s">
        <v>371</v>
      </c>
      <c r="F813" t="s">
        <v>257</v>
      </c>
      <c r="G813" t="s">
        <v>258</v>
      </c>
      <c r="H813" t="s">
        <v>259</v>
      </c>
      <c r="I813" t="s">
        <v>372</v>
      </c>
      <c r="J813" t="s">
        <v>294</v>
      </c>
      <c r="K813" t="s">
        <v>1429</v>
      </c>
      <c r="L813" t="s">
        <v>245</v>
      </c>
      <c r="M813" t="s">
        <v>246</v>
      </c>
      <c r="N813" t="s">
        <v>247</v>
      </c>
      <c r="O813">
        <v>42473</v>
      </c>
      <c r="P813">
        <v>3.99</v>
      </c>
      <c r="Q813">
        <v>6.23</v>
      </c>
      <c r="R813">
        <f t="shared" si="73"/>
        <v>2.2400000000000002</v>
      </c>
      <c r="S813">
        <v>21</v>
      </c>
      <c r="T813">
        <f t="shared" si="74"/>
        <v>130.83000000000001</v>
      </c>
      <c r="U813">
        <v>0.05</v>
      </c>
      <c r="V813">
        <f t="shared" si="75"/>
        <v>6.541500000000001</v>
      </c>
      <c r="W813">
        <f t="shared" si="76"/>
        <v>124.28850000000001</v>
      </c>
      <c r="X813">
        <v>6.97</v>
      </c>
      <c r="Y813">
        <f t="shared" si="77"/>
        <v>131.25850000000003</v>
      </c>
    </row>
    <row r="814" spans="1:25" x14ac:dyDescent="0.25">
      <c r="A814" t="s">
        <v>1863</v>
      </c>
      <c r="B814">
        <v>42471</v>
      </c>
      <c r="C814" t="str">
        <f t="shared" si="72"/>
        <v>2016</v>
      </c>
      <c r="D814" t="s">
        <v>563</v>
      </c>
      <c r="E814" t="s">
        <v>589</v>
      </c>
      <c r="F814" t="s">
        <v>239</v>
      </c>
      <c r="G814" t="s">
        <v>240</v>
      </c>
      <c r="H814" t="s">
        <v>259</v>
      </c>
      <c r="I814" t="s">
        <v>251</v>
      </c>
      <c r="J814" t="s">
        <v>261</v>
      </c>
      <c r="K814" t="s">
        <v>1151</v>
      </c>
      <c r="L814" t="s">
        <v>245</v>
      </c>
      <c r="M814" t="s">
        <v>253</v>
      </c>
      <c r="N814" t="s">
        <v>247</v>
      </c>
      <c r="O814">
        <v>42471</v>
      </c>
      <c r="P814">
        <v>0.92</v>
      </c>
      <c r="Q814">
        <v>1.81</v>
      </c>
      <c r="R814">
        <f t="shared" si="73"/>
        <v>0.89</v>
      </c>
      <c r="S814">
        <v>22</v>
      </c>
      <c r="T814">
        <f t="shared" si="74"/>
        <v>39.82</v>
      </c>
      <c r="U814">
        <v>0.09</v>
      </c>
      <c r="V814">
        <f t="shared" si="75"/>
        <v>3.5838000000000001</v>
      </c>
      <c r="W814">
        <f t="shared" si="76"/>
        <v>36.236199999999997</v>
      </c>
      <c r="X814">
        <v>1.56</v>
      </c>
      <c r="Y814">
        <f t="shared" si="77"/>
        <v>37.796199999999999</v>
      </c>
    </row>
    <row r="815" spans="1:25" x14ac:dyDescent="0.25">
      <c r="A815" t="s">
        <v>1864</v>
      </c>
      <c r="B815">
        <v>42471</v>
      </c>
      <c r="C815" t="str">
        <f t="shared" si="72"/>
        <v>2016</v>
      </c>
      <c r="D815" t="s">
        <v>1865</v>
      </c>
      <c r="E815" t="s">
        <v>709</v>
      </c>
      <c r="F815" t="s">
        <v>257</v>
      </c>
      <c r="G815" t="s">
        <v>258</v>
      </c>
      <c r="H815" t="s">
        <v>241</v>
      </c>
      <c r="I815" t="s">
        <v>275</v>
      </c>
      <c r="J815" t="s">
        <v>243</v>
      </c>
      <c r="K815" t="s">
        <v>252</v>
      </c>
      <c r="L815" t="s">
        <v>245</v>
      </c>
      <c r="M815" t="s">
        <v>253</v>
      </c>
      <c r="N815" t="s">
        <v>263</v>
      </c>
      <c r="O815">
        <v>42472</v>
      </c>
      <c r="P815">
        <v>2.39</v>
      </c>
      <c r="Q815">
        <v>4.26</v>
      </c>
      <c r="R815">
        <f t="shared" si="73"/>
        <v>1.8699999999999997</v>
      </c>
      <c r="S815">
        <v>34</v>
      </c>
      <c r="T815">
        <f t="shared" si="74"/>
        <v>144.84</v>
      </c>
      <c r="U815">
        <v>0.03</v>
      </c>
      <c r="V815">
        <f t="shared" si="75"/>
        <v>4.3452000000000002</v>
      </c>
      <c r="W815">
        <f t="shared" si="76"/>
        <v>140.4948</v>
      </c>
      <c r="X815">
        <v>1.2</v>
      </c>
      <c r="Y815">
        <f t="shared" si="77"/>
        <v>141.69479999999999</v>
      </c>
    </row>
    <row r="816" spans="1:25" x14ac:dyDescent="0.25">
      <c r="A816" t="s">
        <v>1866</v>
      </c>
      <c r="B816">
        <v>42473</v>
      </c>
      <c r="C816" t="str">
        <f t="shared" si="72"/>
        <v>2016</v>
      </c>
      <c r="D816" t="s">
        <v>1171</v>
      </c>
      <c r="E816" t="s">
        <v>356</v>
      </c>
      <c r="F816" t="s">
        <v>239</v>
      </c>
      <c r="G816" t="s">
        <v>240</v>
      </c>
      <c r="H816" t="s">
        <v>259</v>
      </c>
      <c r="I816" t="s">
        <v>251</v>
      </c>
      <c r="J816" t="s">
        <v>261</v>
      </c>
      <c r="K816" t="s">
        <v>594</v>
      </c>
      <c r="L816" t="s">
        <v>268</v>
      </c>
      <c r="M816" t="s">
        <v>269</v>
      </c>
      <c r="N816" t="s">
        <v>270</v>
      </c>
      <c r="O816">
        <v>42475</v>
      </c>
      <c r="P816">
        <v>278.99</v>
      </c>
      <c r="Q816">
        <v>449.99</v>
      </c>
      <c r="R816">
        <f t="shared" si="73"/>
        <v>171</v>
      </c>
      <c r="S816">
        <v>43</v>
      </c>
      <c r="T816">
        <f t="shared" si="74"/>
        <v>19349.57</v>
      </c>
      <c r="U816">
        <v>0.06</v>
      </c>
      <c r="V816">
        <f t="shared" si="75"/>
        <v>1160.9741999999999</v>
      </c>
      <c r="W816">
        <f t="shared" si="76"/>
        <v>18188.595799999999</v>
      </c>
      <c r="X816">
        <v>49</v>
      </c>
      <c r="Y816">
        <f t="shared" si="77"/>
        <v>18237.595799999999</v>
      </c>
    </row>
    <row r="817" spans="1:25" x14ac:dyDescent="0.25">
      <c r="A817" t="s">
        <v>1867</v>
      </c>
      <c r="B817">
        <v>42477</v>
      </c>
      <c r="C817" t="str">
        <f t="shared" si="72"/>
        <v>2016</v>
      </c>
      <c r="D817" t="s">
        <v>771</v>
      </c>
      <c r="E817" t="s">
        <v>288</v>
      </c>
      <c r="F817" t="s">
        <v>257</v>
      </c>
      <c r="G817" t="s">
        <v>258</v>
      </c>
      <c r="H817" t="s">
        <v>274</v>
      </c>
      <c r="I817" t="s">
        <v>284</v>
      </c>
      <c r="J817" t="s">
        <v>279</v>
      </c>
      <c r="K817" t="s">
        <v>1021</v>
      </c>
      <c r="L817" t="s">
        <v>245</v>
      </c>
      <c r="M817" t="s">
        <v>253</v>
      </c>
      <c r="N817" t="s">
        <v>247</v>
      </c>
      <c r="O817">
        <v>42479</v>
      </c>
      <c r="P817">
        <v>1.05</v>
      </c>
      <c r="Q817">
        <v>1.95</v>
      </c>
      <c r="R817">
        <f t="shared" si="73"/>
        <v>0.89999999999999991</v>
      </c>
      <c r="S817">
        <v>23</v>
      </c>
      <c r="T817">
        <f t="shared" si="74"/>
        <v>44.85</v>
      </c>
      <c r="U817">
        <v>0.09</v>
      </c>
      <c r="V817">
        <f t="shared" si="75"/>
        <v>4.0365000000000002</v>
      </c>
      <c r="W817">
        <f t="shared" si="76"/>
        <v>40.813500000000005</v>
      </c>
      <c r="X817">
        <v>1.63</v>
      </c>
      <c r="Y817">
        <f t="shared" si="77"/>
        <v>42.443500000000007</v>
      </c>
    </row>
    <row r="818" spans="1:25" x14ac:dyDescent="0.25">
      <c r="A818" t="s">
        <v>1868</v>
      </c>
      <c r="B818">
        <v>42478</v>
      </c>
      <c r="C818" t="str">
        <f t="shared" si="72"/>
        <v>2016</v>
      </c>
      <c r="D818" t="s">
        <v>1869</v>
      </c>
      <c r="E818" t="s">
        <v>412</v>
      </c>
      <c r="F818" t="s">
        <v>257</v>
      </c>
      <c r="G818" t="s">
        <v>258</v>
      </c>
      <c r="H818" t="s">
        <v>259</v>
      </c>
      <c r="I818" t="s">
        <v>342</v>
      </c>
      <c r="J818" t="s">
        <v>304</v>
      </c>
      <c r="K818" t="s">
        <v>668</v>
      </c>
      <c r="L818" t="s">
        <v>440</v>
      </c>
      <c r="M818" t="s">
        <v>647</v>
      </c>
      <c r="N818" t="s">
        <v>247</v>
      </c>
      <c r="O818">
        <v>42479</v>
      </c>
      <c r="P818">
        <v>56.16</v>
      </c>
      <c r="Q818">
        <v>136.97999999999999</v>
      </c>
      <c r="R818">
        <f t="shared" si="73"/>
        <v>80.819999999999993</v>
      </c>
      <c r="S818">
        <v>14</v>
      </c>
      <c r="T818">
        <f t="shared" si="74"/>
        <v>1917.7199999999998</v>
      </c>
      <c r="U818">
        <v>0</v>
      </c>
      <c r="V818">
        <f t="shared" si="75"/>
        <v>0</v>
      </c>
      <c r="W818">
        <f t="shared" si="76"/>
        <v>1917.7199999999998</v>
      </c>
      <c r="X818">
        <v>24.49</v>
      </c>
      <c r="Y818">
        <f t="shared" si="77"/>
        <v>1942.2099999999998</v>
      </c>
    </row>
    <row r="819" spans="1:25" x14ac:dyDescent="0.25">
      <c r="A819" t="s">
        <v>1870</v>
      </c>
      <c r="B819">
        <v>42478</v>
      </c>
      <c r="C819" t="str">
        <f t="shared" si="72"/>
        <v>2016</v>
      </c>
      <c r="D819" t="s">
        <v>1869</v>
      </c>
      <c r="E819" t="s">
        <v>412</v>
      </c>
      <c r="F819" t="s">
        <v>257</v>
      </c>
      <c r="G819" t="s">
        <v>258</v>
      </c>
      <c r="H819" t="s">
        <v>259</v>
      </c>
      <c r="I819" t="s">
        <v>342</v>
      </c>
      <c r="J819" t="s">
        <v>304</v>
      </c>
      <c r="K819" t="s">
        <v>656</v>
      </c>
      <c r="L819" t="s">
        <v>245</v>
      </c>
      <c r="M819" t="s">
        <v>253</v>
      </c>
      <c r="N819" t="s">
        <v>247</v>
      </c>
      <c r="O819">
        <v>42480</v>
      </c>
      <c r="P819">
        <v>0.93</v>
      </c>
      <c r="Q819">
        <v>1.48</v>
      </c>
      <c r="R819">
        <f t="shared" si="73"/>
        <v>0.54999999999999993</v>
      </c>
      <c r="S819">
        <v>3</v>
      </c>
      <c r="T819">
        <f t="shared" si="74"/>
        <v>4.4399999999999995</v>
      </c>
      <c r="U819">
        <v>0.1</v>
      </c>
      <c r="V819">
        <f t="shared" si="75"/>
        <v>0.44399999999999995</v>
      </c>
      <c r="W819">
        <f t="shared" si="76"/>
        <v>3.9959999999999996</v>
      </c>
      <c r="X819">
        <v>0.7</v>
      </c>
      <c r="Y819">
        <f t="shared" si="77"/>
        <v>4.6959999999999997</v>
      </c>
    </row>
    <row r="820" spans="1:25" x14ac:dyDescent="0.25">
      <c r="A820" t="s">
        <v>1871</v>
      </c>
      <c r="B820">
        <v>42483</v>
      </c>
      <c r="C820" t="str">
        <f t="shared" si="72"/>
        <v>2016</v>
      </c>
      <c r="D820" t="s">
        <v>1227</v>
      </c>
      <c r="E820" t="s">
        <v>760</v>
      </c>
      <c r="F820" t="s">
        <v>448</v>
      </c>
      <c r="G820" t="s">
        <v>449</v>
      </c>
      <c r="H820" t="s">
        <v>259</v>
      </c>
      <c r="I820" t="s">
        <v>333</v>
      </c>
      <c r="J820" t="s">
        <v>294</v>
      </c>
      <c r="K820" t="s">
        <v>582</v>
      </c>
      <c r="L820" t="s">
        <v>245</v>
      </c>
      <c r="M820" t="s">
        <v>253</v>
      </c>
      <c r="N820" t="s">
        <v>247</v>
      </c>
      <c r="O820">
        <v>42484</v>
      </c>
      <c r="P820">
        <v>0.24</v>
      </c>
      <c r="Q820">
        <v>1.26</v>
      </c>
      <c r="R820">
        <f t="shared" si="73"/>
        <v>1.02</v>
      </c>
      <c r="S820">
        <v>11</v>
      </c>
      <c r="T820">
        <f t="shared" si="74"/>
        <v>13.86</v>
      </c>
      <c r="U820">
        <v>0</v>
      </c>
      <c r="V820">
        <f t="shared" si="75"/>
        <v>0</v>
      </c>
      <c r="W820">
        <f t="shared" si="76"/>
        <v>13.86</v>
      </c>
      <c r="X820">
        <v>0.7</v>
      </c>
      <c r="Y820">
        <f t="shared" si="77"/>
        <v>14.559999999999999</v>
      </c>
    </row>
    <row r="821" spans="1:25" x14ac:dyDescent="0.25">
      <c r="A821" t="s">
        <v>1872</v>
      </c>
      <c r="B821">
        <v>42483</v>
      </c>
      <c r="C821" t="str">
        <f t="shared" si="72"/>
        <v>2016</v>
      </c>
      <c r="D821" t="s">
        <v>1873</v>
      </c>
      <c r="E821" t="s">
        <v>633</v>
      </c>
      <c r="F821" t="s">
        <v>239</v>
      </c>
      <c r="G821" t="s">
        <v>240</v>
      </c>
      <c r="H821" t="s">
        <v>241</v>
      </c>
      <c r="I821" t="s">
        <v>242</v>
      </c>
      <c r="J821" t="s">
        <v>294</v>
      </c>
      <c r="K821" t="s">
        <v>425</v>
      </c>
      <c r="L821" t="s">
        <v>245</v>
      </c>
      <c r="M821" t="s">
        <v>253</v>
      </c>
      <c r="N821" t="s">
        <v>247</v>
      </c>
      <c r="O821">
        <v>42485</v>
      </c>
      <c r="P821">
        <v>21.56</v>
      </c>
      <c r="Q821">
        <v>36.549999999999997</v>
      </c>
      <c r="R821">
        <f t="shared" si="73"/>
        <v>14.989999999999998</v>
      </c>
      <c r="S821">
        <v>17</v>
      </c>
      <c r="T821">
        <f t="shared" si="74"/>
        <v>621.34999999999991</v>
      </c>
      <c r="U821">
        <v>0.09</v>
      </c>
      <c r="V821">
        <f t="shared" si="75"/>
        <v>55.921499999999988</v>
      </c>
      <c r="W821">
        <f t="shared" si="76"/>
        <v>565.42849999999987</v>
      </c>
      <c r="X821">
        <v>13.89</v>
      </c>
      <c r="Y821">
        <f t="shared" si="77"/>
        <v>579.31849999999986</v>
      </c>
    </row>
    <row r="822" spans="1:25" x14ac:dyDescent="0.25">
      <c r="A822" t="s">
        <v>1874</v>
      </c>
      <c r="B822">
        <v>42483</v>
      </c>
      <c r="C822" t="str">
        <f t="shared" si="72"/>
        <v>2016</v>
      </c>
      <c r="D822" t="s">
        <v>1431</v>
      </c>
      <c r="E822" t="s">
        <v>938</v>
      </c>
      <c r="F822" t="s">
        <v>239</v>
      </c>
      <c r="G822" t="s">
        <v>240</v>
      </c>
      <c r="H822" t="s">
        <v>274</v>
      </c>
      <c r="I822" t="s">
        <v>242</v>
      </c>
      <c r="J822" t="s">
        <v>294</v>
      </c>
      <c r="K822" t="s">
        <v>338</v>
      </c>
      <c r="L822" t="s">
        <v>245</v>
      </c>
      <c r="M822" t="s">
        <v>253</v>
      </c>
      <c r="N822" t="s">
        <v>247</v>
      </c>
      <c r="O822">
        <v>42484</v>
      </c>
      <c r="P822">
        <v>1.82</v>
      </c>
      <c r="Q822">
        <v>2.98</v>
      </c>
      <c r="R822">
        <f t="shared" si="73"/>
        <v>1.1599999999999999</v>
      </c>
      <c r="S822">
        <v>32</v>
      </c>
      <c r="T822">
        <f t="shared" si="74"/>
        <v>95.36</v>
      </c>
      <c r="U822">
        <v>0.01</v>
      </c>
      <c r="V822">
        <f t="shared" si="75"/>
        <v>0.9536</v>
      </c>
      <c r="W822">
        <f t="shared" si="76"/>
        <v>94.406400000000005</v>
      </c>
      <c r="X822">
        <v>1.58</v>
      </c>
      <c r="Y822">
        <f t="shared" si="77"/>
        <v>95.986400000000003</v>
      </c>
    </row>
    <row r="823" spans="1:25" x14ac:dyDescent="0.25">
      <c r="A823" t="s">
        <v>1875</v>
      </c>
      <c r="B823">
        <v>42484</v>
      </c>
      <c r="C823" t="str">
        <f t="shared" si="72"/>
        <v>2016</v>
      </c>
      <c r="D823" t="s">
        <v>1876</v>
      </c>
      <c r="E823" t="s">
        <v>288</v>
      </c>
      <c r="F823" t="s">
        <v>257</v>
      </c>
      <c r="G823" t="s">
        <v>258</v>
      </c>
      <c r="H823" t="s">
        <v>241</v>
      </c>
      <c r="I823" t="s">
        <v>284</v>
      </c>
      <c r="J823" t="s">
        <v>243</v>
      </c>
      <c r="K823" t="s">
        <v>661</v>
      </c>
      <c r="L823" t="s">
        <v>245</v>
      </c>
      <c r="M823" t="s">
        <v>246</v>
      </c>
      <c r="N823" t="s">
        <v>247</v>
      </c>
      <c r="O823">
        <v>42486</v>
      </c>
      <c r="P823">
        <v>2.1800000000000002</v>
      </c>
      <c r="Q823">
        <v>3.52</v>
      </c>
      <c r="R823">
        <f t="shared" si="73"/>
        <v>1.3399999999999999</v>
      </c>
      <c r="S823">
        <v>32</v>
      </c>
      <c r="T823">
        <f t="shared" si="74"/>
        <v>112.64</v>
      </c>
      <c r="U823">
        <v>7.0000000000000007E-2</v>
      </c>
      <c r="V823">
        <f t="shared" si="75"/>
        <v>7.8848000000000011</v>
      </c>
      <c r="W823">
        <f t="shared" si="76"/>
        <v>104.7552</v>
      </c>
      <c r="X823">
        <v>6.83</v>
      </c>
      <c r="Y823">
        <f t="shared" si="77"/>
        <v>111.5852</v>
      </c>
    </row>
    <row r="824" spans="1:25" x14ac:dyDescent="0.25">
      <c r="A824" t="s">
        <v>1877</v>
      </c>
      <c r="B824">
        <v>42485</v>
      </c>
      <c r="C824" t="str">
        <f t="shared" si="72"/>
        <v>2016</v>
      </c>
      <c r="D824" t="s">
        <v>1289</v>
      </c>
      <c r="E824" t="s">
        <v>1290</v>
      </c>
      <c r="F824" t="s">
        <v>257</v>
      </c>
      <c r="G824" t="s">
        <v>258</v>
      </c>
      <c r="H824" t="s">
        <v>241</v>
      </c>
      <c r="I824" t="s">
        <v>260</v>
      </c>
      <c r="J824" t="s">
        <v>294</v>
      </c>
      <c r="K824" t="s">
        <v>384</v>
      </c>
      <c r="L824" t="s">
        <v>268</v>
      </c>
      <c r="M824" t="s">
        <v>246</v>
      </c>
      <c r="N824" t="s">
        <v>247</v>
      </c>
      <c r="O824">
        <v>42486</v>
      </c>
      <c r="P824">
        <v>8.31</v>
      </c>
      <c r="Q824">
        <v>15.98</v>
      </c>
      <c r="R824">
        <f t="shared" si="73"/>
        <v>7.67</v>
      </c>
      <c r="S824">
        <v>18</v>
      </c>
      <c r="T824">
        <f t="shared" si="74"/>
        <v>287.64</v>
      </c>
      <c r="U824">
        <v>0.1</v>
      </c>
      <c r="V824">
        <f t="shared" si="75"/>
        <v>28.763999999999999</v>
      </c>
      <c r="W824">
        <f t="shared" si="76"/>
        <v>258.87599999999998</v>
      </c>
      <c r="X824">
        <v>6.5</v>
      </c>
      <c r="Y824">
        <f t="shared" si="77"/>
        <v>265.37599999999998</v>
      </c>
    </row>
    <row r="825" spans="1:25" x14ac:dyDescent="0.25">
      <c r="A825" t="s">
        <v>1878</v>
      </c>
      <c r="B825">
        <v>42485</v>
      </c>
      <c r="C825" t="str">
        <f t="shared" si="72"/>
        <v>2016</v>
      </c>
      <c r="D825" t="s">
        <v>1879</v>
      </c>
      <c r="E825" t="s">
        <v>650</v>
      </c>
      <c r="F825" t="s">
        <v>257</v>
      </c>
      <c r="G825" t="s">
        <v>258</v>
      </c>
      <c r="H825" t="s">
        <v>274</v>
      </c>
      <c r="I825" t="s">
        <v>299</v>
      </c>
      <c r="J825" t="s">
        <v>304</v>
      </c>
      <c r="K825" t="s">
        <v>485</v>
      </c>
      <c r="L825" t="s">
        <v>245</v>
      </c>
      <c r="M825" t="s">
        <v>253</v>
      </c>
      <c r="N825" t="s">
        <v>247</v>
      </c>
      <c r="O825">
        <v>42487</v>
      </c>
      <c r="P825">
        <v>3.48</v>
      </c>
      <c r="Q825">
        <v>5.43</v>
      </c>
      <c r="R825">
        <f t="shared" si="73"/>
        <v>1.9499999999999997</v>
      </c>
      <c r="S825">
        <v>37</v>
      </c>
      <c r="T825">
        <f t="shared" si="74"/>
        <v>200.91</v>
      </c>
      <c r="U825">
        <v>0.09</v>
      </c>
      <c r="V825">
        <f t="shared" si="75"/>
        <v>18.081899999999997</v>
      </c>
      <c r="W825">
        <f t="shared" si="76"/>
        <v>182.82810000000001</v>
      </c>
      <c r="X825">
        <v>0.95</v>
      </c>
      <c r="Y825">
        <f t="shared" si="77"/>
        <v>183.77809999999999</v>
      </c>
    </row>
    <row r="826" spans="1:25" x14ac:dyDescent="0.25">
      <c r="A826" t="s">
        <v>1880</v>
      </c>
      <c r="B826">
        <v>42487</v>
      </c>
      <c r="C826" t="str">
        <f t="shared" si="72"/>
        <v>2016</v>
      </c>
      <c r="D826" t="s">
        <v>1881</v>
      </c>
      <c r="E826" t="s">
        <v>637</v>
      </c>
      <c r="F826" t="s">
        <v>239</v>
      </c>
      <c r="G826" t="s">
        <v>240</v>
      </c>
      <c r="H826" t="s">
        <v>274</v>
      </c>
      <c r="I826" t="s">
        <v>242</v>
      </c>
      <c r="J826" t="s">
        <v>243</v>
      </c>
      <c r="K826" t="s">
        <v>472</v>
      </c>
      <c r="L826" t="s">
        <v>245</v>
      </c>
      <c r="M826" t="s">
        <v>246</v>
      </c>
      <c r="N826" t="s">
        <v>247</v>
      </c>
      <c r="O826">
        <v>42488</v>
      </c>
      <c r="P826">
        <v>2.25</v>
      </c>
      <c r="Q826">
        <v>3.69</v>
      </c>
      <c r="R826">
        <f t="shared" si="73"/>
        <v>1.44</v>
      </c>
      <c r="S826">
        <v>46</v>
      </c>
      <c r="T826">
        <f t="shared" si="74"/>
        <v>169.74</v>
      </c>
      <c r="U826">
        <v>0.04</v>
      </c>
      <c r="V826">
        <f t="shared" si="75"/>
        <v>6.7896000000000001</v>
      </c>
      <c r="W826">
        <f t="shared" si="76"/>
        <v>162.9504</v>
      </c>
      <c r="X826">
        <v>2.5</v>
      </c>
      <c r="Y826">
        <f t="shared" si="77"/>
        <v>165.4504</v>
      </c>
    </row>
    <row r="827" spans="1:25" x14ac:dyDescent="0.25">
      <c r="A827" t="s">
        <v>1882</v>
      </c>
      <c r="B827">
        <v>42491</v>
      </c>
      <c r="C827" t="str">
        <f t="shared" si="72"/>
        <v>2016</v>
      </c>
      <c r="D827" t="s">
        <v>1660</v>
      </c>
      <c r="E827" t="s">
        <v>1661</v>
      </c>
      <c r="F827" t="s">
        <v>448</v>
      </c>
      <c r="G827" t="s">
        <v>449</v>
      </c>
      <c r="H827" t="s">
        <v>274</v>
      </c>
      <c r="I827" t="s">
        <v>381</v>
      </c>
      <c r="J827" t="s">
        <v>294</v>
      </c>
      <c r="K827" t="s">
        <v>625</v>
      </c>
      <c r="L827" t="s">
        <v>245</v>
      </c>
      <c r="M827" t="s">
        <v>246</v>
      </c>
      <c r="N827" t="s">
        <v>247</v>
      </c>
      <c r="O827">
        <v>42493</v>
      </c>
      <c r="P827">
        <v>1.84</v>
      </c>
      <c r="Q827">
        <v>2.88</v>
      </c>
      <c r="R827">
        <f t="shared" si="73"/>
        <v>1.0399999999999998</v>
      </c>
      <c r="S827">
        <v>45</v>
      </c>
      <c r="T827">
        <f t="shared" si="74"/>
        <v>129.6</v>
      </c>
      <c r="U827">
        <v>0.02</v>
      </c>
      <c r="V827">
        <f t="shared" si="75"/>
        <v>2.5920000000000001</v>
      </c>
      <c r="W827">
        <f t="shared" si="76"/>
        <v>127.008</v>
      </c>
      <c r="X827">
        <v>1.49</v>
      </c>
      <c r="Y827">
        <f t="shared" si="77"/>
        <v>128.49799999999999</v>
      </c>
    </row>
    <row r="828" spans="1:25" x14ac:dyDescent="0.25">
      <c r="A828" t="s">
        <v>1883</v>
      </c>
      <c r="B828">
        <v>42491</v>
      </c>
      <c r="C828" t="str">
        <f t="shared" si="72"/>
        <v>2016</v>
      </c>
      <c r="D828" t="s">
        <v>1660</v>
      </c>
      <c r="E828" t="s">
        <v>1661</v>
      </c>
      <c r="F828" t="s">
        <v>448</v>
      </c>
      <c r="G828" t="s">
        <v>449</v>
      </c>
      <c r="H828" t="s">
        <v>274</v>
      </c>
      <c r="I828" t="s">
        <v>381</v>
      </c>
      <c r="J828" t="s">
        <v>294</v>
      </c>
      <c r="K828" t="s">
        <v>607</v>
      </c>
      <c r="L828" t="s">
        <v>245</v>
      </c>
      <c r="M828" t="s">
        <v>246</v>
      </c>
      <c r="N828" t="s">
        <v>247</v>
      </c>
      <c r="O828">
        <v>42492</v>
      </c>
      <c r="P828">
        <v>4.46</v>
      </c>
      <c r="Q828">
        <v>10.89</v>
      </c>
      <c r="R828">
        <f t="shared" si="73"/>
        <v>6.4300000000000006</v>
      </c>
      <c r="S828">
        <v>39</v>
      </c>
      <c r="T828">
        <f t="shared" si="74"/>
        <v>424.71000000000004</v>
      </c>
      <c r="U828">
        <v>0.06</v>
      </c>
      <c r="V828">
        <f t="shared" si="75"/>
        <v>25.482600000000001</v>
      </c>
      <c r="W828">
        <f t="shared" si="76"/>
        <v>399.22740000000005</v>
      </c>
      <c r="X828">
        <v>4.5</v>
      </c>
      <c r="Y828">
        <f t="shared" si="77"/>
        <v>403.72740000000005</v>
      </c>
    </row>
    <row r="829" spans="1:25" x14ac:dyDescent="0.25">
      <c r="A829" t="s">
        <v>1884</v>
      </c>
      <c r="B829">
        <v>42492</v>
      </c>
      <c r="C829" t="str">
        <f t="shared" si="72"/>
        <v>2016</v>
      </c>
      <c r="D829" t="s">
        <v>1292</v>
      </c>
      <c r="E829" t="s">
        <v>238</v>
      </c>
      <c r="F829" t="s">
        <v>239</v>
      </c>
      <c r="G829" t="s">
        <v>240</v>
      </c>
      <c r="H829" t="s">
        <v>241</v>
      </c>
      <c r="I829" t="s">
        <v>242</v>
      </c>
      <c r="J829" t="s">
        <v>243</v>
      </c>
      <c r="K829" t="s">
        <v>439</v>
      </c>
      <c r="L829" t="s">
        <v>440</v>
      </c>
      <c r="M829" t="s">
        <v>323</v>
      </c>
      <c r="N829" t="s">
        <v>247</v>
      </c>
      <c r="O829">
        <v>42494</v>
      </c>
      <c r="P829">
        <v>5.5</v>
      </c>
      <c r="Q829">
        <v>12.22</v>
      </c>
      <c r="R829">
        <f t="shared" si="73"/>
        <v>6.7200000000000006</v>
      </c>
      <c r="S829">
        <v>46</v>
      </c>
      <c r="T829">
        <f t="shared" si="74"/>
        <v>562.12</v>
      </c>
      <c r="U829">
        <v>0.06</v>
      </c>
      <c r="V829">
        <f t="shared" si="75"/>
        <v>33.727199999999996</v>
      </c>
      <c r="W829">
        <f t="shared" si="76"/>
        <v>528.39279999999997</v>
      </c>
      <c r="X829">
        <v>2.85</v>
      </c>
      <c r="Y829">
        <f t="shared" si="77"/>
        <v>531.24279999999999</v>
      </c>
    </row>
    <row r="830" spans="1:25" x14ac:dyDescent="0.25">
      <c r="A830" t="s">
        <v>1885</v>
      </c>
      <c r="B830">
        <v>42492</v>
      </c>
      <c r="C830" t="str">
        <f t="shared" si="72"/>
        <v>2016</v>
      </c>
      <c r="D830" t="s">
        <v>1292</v>
      </c>
      <c r="E830" t="s">
        <v>238</v>
      </c>
      <c r="F830" t="s">
        <v>239</v>
      </c>
      <c r="G830" t="s">
        <v>240</v>
      </c>
      <c r="H830" t="s">
        <v>241</v>
      </c>
      <c r="I830" t="s">
        <v>242</v>
      </c>
      <c r="J830" t="s">
        <v>243</v>
      </c>
      <c r="K830" t="s">
        <v>634</v>
      </c>
      <c r="L830" t="s">
        <v>245</v>
      </c>
      <c r="M830" t="s">
        <v>246</v>
      </c>
      <c r="N830" t="s">
        <v>247</v>
      </c>
      <c r="O830">
        <v>42493</v>
      </c>
      <c r="P830">
        <v>2.2599999999999998</v>
      </c>
      <c r="Q830">
        <v>3.58</v>
      </c>
      <c r="R830">
        <f t="shared" si="73"/>
        <v>1.3200000000000003</v>
      </c>
      <c r="S830">
        <v>8</v>
      </c>
      <c r="T830">
        <f t="shared" si="74"/>
        <v>28.64</v>
      </c>
      <c r="U830">
        <v>0.09</v>
      </c>
      <c r="V830">
        <f t="shared" si="75"/>
        <v>2.5775999999999999</v>
      </c>
      <c r="W830">
        <f t="shared" si="76"/>
        <v>26.0624</v>
      </c>
      <c r="X830">
        <v>5.47</v>
      </c>
      <c r="Y830">
        <f t="shared" si="77"/>
        <v>31.532399999999999</v>
      </c>
    </row>
    <row r="831" spans="1:25" x14ac:dyDescent="0.25">
      <c r="A831" t="s">
        <v>1886</v>
      </c>
      <c r="B831">
        <v>42492</v>
      </c>
      <c r="C831" t="str">
        <f t="shared" si="72"/>
        <v>2016</v>
      </c>
      <c r="D831" t="s">
        <v>518</v>
      </c>
      <c r="E831" t="s">
        <v>359</v>
      </c>
      <c r="F831" t="s">
        <v>239</v>
      </c>
      <c r="G831" t="s">
        <v>240</v>
      </c>
      <c r="H831" t="s">
        <v>274</v>
      </c>
      <c r="I831" t="s">
        <v>251</v>
      </c>
      <c r="J831" t="s">
        <v>294</v>
      </c>
      <c r="K831" t="s">
        <v>718</v>
      </c>
      <c r="L831" t="s">
        <v>245</v>
      </c>
      <c r="M831" t="s">
        <v>323</v>
      </c>
      <c r="N831" t="s">
        <v>247</v>
      </c>
      <c r="O831">
        <v>42493</v>
      </c>
      <c r="P831">
        <v>2.5</v>
      </c>
      <c r="Q831">
        <v>5.68</v>
      </c>
      <c r="R831">
        <f t="shared" si="73"/>
        <v>3.1799999999999997</v>
      </c>
      <c r="S831">
        <v>25</v>
      </c>
      <c r="T831">
        <f t="shared" si="74"/>
        <v>142</v>
      </c>
      <c r="U831">
        <v>0.1</v>
      </c>
      <c r="V831">
        <f t="shared" si="75"/>
        <v>14.200000000000001</v>
      </c>
      <c r="W831">
        <f t="shared" si="76"/>
        <v>127.8</v>
      </c>
      <c r="X831">
        <v>3.6</v>
      </c>
      <c r="Y831">
        <f t="shared" si="77"/>
        <v>131.4</v>
      </c>
    </row>
    <row r="832" spans="1:25" x14ac:dyDescent="0.25">
      <c r="A832" t="s">
        <v>1887</v>
      </c>
      <c r="B832">
        <v>42495</v>
      </c>
      <c r="C832" t="str">
        <f t="shared" si="72"/>
        <v>2016</v>
      </c>
      <c r="D832" t="s">
        <v>1888</v>
      </c>
      <c r="E832" t="s">
        <v>467</v>
      </c>
      <c r="F832" t="s">
        <v>257</v>
      </c>
      <c r="G832" t="s">
        <v>258</v>
      </c>
      <c r="H832" t="s">
        <v>241</v>
      </c>
      <c r="I832" t="s">
        <v>342</v>
      </c>
      <c r="J832" t="s">
        <v>304</v>
      </c>
      <c r="K832" t="s">
        <v>244</v>
      </c>
      <c r="L832" t="s">
        <v>245</v>
      </c>
      <c r="M832" t="s">
        <v>246</v>
      </c>
      <c r="N832" t="s">
        <v>247</v>
      </c>
      <c r="O832">
        <v>42497</v>
      </c>
      <c r="P832">
        <v>3.52</v>
      </c>
      <c r="Q832">
        <v>5.58</v>
      </c>
      <c r="R832">
        <f t="shared" si="73"/>
        <v>2.06</v>
      </c>
      <c r="S832">
        <v>13</v>
      </c>
      <c r="T832">
        <f t="shared" si="74"/>
        <v>72.540000000000006</v>
      </c>
      <c r="U832">
        <v>0.06</v>
      </c>
      <c r="V832">
        <f t="shared" si="75"/>
        <v>4.3524000000000003</v>
      </c>
      <c r="W832">
        <f t="shared" si="76"/>
        <v>68.187600000000003</v>
      </c>
      <c r="X832">
        <v>2.99</v>
      </c>
      <c r="Y832">
        <f t="shared" si="77"/>
        <v>71.177599999999998</v>
      </c>
    </row>
    <row r="833" spans="1:25" x14ac:dyDescent="0.25">
      <c r="A833" t="s">
        <v>1889</v>
      </c>
      <c r="B833">
        <v>42498</v>
      </c>
      <c r="C833" t="str">
        <f t="shared" si="72"/>
        <v>2016</v>
      </c>
      <c r="D833" t="s">
        <v>1056</v>
      </c>
      <c r="E833" t="s">
        <v>467</v>
      </c>
      <c r="F833" t="s">
        <v>257</v>
      </c>
      <c r="G833" t="s">
        <v>258</v>
      </c>
      <c r="H833" t="s">
        <v>259</v>
      </c>
      <c r="I833" t="s">
        <v>342</v>
      </c>
      <c r="J833" t="s">
        <v>279</v>
      </c>
      <c r="K833" t="s">
        <v>614</v>
      </c>
      <c r="L833" t="s">
        <v>245</v>
      </c>
      <c r="M833" t="s">
        <v>253</v>
      </c>
      <c r="N833" t="s">
        <v>247</v>
      </c>
      <c r="O833">
        <v>42502</v>
      </c>
      <c r="P833">
        <v>1.95</v>
      </c>
      <c r="Q833">
        <v>3.98</v>
      </c>
      <c r="R833">
        <f t="shared" si="73"/>
        <v>2.0300000000000002</v>
      </c>
      <c r="S833">
        <v>27</v>
      </c>
      <c r="T833">
        <f t="shared" si="74"/>
        <v>107.46</v>
      </c>
      <c r="U833">
        <v>0.06</v>
      </c>
      <c r="V833">
        <f t="shared" si="75"/>
        <v>6.4475999999999996</v>
      </c>
      <c r="W833">
        <f t="shared" si="76"/>
        <v>101.0124</v>
      </c>
      <c r="X833">
        <v>0.83</v>
      </c>
      <c r="Y833">
        <f t="shared" si="77"/>
        <v>101.8424</v>
      </c>
    </row>
    <row r="834" spans="1:25" x14ac:dyDescent="0.25">
      <c r="A834" t="s">
        <v>1890</v>
      </c>
      <c r="B834">
        <v>42498</v>
      </c>
      <c r="C834" t="str">
        <f t="shared" si="72"/>
        <v>2016</v>
      </c>
      <c r="D834" t="s">
        <v>1816</v>
      </c>
      <c r="E834" t="s">
        <v>1551</v>
      </c>
      <c r="F834" t="s">
        <v>257</v>
      </c>
      <c r="G834" t="s">
        <v>258</v>
      </c>
      <c r="H834" t="s">
        <v>259</v>
      </c>
      <c r="I834" t="s">
        <v>309</v>
      </c>
      <c r="J834" t="s">
        <v>279</v>
      </c>
      <c r="K834" t="s">
        <v>317</v>
      </c>
      <c r="L834" t="s">
        <v>245</v>
      </c>
      <c r="M834" t="s">
        <v>253</v>
      </c>
      <c r="N834" t="s">
        <v>247</v>
      </c>
      <c r="O834">
        <v>42498</v>
      </c>
      <c r="P834">
        <v>0.71</v>
      </c>
      <c r="Q834">
        <v>1.1399999999999999</v>
      </c>
      <c r="R834">
        <f t="shared" si="73"/>
        <v>0.42999999999999994</v>
      </c>
      <c r="S834">
        <v>20</v>
      </c>
      <c r="T834">
        <f t="shared" si="74"/>
        <v>22.799999999999997</v>
      </c>
      <c r="U834">
        <v>0.09</v>
      </c>
      <c r="V834">
        <f t="shared" si="75"/>
        <v>2.0519999999999996</v>
      </c>
      <c r="W834">
        <f t="shared" si="76"/>
        <v>20.747999999999998</v>
      </c>
      <c r="X834">
        <v>0.7</v>
      </c>
      <c r="Y834">
        <f t="shared" si="77"/>
        <v>21.447999999999997</v>
      </c>
    </row>
    <row r="835" spans="1:25" x14ac:dyDescent="0.25">
      <c r="A835" t="s">
        <v>1891</v>
      </c>
      <c r="B835">
        <v>42499</v>
      </c>
      <c r="C835" t="str">
        <f t="shared" si="72"/>
        <v>2016</v>
      </c>
      <c r="D835" t="s">
        <v>766</v>
      </c>
      <c r="E835" t="s">
        <v>767</v>
      </c>
      <c r="F835" t="s">
        <v>257</v>
      </c>
      <c r="G835" t="s">
        <v>258</v>
      </c>
      <c r="H835" t="s">
        <v>259</v>
      </c>
      <c r="I835" t="s">
        <v>260</v>
      </c>
      <c r="J835" t="s">
        <v>243</v>
      </c>
      <c r="K835" t="s">
        <v>1042</v>
      </c>
      <c r="L835" t="s">
        <v>245</v>
      </c>
      <c r="M835" t="s">
        <v>246</v>
      </c>
      <c r="N835" t="s">
        <v>247</v>
      </c>
      <c r="O835">
        <v>42501</v>
      </c>
      <c r="P835">
        <v>84.22</v>
      </c>
      <c r="Q835">
        <v>210.55</v>
      </c>
      <c r="R835">
        <f t="shared" si="73"/>
        <v>126.33000000000001</v>
      </c>
      <c r="S835">
        <v>4</v>
      </c>
      <c r="T835">
        <f t="shared" si="74"/>
        <v>842.2</v>
      </c>
      <c r="U835">
        <v>0.05</v>
      </c>
      <c r="V835">
        <f t="shared" si="75"/>
        <v>42.110000000000007</v>
      </c>
      <c r="W835">
        <f t="shared" si="76"/>
        <v>800.09</v>
      </c>
      <c r="X835">
        <v>9.99</v>
      </c>
      <c r="Y835">
        <f t="shared" si="77"/>
        <v>810.08</v>
      </c>
    </row>
    <row r="836" spans="1:25" x14ac:dyDescent="0.25">
      <c r="A836" t="s">
        <v>1892</v>
      </c>
      <c r="B836">
        <v>42500</v>
      </c>
      <c r="C836" t="str">
        <f t="shared" si="72"/>
        <v>2016</v>
      </c>
      <c r="D836" t="s">
        <v>539</v>
      </c>
      <c r="E836" t="s">
        <v>540</v>
      </c>
      <c r="F836" t="s">
        <v>448</v>
      </c>
      <c r="G836" t="s">
        <v>449</v>
      </c>
      <c r="H836" t="s">
        <v>259</v>
      </c>
      <c r="I836" t="s">
        <v>299</v>
      </c>
      <c r="J836" t="s">
        <v>294</v>
      </c>
      <c r="K836" t="s">
        <v>349</v>
      </c>
      <c r="L836" t="s">
        <v>245</v>
      </c>
      <c r="M836" t="s">
        <v>246</v>
      </c>
      <c r="N836" t="s">
        <v>247</v>
      </c>
      <c r="O836">
        <v>42502</v>
      </c>
      <c r="P836">
        <v>3.52</v>
      </c>
      <c r="Q836">
        <v>5.68</v>
      </c>
      <c r="R836">
        <f t="shared" si="73"/>
        <v>2.1599999999999997</v>
      </c>
      <c r="S836">
        <v>34</v>
      </c>
      <c r="T836">
        <f t="shared" si="74"/>
        <v>193.12</v>
      </c>
      <c r="U836">
        <v>0.06</v>
      </c>
      <c r="V836">
        <f t="shared" si="75"/>
        <v>11.587199999999999</v>
      </c>
      <c r="W836">
        <f t="shared" si="76"/>
        <v>181.53280000000001</v>
      </c>
      <c r="X836">
        <v>1.39</v>
      </c>
      <c r="Y836">
        <f t="shared" si="77"/>
        <v>182.9228</v>
      </c>
    </row>
    <row r="837" spans="1:25" x14ac:dyDescent="0.25">
      <c r="A837" t="s">
        <v>1893</v>
      </c>
      <c r="B837">
        <v>42502</v>
      </c>
      <c r="C837" t="str">
        <f t="shared" si="72"/>
        <v>2016</v>
      </c>
      <c r="D837" t="s">
        <v>1095</v>
      </c>
      <c r="E837" t="s">
        <v>528</v>
      </c>
      <c r="F837" t="s">
        <v>239</v>
      </c>
      <c r="G837" t="s">
        <v>240</v>
      </c>
      <c r="H837" t="s">
        <v>259</v>
      </c>
      <c r="I837" t="s">
        <v>251</v>
      </c>
      <c r="J837" t="s">
        <v>261</v>
      </c>
      <c r="K837" t="s">
        <v>661</v>
      </c>
      <c r="L837" t="s">
        <v>245</v>
      </c>
      <c r="M837" t="s">
        <v>246</v>
      </c>
      <c r="N837" t="s">
        <v>247</v>
      </c>
      <c r="O837">
        <v>42504</v>
      </c>
      <c r="P837">
        <v>2.1800000000000002</v>
      </c>
      <c r="Q837">
        <v>3.52</v>
      </c>
      <c r="R837">
        <f t="shared" si="73"/>
        <v>1.3399999999999999</v>
      </c>
      <c r="S837">
        <v>42</v>
      </c>
      <c r="T837">
        <f t="shared" si="74"/>
        <v>147.84</v>
      </c>
      <c r="U837">
        <v>0.04</v>
      </c>
      <c r="V837">
        <f t="shared" si="75"/>
        <v>5.9136000000000006</v>
      </c>
      <c r="W837">
        <f t="shared" si="76"/>
        <v>141.9264</v>
      </c>
      <c r="X837">
        <v>6.83</v>
      </c>
      <c r="Y837">
        <f t="shared" si="77"/>
        <v>148.75640000000001</v>
      </c>
    </row>
    <row r="838" spans="1:25" x14ac:dyDescent="0.25">
      <c r="A838" t="s">
        <v>1894</v>
      </c>
      <c r="B838">
        <v>42504</v>
      </c>
      <c r="C838" t="str">
        <f t="shared" ref="C838:C901" si="78">TEXT(B838,"yyyy")</f>
        <v>2016</v>
      </c>
      <c r="D838" t="s">
        <v>1157</v>
      </c>
      <c r="E838" t="s">
        <v>1014</v>
      </c>
      <c r="F838" t="s">
        <v>257</v>
      </c>
      <c r="G838" t="s">
        <v>258</v>
      </c>
      <c r="H838" t="s">
        <v>259</v>
      </c>
      <c r="I838" t="s">
        <v>492</v>
      </c>
      <c r="J838" t="s">
        <v>294</v>
      </c>
      <c r="K838" t="s">
        <v>799</v>
      </c>
      <c r="L838" t="s">
        <v>245</v>
      </c>
      <c r="M838" t="s">
        <v>246</v>
      </c>
      <c r="N838" t="s">
        <v>247</v>
      </c>
      <c r="O838">
        <v>42506</v>
      </c>
      <c r="P838">
        <v>2.29</v>
      </c>
      <c r="Q838">
        <v>3.69</v>
      </c>
      <c r="R838">
        <f t="shared" ref="R838:R901" si="79">Q838-P838</f>
        <v>1.4</v>
      </c>
      <c r="S838">
        <v>47</v>
      </c>
      <c r="T838">
        <f t="shared" ref="T838:T901" si="80">Q838*S838</f>
        <v>173.43</v>
      </c>
      <c r="U838">
        <v>0.05</v>
      </c>
      <c r="V838">
        <f t="shared" ref="V838:V901" si="81">T838*U838</f>
        <v>8.6715</v>
      </c>
      <c r="W838">
        <f t="shared" ref="W838:W901" si="82">T838-V838</f>
        <v>164.7585</v>
      </c>
      <c r="X838">
        <v>0.5</v>
      </c>
      <c r="Y838">
        <f t="shared" ref="Y838:Y901" si="83">W838+X838</f>
        <v>165.2585</v>
      </c>
    </row>
    <row r="839" spans="1:25" x14ac:dyDescent="0.25">
      <c r="A839" t="s">
        <v>1895</v>
      </c>
      <c r="B839">
        <v>42504</v>
      </c>
      <c r="C839" t="str">
        <f t="shared" si="78"/>
        <v>2016</v>
      </c>
      <c r="D839" t="s">
        <v>1222</v>
      </c>
      <c r="E839" t="s">
        <v>1001</v>
      </c>
      <c r="F839" t="s">
        <v>239</v>
      </c>
      <c r="G839" t="s">
        <v>240</v>
      </c>
      <c r="H839" t="s">
        <v>293</v>
      </c>
      <c r="I839" t="s">
        <v>251</v>
      </c>
      <c r="J839" t="s">
        <v>294</v>
      </c>
      <c r="K839" t="s">
        <v>543</v>
      </c>
      <c r="L839" t="s">
        <v>245</v>
      </c>
      <c r="M839" t="s">
        <v>246</v>
      </c>
      <c r="N839" t="s">
        <v>247</v>
      </c>
      <c r="O839">
        <v>42506</v>
      </c>
      <c r="P839">
        <v>1.33</v>
      </c>
      <c r="Q839">
        <v>2.08</v>
      </c>
      <c r="R839">
        <f t="shared" si="79"/>
        <v>0.75</v>
      </c>
      <c r="S839">
        <v>43</v>
      </c>
      <c r="T839">
        <f t="shared" si="80"/>
        <v>89.44</v>
      </c>
      <c r="U839">
        <v>0.05</v>
      </c>
      <c r="V839">
        <f t="shared" si="81"/>
        <v>4.4720000000000004</v>
      </c>
      <c r="W839">
        <f t="shared" si="82"/>
        <v>84.968000000000004</v>
      </c>
      <c r="X839">
        <v>1.49</v>
      </c>
      <c r="Y839">
        <f t="shared" si="83"/>
        <v>86.457999999999998</v>
      </c>
    </row>
    <row r="840" spans="1:25" x14ac:dyDescent="0.25">
      <c r="A840" t="s">
        <v>1895</v>
      </c>
      <c r="B840">
        <v>42507</v>
      </c>
      <c r="C840" t="str">
        <f t="shared" si="78"/>
        <v>2016</v>
      </c>
      <c r="D840" t="s">
        <v>1896</v>
      </c>
      <c r="E840" t="s">
        <v>546</v>
      </c>
      <c r="F840" t="s">
        <v>257</v>
      </c>
      <c r="G840" t="s">
        <v>258</v>
      </c>
      <c r="H840" t="s">
        <v>293</v>
      </c>
      <c r="I840" t="s">
        <v>260</v>
      </c>
      <c r="J840" t="s">
        <v>243</v>
      </c>
      <c r="K840" t="s">
        <v>576</v>
      </c>
      <c r="L840" t="s">
        <v>245</v>
      </c>
      <c r="M840" t="s">
        <v>253</v>
      </c>
      <c r="N840" t="s">
        <v>247</v>
      </c>
      <c r="O840">
        <v>42508</v>
      </c>
      <c r="P840">
        <v>3.88</v>
      </c>
      <c r="Q840">
        <v>6.47</v>
      </c>
      <c r="R840">
        <f t="shared" si="79"/>
        <v>2.59</v>
      </c>
      <c r="S840">
        <v>7</v>
      </c>
      <c r="T840">
        <f t="shared" si="80"/>
        <v>45.29</v>
      </c>
      <c r="U840">
        <v>0.02</v>
      </c>
      <c r="V840">
        <f t="shared" si="81"/>
        <v>0.90580000000000005</v>
      </c>
      <c r="W840">
        <f t="shared" si="82"/>
        <v>44.3842</v>
      </c>
      <c r="X840">
        <v>1.22</v>
      </c>
      <c r="Y840">
        <f t="shared" si="83"/>
        <v>45.604199999999999</v>
      </c>
    </row>
    <row r="841" spans="1:25" x14ac:dyDescent="0.25">
      <c r="A841" t="s">
        <v>1897</v>
      </c>
      <c r="B841">
        <v>42508</v>
      </c>
      <c r="C841" t="str">
        <f t="shared" si="78"/>
        <v>2016</v>
      </c>
      <c r="D841" t="s">
        <v>1898</v>
      </c>
      <c r="E841" t="s">
        <v>522</v>
      </c>
      <c r="F841" t="s">
        <v>239</v>
      </c>
      <c r="G841" t="s">
        <v>240</v>
      </c>
      <c r="H841" t="s">
        <v>259</v>
      </c>
      <c r="I841" t="s">
        <v>251</v>
      </c>
      <c r="J841" t="s">
        <v>294</v>
      </c>
      <c r="K841" t="s">
        <v>734</v>
      </c>
      <c r="L841" t="s">
        <v>245</v>
      </c>
      <c r="M841" t="s">
        <v>246</v>
      </c>
      <c r="N841" t="s">
        <v>247</v>
      </c>
      <c r="O841">
        <v>42510</v>
      </c>
      <c r="P841">
        <v>14.95</v>
      </c>
      <c r="Q841">
        <v>34.76</v>
      </c>
      <c r="R841">
        <f t="shared" si="79"/>
        <v>19.809999999999999</v>
      </c>
      <c r="S841">
        <v>8</v>
      </c>
      <c r="T841">
        <f t="shared" si="80"/>
        <v>278.08</v>
      </c>
      <c r="U841">
        <v>0</v>
      </c>
      <c r="V841">
        <f t="shared" si="81"/>
        <v>0</v>
      </c>
      <c r="W841">
        <f t="shared" si="82"/>
        <v>278.08</v>
      </c>
      <c r="X841">
        <v>8.2200000000000006</v>
      </c>
      <c r="Y841">
        <f t="shared" si="83"/>
        <v>286.3</v>
      </c>
    </row>
    <row r="842" spans="1:25" x14ac:dyDescent="0.25">
      <c r="A842" t="s">
        <v>1899</v>
      </c>
      <c r="B842">
        <v>42509</v>
      </c>
      <c r="C842" t="str">
        <f t="shared" si="78"/>
        <v>2016</v>
      </c>
      <c r="D842" t="s">
        <v>1900</v>
      </c>
      <c r="E842" t="s">
        <v>1901</v>
      </c>
      <c r="F842" t="s">
        <v>257</v>
      </c>
      <c r="G842" t="s">
        <v>258</v>
      </c>
      <c r="H842" t="s">
        <v>241</v>
      </c>
      <c r="I842" t="s">
        <v>321</v>
      </c>
      <c r="J842" t="s">
        <v>304</v>
      </c>
      <c r="K842" t="s">
        <v>817</v>
      </c>
      <c r="L842" t="s">
        <v>245</v>
      </c>
      <c r="M842" t="s">
        <v>253</v>
      </c>
      <c r="N842" t="s">
        <v>247</v>
      </c>
      <c r="O842">
        <v>42510</v>
      </c>
      <c r="P842">
        <v>1.76</v>
      </c>
      <c r="Q842">
        <v>2.94</v>
      </c>
      <c r="R842">
        <f t="shared" si="79"/>
        <v>1.18</v>
      </c>
      <c r="S842">
        <v>31</v>
      </c>
      <c r="T842">
        <f t="shared" si="80"/>
        <v>91.14</v>
      </c>
      <c r="U842">
        <v>0.04</v>
      </c>
      <c r="V842">
        <f t="shared" si="81"/>
        <v>3.6456</v>
      </c>
      <c r="W842">
        <f t="shared" si="82"/>
        <v>87.494399999999999</v>
      </c>
      <c r="X842">
        <v>0.81</v>
      </c>
      <c r="Y842">
        <f t="shared" si="83"/>
        <v>88.304400000000001</v>
      </c>
    </row>
    <row r="843" spans="1:25" x14ac:dyDescent="0.25">
      <c r="A843" t="s">
        <v>1902</v>
      </c>
      <c r="B843">
        <v>42511</v>
      </c>
      <c r="C843" t="str">
        <f t="shared" si="78"/>
        <v>2016</v>
      </c>
      <c r="D843" t="s">
        <v>1903</v>
      </c>
      <c r="E843" t="s">
        <v>432</v>
      </c>
      <c r="F843" t="s">
        <v>257</v>
      </c>
      <c r="G843" t="s">
        <v>258</v>
      </c>
      <c r="H843" t="s">
        <v>259</v>
      </c>
      <c r="I843" t="s">
        <v>333</v>
      </c>
      <c r="J843" t="s">
        <v>261</v>
      </c>
      <c r="K843" t="s">
        <v>439</v>
      </c>
      <c r="L843" t="s">
        <v>440</v>
      </c>
      <c r="M843" t="s">
        <v>323</v>
      </c>
      <c r="N843" t="s">
        <v>247</v>
      </c>
      <c r="O843">
        <v>42512</v>
      </c>
      <c r="P843">
        <v>5.5</v>
      </c>
      <c r="Q843">
        <v>12.22</v>
      </c>
      <c r="R843">
        <f t="shared" si="79"/>
        <v>6.7200000000000006</v>
      </c>
      <c r="S843">
        <v>10</v>
      </c>
      <c r="T843">
        <f t="shared" si="80"/>
        <v>122.2</v>
      </c>
      <c r="U843">
        <v>0.01</v>
      </c>
      <c r="V843">
        <f t="shared" si="81"/>
        <v>1.222</v>
      </c>
      <c r="W843">
        <f t="shared" si="82"/>
        <v>120.97800000000001</v>
      </c>
      <c r="X843">
        <v>2.85</v>
      </c>
      <c r="Y843">
        <f t="shared" si="83"/>
        <v>123.828</v>
      </c>
    </row>
    <row r="844" spans="1:25" x14ac:dyDescent="0.25">
      <c r="A844" t="s">
        <v>1904</v>
      </c>
      <c r="B844">
        <v>42511</v>
      </c>
      <c r="C844" t="str">
        <f t="shared" si="78"/>
        <v>2016</v>
      </c>
      <c r="D844" t="s">
        <v>605</v>
      </c>
      <c r="E844" t="s">
        <v>606</v>
      </c>
      <c r="F844" t="s">
        <v>448</v>
      </c>
      <c r="G844" t="s">
        <v>449</v>
      </c>
      <c r="H844" t="s">
        <v>293</v>
      </c>
      <c r="I844" t="s">
        <v>284</v>
      </c>
      <c r="J844" t="s">
        <v>261</v>
      </c>
      <c r="K844" t="s">
        <v>949</v>
      </c>
      <c r="L844" t="s">
        <v>245</v>
      </c>
      <c r="M844" t="s">
        <v>246</v>
      </c>
      <c r="N844" t="s">
        <v>247</v>
      </c>
      <c r="O844">
        <v>42511</v>
      </c>
      <c r="P844">
        <v>52.07</v>
      </c>
      <c r="Q844">
        <v>83.98</v>
      </c>
      <c r="R844">
        <f t="shared" si="79"/>
        <v>31.910000000000004</v>
      </c>
      <c r="S844">
        <v>46</v>
      </c>
      <c r="T844">
        <f t="shared" si="80"/>
        <v>3863.0800000000004</v>
      </c>
      <c r="U844">
        <v>0.06</v>
      </c>
      <c r="V844">
        <f t="shared" si="81"/>
        <v>231.78480000000002</v>
      </c>
      <c r="W844">
        <f t="shared" si="82"/>
        <v>3631.2952000000005</v>
      </c>
      <c r="X844">
        <v>5.01</v>
      </c>
      <c r="Y844">
        <f t="shared" si="83"/>
        <v>3636.3052000000007</v>
      </c>
    </row>
    <row r="845" spans="1:25" x14ac:dyDescent="0.25">
      <c r="A845" t="s">
        <v>1905</v>
      </c>
      <c r="B845">
        <v>42511</v>
      </c>
      <c r="C845" t="str">
        <f t="shared" si="78"/>
        <v>2016</v>
      </c>
      <c r="D845" t="s">
        <v>1180</v>
      </c>
      <c r="E845" t="s">
        <v>332</v>
      </c>
      <c r="F845" t="s">
        <v>257</v>
      </c>
      <c r="G845" t="s">
        <v>258</v>
      </c>
      <c r="H845" t="s">
        <v>259</v>
      </c>
      <c r="I845" t="s">
        <v>333</v>
      </c>
      <c r="J845" t="s">
        <v>261</v>
      </c>
      <c r="K845" t="s">
        <v>734</v>
      </c>
      <c r="L845" t="s">
        <v>245</v>
      </c>
      <c r="M845" t="s">
        <v>246</v>
      </c>
      <c r="N845" t="s">
        <v>247</v>
      </c>
      <c r="O845">
        <v>42512</v>
      </c>
      <c r="P845">
        <v>14.95</v>
      </c>
      <c r="Q845">
        <v>34.76</v>
      </c>
      <c r="R845">
        <f t="shared" si="79"/>
        <v>19.809999999999999</v>
      </c>
      <c r="S845">
        <v>47</v>
      </c>
      <c r="T845">
        <f t="shared" si="80"/>
        <v>1633.7199999999998</v>
      </c>
      <c r="U845">
        <v>0.09</v>
      </c>
      <c r="V845">
        <f t="shared" si="81"/>
        <v>147.03479999999999</v>
      </c>
      <c r="W845">
        <f t="shared" si="82"/>
        <v>1486.6851999999999</v>
      </c>
      <c r="X845">
        <v>8.2200000000000006</v>
      </c>
      <c r="Y845">
        <f t="shared" si="83"/>
        <v>1494.9051999999999</v>
      </c>
    </row>
    <row r="846" spans="1:25" x14ac:dyDescent="0.25">
      <c r="A846" t="s">
        <v>1906</v>
      </c>
      <c r="B846">
        <v>42512</v>
      </c>
      <c r="C846" t="str">
        <f t="shared" si="78"/>
        <v>2016</v>
      </c>
      <c r="D846" t="s">
        <v>446</v>
      </c>
      <c r="E846" t="s">
        <v>447</v>
      </c>
      <c r="F846" t="s">
        <v>448</v>
      </c>
      <c r="G846" t="s">
        <v>449</v>
      </c>
      <c r="H846" t="s">
        <v>259</v>
      </c>
      <c r="I846" t="s">
        <v>333</v>
      </c>
      <c r="J846" t="s">
        <v>304</v>
      </c>
      <c r="K846" t="s">
        <v>607</v>
      </c>
      <c r="L846" t="s">
        <v>245</v>
      </c>
      <c r="M846" t="s">
        <v>246</v>
      </c>
      <c r="N846" t="s">
        <v>247</v>
      </c>
      <c r="O846">
        <v>42514</v>
      </c>
      <c r="P846">
        <v>4.46</v>
      </c>
      <c r="Q846">
        <v>10.89</v>
      </c>
      <c r="R846">
        <f t="shared" si="79"/>
        <v>6.4300000000000006</v>
      </c>
      <c r="S846">
        <v>1</v>
      </c>
      <c r="T846">
        <f t="shared" si="80"/>
        <v>10.89</v>
      </c>
      <c r="U846">
        <v>0</v>
      </c>
      <c r="V846">
        <f t="shared" si="81"/>
        <v>0</v>
      </c>
      <c r="W846">
        <f t="shared" si="82"/>
        <v>10.89</v>
      </c>
      <c r="X846">
        <v>4.5</v>
      </c>
      <c r="Y846">
        <f t="shared" si="83"/>
        <v>15.39</v>
      </c>
    </row>
    <row r="847" spans="1:25" x14ac:dyDescent="0.25">
      <c r="A847" t="s">
        <v>1907</v>
      </c>
      <c r="B847">
        <v>42512</v>
      </c>
      <c r="C847" t="str">
        <f t="shared" si="78"/>
        <v>2016</v>
      </c>
      <c r="D847" t="s">
        <v>1703</v>
      </c>
      <c r="E847" t="s">
        <v>709</v>
      </c>
      <c r="F847" t="s">
        <v>257</v>
      </c>
      <c r="G847" t="s">
        <v>258</v>
      </c>
      <c r="H847" t="s">
        <v>241</v>
      </c>
      <c r="I847" t="s">
        <v>275</v>
      </c>
      <c r="J847" t="s">
        <v>294</v>
      </c>
      <c r="K847" t="s">
        <v>453</v>
      </c>
      <c r="L847" t="s">
        <v>245</v>
      </c>
      <c r="M847" t="s">
        <v>246</v>
      </c>
      <c r="N847" t="s">
        <v>247</v>
      </c>
      <c r="O847">
        <v>42513</v>
      </c>
      <c r="P847">
        <v>1.18</v>
      </c>
      <c r="Q847">
        <v>1.88</v>
      </c>
      <c r="R847">
        <f t="shared" si="79"/>
        <v>0.7</v>
      </c>
      <c r="S847">
        <v>22</v>
      </c>
      <c r="T847">
        <f t="shared" si="80"/>
        <v>41.36</v>
      </c>
      <c r="U847">
        <v>0.09</v>
      </c>
      <c r="V847">
        <f t="shared" si="81"/>
        <v>3.7223999999999999</v>
      </c>
      <c r="W847">
        <f t="shared" si="82"/>
        <v>37.637599999999999</v>
      </c>
      <c r="X847">
        <v>1.49</v>
      </c>
      <c r="Y847">
        <f t="shared" si="83"/>
        <v>39.127600000000001</v>
      </c>
    </row>
    <row r="848" spans="1:25" x14ac:dyDescent="0.25">
      <c r="A848" t="s">
        <v>1908</v>
      </c>
      <c r="B848">
        <v>42513</v>
      </c>
      <c r="C848" t="str">
        <f t="shared" si="78"/>
        <v>2016</v>
      </c>
      <c r="D848" t="s">
        <v>1909</v>
      </c>
      <c r="E848" t="s">
        <v>511</v>
      </c>
      <c r="F848" t="s">
        <v>257</v>
      </c>
      <c r="G848" t="s">
        <v>258</v>
      </c>
      <c r="H848" t="s">
        <v>293</v>
      </c>
      <c r="I848" t="s">
        <v>381</v>
      </c>
      <c r="J848" t="s">
        <v>243</v>
      </c>
      <c r="K848" t="s">
        <v>252</v>
      </c>
      <c r="L848" t="s">
        <v>245</v>
      </c>
      <c r="M848" t="s">
        <v>253</v>
      </c>
      <c r="N848" t="s">
        <v>263</v>
      </c>
      <c r="O848">
        <v>42514</v>
      </c>
      <c r="P848">
        <v>2.39</v>
      </c>
      <c r="Q848">
        <v>4.26</v>
      </c>
      <c r="R848">
        <f t="shared" si="79"/>
        <v>1.8699999999999997</v>
      </c>
      <c r="S848">
        <v>5</v>
      </c>
      <c r="T848">
        <f t="shared" si="80"/>
        <v>21.299999999999997</v>
      </c>
      <c r="U848">
        <v>0.01</v>
      </c>
      <c r="V848">
        <f t="shared" si="81"/>
        <v>0.21299999999999997</v>
      </c>
      <c r="W848">
        <f t="shared" si="82"/>
        <v>21.086999999999996</v>
      </c>
      <c r="X848">
        <v>1.2</v>
      </c>
      <c r="Y848">
        <f t="shared" si="83"/>
        <v>22.286999999999995</v>
      </c>
    </row>
    <row r="849" spans="1:25" x14ac:dyDescent="0.25">
      <c r="A849" t="s">
        <v>1910</v>
      </c>
      <c r="B849">
        <v>42516</v>
      </c>
      <c r="C849" t="str">
        <f t="shared" si="78"/>
        <v>2016</v>
      </c>
      <c r="D849" t="s">
        <v>1911</v>
      </c>
      <c r="E849" t="s">
        <v>393</v>
      </c>
      <c r="F849" t="s">
        <v>257</v>
      </c>
      <c r="G849" t="s">
        <v>258</v>
      </c>
      <c r="H849" t="s">
        <v>293</v>
      </c>
      <c r="I849" t="s">
        <v>342</v>
      </c>
      <c r="J849" t="s">
        <v>304</v>
      </c>
      <c r="K849" t="s">
        <v>986</v>
      </c>
      <c r="L849" t="s">
        <v>245</v>
      </c>
      <c r="M849" t="s">
        <v>246</v>
      </c>
      <c r="N849" t="s">
        <v>247</v>
      </c>
      <c r="O849">
        <v>42517</v>
      </c>
      <c r="P849">
        <v>52.04</v>
      </c>
      <c r="Q849">
        <v>83.93</v>
      </c>
      <c r="R849">
        <f t="shared" si="79"/>
        <v>31.890000000000008</v>
      </c>
      <c r="S849">
        <v>5</v>
      </c>
      <c r="T849">
        <f t="shared" si="80"/>
        <v>419.65000000000003</v>
      </c>
      <c r="U849">
        <v>0.04</v>
      </c>
      <c r="V849">
        <f t="shared" si="81"/>
        <v>16.786000000000001</v>
      </c>
      <c r="W849">
        <f t="shared" si="82"/>
        <v>402.86400000000003</v>
      </c>
      <c r="X849">
        <v>19.989999999999998</v>
      </c>
      <c r="Y849">
        <f t="shared" si="83"/>
        <v>422.85400000000004</v>
      </c>
    </row>
    <row r="850" spans="1:25" x14ac:dyDescent="0.25">
      <c r="A850" t="s">
        <v>1912</v>
      </c>
      <c r="B850">
        <v>42517</v>
      </c>
      <c r="C850" t="str">
        <f t="shared" si="78"/>
        <v>2016</v>
      </c>
      <c r="D850" t="s">
        <v>1913</v>
      </c>
      <c r="E850" t="s">
        <v>1914</v>
      </c>
      <c r="F850" t="s">
        <v>257</v>
      </c>
      <c r="G850" t="s">
        <v>258</v>
      </c>
      <c r="H850" t="s">
        <v>259</v>
      </c>
      <c r="I850" t="s">
        <v>342</v>
      </c>
      <c r="J850" t="s">
        <v>294</v>
      </c>
      <c r="K850" t="s">
        <v>300</v>
      </c>
      <c r="L850" t="s">
        <v>245</v>
      </c>
      <c r="M850" t="s">
        <v>246</v>
      </c>
      <c r="N850" t="s">
        <v>247</v>
      </c>
      <c r="O850">
        <v>42517</v>
      </c>
      <c r="P850">
        <v>5.33</v>
      </c>
      <c r="Q850">
        <v>8.6</v>
      </c>
      <c r="R850">
        <f t="shared" si="79"/>
        <v>3.2699999999999996</v>
      </c>
      <c r="S850">
        <v>1</v>
      </c>
      <c r="T850">
        <f t="shared" si="80"/>
        <v>8.6</v>
      </c>
      <c r="U850">
        <v>0.06</v>
      </c>
      <c r="V850">
        <f t="shared" si="81"/>
        <v>0.51600000000000001</v>
      </c>
      <c r="W850">
        <f t="shared" si="82"/>
        <v>8.0839999999999996</v>
      </c>
      <c r="X850">
        <v>6.19</v>
      </c>
      <c r="Y850">
        <f t="shared" si="83"/>
        <v>14.274000000000001</v>
      </c>
    </row>
    <row r="851" spans="1:25" x14ac:dyDescent="0.25">
      <c r="A851" t="s">
        <v>1915</v>
      </c>
      <c r="B851">
        <v>42519</v>
      </c>
      <c r="C851" t="str">
        <f t="shared" si="78"/>
        <v>2016</v>
      </c>
      <c r="D851" t="s">
        <v>1916</v>
      </c>
      <c r="E851" t="s">
        <v>1805</v>
      </c>
      <c r="F851" t="s">
        <v>257</v>
      </c>
      <c r="G851" t="s">
        <v>258</v>
      </c>
      <c r="H851" t="s">
        <v>274</v>
      </c>
      <c r="I851" t="s">
        <v>275</v>
      </c>
      <c r="J851" t="s">
        <v>304</v>
      </c>
      <c r="K851" t="s">
        <v>734</v>
      </c>
      <c r="L851" t="s">
        <v>245</v>
      </c>
      <c r="M851" t="s">
        <v>246</v>
      </c>
      <c r="N851" t="s">
        <v>247</v>
      </c>
      <c r="O851">
        <v>42520</v>
      </c>
      <c r="P851">
        <v>14.95</v>
      </c>
      <c r="Q851">
        <v>34.76</v>
      </c>
      <c r="R851">
        <f t="shared" si="79"/>
        <v>19.809999999999999</v>
      </c>
      <c r="S851">
        <v>32</v>
      </c>
      <c r="T851">
        <f t="shared" si="80"/>
        <v>1112.32</v>
      </c>
      <c r="U851">
        <v>0.02</v>
      </c>
      <c r="V851">
        <f t="shared" si="81"/>
        <v>22.246399999999998</v>
      </c>
      <c r="W851">
        <f t="shared" si="82"/>
        <v>1090.0735999999999</v>
      </c>
      <c r="X851">
        <v>8.2200000000000006</v>
      </c>
      <c r="Y851">
        <f t="shared" si="83"/>
        <v>1098.2936</v>
      </c>
    </row>
    <row r="852" spans="1:25" x14ac:dyDescent="0.25">
      <c r="A852" t="s">
        <v>1917</v>
      </c>
      <c r="B852">
        <v>42520</v>
      </c>
      <c r="C852" t="str">
        <f t="shared" si="78"/>
        <v>2016</v>
      </c>
      <c r="D852" t="s">
        <v>1860</v>
      </c>
      <c r="E852" t="s">
        <v>606</v>
      </c>
      <c r="F852" t="s">
        <v>448</v>
      </c>
      <c r="G852" t="s">
        <v>449</v>
      </c>
      <c r="H852" t="s">
        <v>241</v>
      </c>
      <c r="I852" t="s">
        <v>284</v>
      </c>
      <c r="J852" t="s">
        <v>304</v>
      </c>
      <c r="K852" t="s">
        <v>598</v>
      </c>
      <c r="L852" t="s">
        <v>268</v>
      </c>
      <c r="M852" t="s">
        <v>246</v>
      </c>
      <c r="N852" t="s">
        <v>247</v>
      </c>
      <c r="O852">
        <v>42520</v>
      </c>
      <c r="P852">
        <v>6.2</v>
      </c>
      <c r="Q852">
        <v>30.98</v>
      </c>
      <c r="R852">
        <f t="shared" si="79"/>
        <v>24.78</v>
      </c>
      <c r="S852">
        <v>24</v>
      </c>
      <c r="T852">
        <f t="shared" si="80"/>
        <v>743.52</v>
      </c>
      <c r="U852">
        <v>0.08</v>
      </c>
      <c r="V852">
        <f t="shared" si="81"/>
        <v>59.4816</v>
      </c>
      <c r="W852">
        <f t="shared" si="82"/>
        <v>684.03840000000002</v>
      </c>
      <c r="X852">
        <v>4</v>
      </c>
      <c r="Y852">
        <f t="shared" si="83"/>
        <v>688.03840000000002</v>
      </c>
    </row>
    <row r="853" spans="1:25" x14ac:dyDescent="0.25">
      <c r="A853" t="s">
        <v>1918</v>
      </c>
      <c r="B853">
        <v>42521</v>
      </c>
      <c r="C853" t="str">
        <f t="shared" si="78"/>
        <v>2016</v>
      </c>
      <c r="D853" t="s">
        <v>574</v>
      </c>
      <c r="E853" t="s">
        <v>575</v>
      </c>
      <c r="F853" t="s">
        <v>257</v>
      </c>
      <c r="G853" t="s">
        <v>258</v>
      </c>
      <c r="H853" t="s">
        <v>274</v>
      </c>
      <c r="I853" t="s">
        <v>381</v>
      </c>
      <c r="J853" t="s">
        <v>279</v>
      </c>
      <c r="K853" t="s">
        <v>353</v>
      </c>
      <c r="L853" t="s">
        <v>245</v>
      </c>
      <c r="M853" t="s">
        <v>323</v>
      </c>
      <c r="N853" t="s">
        <v>247</v>
      </c>
      <c r="O853">
        <v>42523</v>
      </c>
      <c r="P853">
        <v>0.94</v>
      </c>
      <c r="Q853">
        <v>2.08</v>
      </c>
      <c r="R853">
        <f t="shared" si="79"/>
        <v>1.1400000000000001</v>
      </c>
      <c r="S853">
        <v>49</v>
      </c>
      <c r="T853">
        <f t="shared" si="80"/>
        <v>101.92</v>
      </c>
      <c r="U853">
        <v>0.08</v>
      </c>
      <c r="V853">
        <f t="shared" si="81"/>
        <v>8.1536000000000008</v>
      </c>
      <c r="W853">
        <f t="shared" si="82"/>
        <v>93.766400000000004</v>
      </c>
      <c r="X853">
        <v>2.56</v>
      </c>
      <c r="Y853">
        <f t="shared" si="83"/>
        <v>96.326400000000007</v>
      </c>
    </row>
    <row r="854" spans="1:25" x14ac:dyDescent="0.25">
      <c r="A854" t="s">
        <v>1919</v>
      </c>
      <c r="B854">
        <v>42521</v>
      </c>
      <c r="C854" t="str">
        <f t="shared" si="78"/>
        <v>2016</v>
      </c>
      <c r="D854" t="s">
        <v>1102</v>
      </c>
      <c r="E854" t="s">
        <v>507</v>
      </c>
      <c r="F854" t="s">
        <v>448</v>
      </c>
      <c r="G854" t="s">
        <v>449</v>
      </c>
      <c r="H854" t="s">
        <v>293</v>
      </c>
      <c r="I854" t="s">
        <v>284</v>
      </c>
      <c r="J854" t="s">
        <v>243</v>
      </c>
      <c r="K854" t="s">
        <v>1130</v>
      </c>
      <c r="L854" t="s">
        <v>268</v>
      </c>
      <c r="M854" t="s">
        <v>246</v>
      </c>
      <c r="N854" t="s">
        <v>247</v>
      </c>
      <c r="O854">
        <v>42524</v>
      </c>
      <c r="P854">
        <v>14.7</v>
      </c>
      <c r="Q854">
        <v>29.99</v>
      </c>
      <c r="R854">
        <f t="shared" si="79"/>
        <v>15.29</v>
      </c>
      <c r="S854">
        <v>1</v>
      </c>
      <c r="T854">
        <f t="shared" si="80"/>
        <v>29.99</v>
      </c>
      <c r="U854">
        <v>0.04</v>
      </c>
      <c r="V854">
        <f t="shared" si="81"/>
        <v>1.1996</v>
      </c>
      <c r="W854">
        <f t="shared" si="82"/>
        <v>28.790399999999998</v>
      </c>
      <c r="X854">
        <v>5.5</v>
      </c>
      <c r="Y854">
        <f t="shared" si="83"/>
        <v>34.290399999999998</v>
      </c>
    </row>
    <row r="855" spans="1:25" x14ac:dyDescent="0.25">
      <c r="A855" t="s">
        <v>1920</v>
      </c>
      <c r="B855">
        <v>42523</v>
      </c>
      <c r="C855" t="str">
        <f t="shared" si="78"/>
        <v>2016</v>
      </c>
      <c r="D855" t="s">
        <v>513</v>
      </c>
      <c r="E855" t="s">
        <v>511</v>
      </c>
      <c r="F855" t="s">
        <v>257</v>
      </c>
      <c r="G855" t="s">
        <v>258</v>
      </c>
      <c r="H855" t="s">
        <v>274</v>
      </c>
      <c r="I855" t="s">
        <v>381</v>
      </c>
      <c r="J855" t="s">
        <v>261</v>
      </c>
      <c r="K855" t="s">
        <v>1728</v>
      </c>
      <c r="L855" t="s">
        <v>245</v>
      </c>
      <c r="M855" t="s">
        <v>253</v>
      </c>
      <c r="N855" t="s">
        <v>247</v>
      </c>
      <c r="O855">
        <v>42525</v>
      </c>
      <c r="P855">
        <v>3.95</v>
      </c>
      <c r="Q855">
        <v>6.08</v>
      </c>
      <c r="R855">
        <f t="shared" si="79"/>
        <v>2.13</v>
      </c>
      <c r="S855">
        <v>50</v>
      </c>
      <c r="T855">
        <f t="shared" si="80"/>
        <v>304</v>
      </c>
      <c r="U855">
        <v>0.09</v>
      </c>
      <c r="V855">
        <f t="shared" si="81"/>
        <v>27.36</v>
      </c>
      <c r="W855">
        <f t="shared" si="82"/>
        <v>276.64</v>
      </c>
      <c r="X855">
        <v>1.82</v>
      </c>
      <c r="Y855">
        <f t="shared" si="83"/>
        <v>278.45999999999998</v>
      </c>
    </row>
    <row r="856" spans="1:25" x14ac:dyDescent="0.25">
      <c r="A856" t="s">
        <v>1921</v>
      </c>
      <c r="B856">
        <v>42524</v>
      </c>
      <c r="C856" t="str">
        <f t="shared" si="78"/>
        <v>2016</v>
      </c>
      <c r="D856" t="s">
        <v>442</v>
      </c>
      <c r="E856" t="s">
        <v>1698</v>
      </c>
      <c r="F856" t="s">
        <v>257</v>
      </c>
      <c r="G856" t="s">
        <v>258</v>
      </c>
      <c r="H856" t="s">
        <v>293</v>
      </c>
      <c r="I856" t="s">
        <v>275</v>
      </c>
      <c r="J856" t="s">
        <v>261</v>
      </c>
      <c r="K856" t="s">
        <v>617</v>
      </c>
      <c r="L856" t="s">
        <v>245</v>
      </c>
      <c r="M856" t="s">
        <v>246</v>
      </c>
      <c r="N856" t="s">
        <v>247</v>
      </c>
      <c r="O856">
        <v>42525</v>
      </c>
      <c r="P856">
        <v>1.94</v>
      </c>
      <c r="Q856">
        <v>3.08</v>
      </c>
      <c r="R856">
        <f t="shared" si="79"/>
        <v>1.1400000000000001</v>
      </c>
      <c r="S856">
        <v>11</v>
      </c>
      <c r="T856">
        <f t="shared" si="80"/>
        <v>33.880000000000003</v>
      </c>
      <c r="U856">
        <v>0.03</v>
      </c>
      <c r="V856">
        <f t="shared" si="81"/>
        <v>1.0164</v>
      </c>
      <c r="W856">
        <f t="shared" si="82"/>
        <v>32.863600000000005</v>
      </c>
      <c r="X856">
        <v>0.99</v>
      </c>
      <c r="Y856">
        <f t="shared" si="83"/>
        <v>33.853600000000007</v>
      </c>
    </row>
    <row r="857" spans="1:25" x14ac:dyDescent="0.25">
      <c r="A857" t="s">
        <v>1922</v>
      </c>
      <c r="B857">
        <v>42524</v>
      </c>
      <c r="C857" t="str">
        <f t="shared" si="78"/>
        <v>2016</v>
      </c>
      <c r="D857" t="s">
        <v>1923</v>
      </c>
      <c r="E857" t="s">
        <v>1178</v>
      </c>
      <c r="F857" t="s">
        <v>257</v>
      </c>
      <c r="G857" t="s">
        <v>258</v>
      </c>
      <c r="H857" t="s">
        <v>293</v>
      </c>
      <c r="I857" t="s">
        <v>504</v>
      </c>
      <c r="J857" t="s">
        <v>294</v>
      </c>
      <c r="K857" t="s">
        <v>317</v>
      </c>
      <c r="L857" t="s">
        <v>245</v>
      </c>
      <c r="M857" t="s">
        <v>253</v>
      </c>
      <c r="N857" t="s">
        <v>247</v>
      </c>
      <c r="O857">
        <v>42526</v>
      </c>
      <c r="P857">
        <v>0.71</v>
      </c>
      <c r="Q857">
        <v>1.1399999999999999</v>
      </c>
      <c r="R857">
        <f t="shared" si="79"/>
        <v>0.42999999999999994</v>
      </c>
      <c r="S857">
        <v>3</v>
      </c>
      <c r="T857">
        <f t="shared" si="80"/>
        <v>3.42</v>
      </c>
      <c r="U857">
        <v>0.1</v>
      </c>
      <c r="V857">
        <f t="shared" si="81"/>
        <v>0.34200000000000003</v>
      </c>
      <c r="W857">
        <f t="shared" si="82"/>
        <v>3.0779999999999998</v>
      </c>
      <c r="X857">
        <v>0.7</v>
      </c>
      <c r="Y857">
        <f t="shared" si="83"/>
        <v>3.7779999999999996</v>
      </c>
    </row>
    <row r="858" spans="1:25" x14ac:dyDescent="0.25">
      <c r="A858" t="s">
        <v>1924</v>
      </c>
      <c r="B858">
        <v>42532</v>
      </c>
      <c r="C858" t="str">
        <f t="shared" si="78"/>
        <v>2016</v>
      </c>
      <c r="D858" t="s">
        <v>1503</v>
      </c>
      <c r="E858" t="s">
        <v>760</v>
      </c>
      <c r="F858" t="s">
        <v>448</v>
      </c>
      <c r="G858" t="s">
        <v>449</v>
      </c>
      <c r="H858" t="s">
        <v>259</v>
      </c>
      <c r="I858" t="s">
        <v>333</v>
      </c>
      <c r="J858" t="s">
        <v>261</v>
      </c>
      <c r="K858" t="s">
        <v>578</v>
      </c>
      <c r="L858" t="s">
        <v>245</v>
      </c>
      <c r="M858" t="s">
        <v>253</v>
      </c>
      <c r="N858" t="s">
        <v>247</v>
      </c>
      <c r="O858">
        <v>42533</v>
      </c>
      <c r="P858">
        <v>1.31</v>
      </c>
      <c r="Q858">
        <v>2.84</v>
      </c>
      <c r="R858">
        <f t="shared" si="79"/>
        <v>1.5299999999999998</v>
      </c>
      <c r="S858">
        <v>9</v>
      </c>
      <c r="T858">
        <f t="shared" si="80"/>
        <v>25.56</v>
      </c>
      <c r="U858">
        <v>0.08</v>
      </c>
      <c r="V858">
        <f t="shared" si="81"/>
        <v>2.0448</v>
      </c>
      <c r="W858">
        <f t="shared" si="82"/>
        <v>23.5152</v>
      </c>
      <c r="X858">
        <v>0.93</v>
      </c>
      <c r="Y858">
        <f t="shared" si="83"/>
        <v>24.4452</v>
      </c>
    </row>
    <row r="859" spans="1:25" x14ac:dyDescent="0.25">
      <c r="A859" t="s">
        <v>1925</v>
      </c>
      <c r="B859">
        <v>42534</v>
      </c>
      <c r="C859" t="str">
        <f t="shared" si="78"/>
        <v>2016</v>
      </c>
      <c r="D859" t="s">
        <v>1253</v>
      </c>
      <c r="E859" t="s">
        <v>346</v>
      </c>
      <c r="F859" t="s">
        <v>257</v>
      </c>
      <c r="G859" t="s">
        <v>258</v>
      </c>
      <c r="H859" t="s">
        <v>241</v>
      </c>
      <c r="I859" t="s">
        <v>309</v>
      </c>
      <c r="J859" t="s">
        <v>261</v>
      </c>
      <c r="K859" t="s">
        <v>377</v>
      </c>
      <c r="L859" t="s">
        <v>268</v>
      </c>
      <c r="M859" t="s">
        <v>246</v>
      </c>
      <c r="N859" t="s">
        <v>247</v>
      </c>
      <c r="O859">
        <v>42536</v>
      </c>
      <c r="P859">
        <v>32.020000000000003</v>
      </c>
      <c r="Q859">
        <v>152.47999999999999</v>
      </c>
      <c r="R859">
        <f t="shared" si="79"/>
        <v>120.45999999999998</v>
      </c>
      <c r="S859">
        <v>12</v>
      </c>
      <c r="T859">
        <f t="shared" si="80"/>
        <v>1829.7599999999998</v>
      </c>
      <c r="U859">
        <v>0.1</v>
      </c>
      <c r="V859">
        <f t="shared" si="81"/>
        <v>182.976</v>
      </c>
      <c r="W859">
        <f t="shared" si="82"/>
        <v>1646.7839999999997</v>
      </c>
      <c r="X859">
        <v>4</v>
      </c>
      <c r="Y859">
        <f t="shared" si="83"/>
        <v>1650.7839999999997</v>
      </c>
    </row>
    <row r="860" spans="1:25" x14ac:dyDescent="0.25">
      <c r="A860" t="s">
        <v>1926</v>
      </c>
      <c r="B860">
        <v>42535</v>
      </c>
      <c r="C860" t="str">
        <f t="shared" si="78"/>
        <v>2016</v>
      </c>
      <c r="D860" t="s">
        <v>1718</v>
      </c>
      <c r="E860" t="s">
        <v>356</v>
      </c>
      <c r="F860" t="s">
        <v>239</v>
      </c>
      <c r="G860" t="s">
        <v>240</v>
      </c>
      <c r="H860" t="s">
        <v>241</v>
      </c>
      <c r="I860" t="s">
        <v>251</v>
      </c>
      <c r="J860" t="s">
        <v>279</v>
      </c>
      <c r="K860" t="s">
        <v>413</v>
      </c>
      <c r="L860" t="s">
        <v>268</v>
      </c>
      <c r="M860" t="s">
        <v>414</v>
      </c>
      <c r="N860" t="s">
        <v>247</v>
      </c>
      <c r="O860">
        <v>42535</v>
      </c>
      <c r="P860">
        <v>8.82</v>
      </c>
      <c r="Q860">
        <v>20.99</v>
      </c>
      <c r="R860">
        <f t="shared" si="79"/>
        <v>12.169999999999998</v>
      </c>
      <c r="S860">
        <v>2</v>
      </c>
      <c r="T860">
        <f t="shared" si="80"/>
        <v>41.98</v>
      </c>
      <c r="U860">
        <v>0.01</v>
      </c>
      <c r="V860">
        <f t="shared" si="81"/>
        <v>0.41979999999999995</v>
      </c>
      <c r="W860">
        <f t="shared" si="82"/>
        <v>41.560199999999995</v>
      </c>
      <c r="X860">
        <v>4.8099999999999996</v>
      </c>
      <c r="Y860">
        <f t="shared" si="83"/>
        <v>46.370199999999997</v>
      </c>
    </row>
    <row r="861" spans="1:25" x14ac:dyDescent="0.25">
      <c r="A861" t="s">
        <v>1927</v>
      </c>
      <c r="B861">
        <v>42535</v>
      </c>
      <c r="C861" t="str">
        <f t="shared" si="78"/>
        <v>2016</v>
      </c>
      <c r="D861" t="s">
        <v>980</v>
      </c>
      <c r="E861" t="s">
        <v>928</v>
      </c>
      <c r="F861" t="s">
        <v>257</v>
      </c>
      <c r="G861" t="s">
        <v>258</v>
      </c>
      <c r="H861" t="s">
        <v>241</v>
      </c>
      <c r="I861" t="s">
        <v>284</v>
      </c>
      <c r="J861" t="s">
        <v>243</v>
      </c>
      <c r="K861" t="s">
        <v>377</v>
      </c>
      <c r="L861" t="s">
        <v>268</v>
      </c>
      <c r="M861" t="s">
        <v>246</v>
      </c>
      <c r="N861" t="s">
        <v>247</v>
      </c>
      <c r="O861">
        <v>42537</v>
      </c>
      <c r="P861">
        <v>32.020000000000003</v>
      </c>
      <c r="Q861">
        <v>152.47999999999999</v>
      </c>
      <c r="R861">
        <f t="shared" si="79"/>
        <v>120.45999999999998</v>
      </c>
      <c r="S861">
        <v>37</v>
      </c>
      <c r="T861">
        <f t="shared" si="80"/>
        <v>5641.7599999999993</v>
      </c>
      <c r="U861">
        <v>0.1</v>
      </c>
      <c r="V861">
        <f t="shared" si="81"/>
        <v>564.17599999999993</v>
      </c>
      <c r="W861">
        <f t="shared" si="82"/>
        <v>5077.5839999999989</v>
      </c>
      <c r="X861">
        <v>4</v>
      </c>
      <c r="Y861">
        <f t="shared" si="83"/>
        <v>5081.5839999999989</v>
      </c>
    </row>
    <row r="862" spans="1:25" x14ac:dyDescent="0.25">
      <c r="A862" t="s">
        <v>1928</v>
      </c>
      <c r="B862">
        <v>42535</v>
      </c>
      <c r="C862" t="str">
        <f t="shared" si="78"/>
        <v>2016</v>
      </c>
      <c r="D862" t="s">
        <v>980</v>
      </c>
      <c r="E862" t="s">
        <v>928</v>
      </c>
      <c r="F862" t="s">
        <v>257</v>
      </c>
      <c r="G862" t="s">
        <v>258</v>
      </c>
      <c r="H862" t="s">
        <v>241</v>
      </c>
      <c r="I862" t="s">
        <v>284</v>
      </c>
      <c r="J862" t="s">
        <v>243</v>
      </c>
      <c r="K862" t="s">
        <v>488</v>
      </c>
      <c r="L862" t="s">
        <v>268</v>
      </c>
      <c r="M862" t="s">
        <v>323</v>
      </c>
      <c r="N862" t="s">
        <v>247</v>
      </c>
      <c r="O862">
        <v>42537</v>
      </c>
      <c r="P862">
        <v>20.18</v>
      </c>
      <c r="Q862">
        <v>35.409999999999997</v>
      </c>
      <c r="R862">
        <f t="shared" si="79"/>
        <v>15.229999999999997</v>
      </c>
      <c r="S862">
        <v>30</v>
      </c>
      <c r="T862">
        <f t="shared" si="80"/>
        <v>1062.3</v>
      </c>
      <c r="U862">
        <v>0.08</v>
      </c>
      <c r="V862">
        <f t="shared" si="81"/>
        <v>84.983999999999995</v>
      </c>
      <c r="W862">
        <f t="shared" si="82"/>
        <v>977.31599999999992</v>
      </c>
      <c r="X862">
        <v>1.99</v>
      </c>
      <c r="Y862">
        <f t="shared" si="83"/>
        <v>979.30599999999993</v>
      </c>
    </row>
    <row r="863" spans="1:25" x14ac:dyDescent="0.25">
      <c r="A863" t="s">
        <v>1929</v>
      </c>
      <c r="B863">
        <v>42535</v>
      </c>
      <c r="C863" t="str">
        <f t="shared" si="78"/>
        <v>2016</v>
      </c>
      <c r="D863" t="s">
        <v>1930</v>
      </c>
      <c r="E863" t="s">
        <v>424</v>
      </c>
      <c r="F863" t="s">
        <v>257</v>
      </c>
      <c r="G863" t="s">
        <v>258</v>
      </c>
      <c r="H863" t="s">
        <v>259</v>
      </c>
      <c r="I863" t="s">
        <v>299</v>
      </c>
      <c r="J863" t="s">
        <v>261</v>
      </c>
      <c r="K863" t="s">
        <v>285</v>
      </c>
      <c r="L863" t="s">
        <v>245</v>
      </c>
      <c r="M863" t="s">
        <v>246</v>
      </c>
      <c r="N863" t="s">
        <v>263</v>
      </c>
      <c r="O863">
        <v>42536</v>
      </c>
      <c r="P863">
        <v>99.39</v>
      </c>
      <c r="Q863">
        <v>162.93</v>
      </c>
      <c r="R863">
        <f t="shared" si="79"/>
        <v>63.540000000000006</v>
      </c>
      <c r="S863">
        <v>36</v>
      </c>
      <c r="T863">
        <f t="shared" si="80"/>
        <v>5865.4800000000005</v>
      </c>
      <c r="U863">
        <v>0.05</v>
      </c>
      <c r="V863">
        <f t="shared" si="81"/>
        <v>293.27400000000006</v>
      </c>
      <c r="W863">
        <f t="shared" si="82"/>
        <v>5572.2060000000001</v>
      </c>
      <c r="X863">
        <v>19.989999999999998</v>
      </c>
      <c r="Y863">
        <f t="shared" si="83"/>
        <v>5592.1959999999999</v>
      </c>
    </row>
    <row r="864" spans="1:25" x14ac:dyDescent="0.25">
      <c r="A864" t="s">
        <v>1931</v>
      </c>
      <c r="B864">
        <v>42535</v>
      </c>
      <c r="C864" t="str">
        <f t="shared" si="78"/>
        <v>2016</v>
      </c>
      <c r="D864" t="s">
        <v>1718</v>
      </c>
      <c r="E864" t="s">
        <v>356</v>
      </c>
      <c r="F864" t="s">
        <v>239</v>
      </c>
      <c r="G864" t="s">
        <v>240</v>
      </c>
      <c r="H864" t="s">
        <v>241</v>
      </c>
      <c r="I864" t="s">
        <v>251</v>
      </c>
      <c r="J864" t="s">
        <v>279</v>
      </c>
      <c r="K864" t="s">
        <v>317</v>
      </c>
      <c r="L864" t="s">
        <v>245</v>
      </c>
      <c r="M864" t="s">
        <v>253</v>
      </c>
      <c r="N864" t="s">
        <v>247</v>
      </c>
      <c r="O864">
        <v>42540</v>
      </c>
      <c r="P864">
        <v>0.71</v>
      </c>
      <c r="Q864">
        <v>1.1399999999999999</v>
      </c>
      <c r="R864">
        <f t="shared" si="79"/>
        <v>0.42999999999999994</v>
      </c>
      <c r="S864">
        <v>31</v>
      </c>
      <c r="T864">
        <f t="shared" si="80"/>
        <v>35.339999999999996</v>
      </c>
      <c r="U864">
        <v>7.0000000000000007E-2</v>
      </c>
      <c r="V864">
        <f t="shared" si="81"/>
        <v>2.4737999999999998</v>
      </c>
      <c r="W864">
        <f t="shared" si="82"/>
        <v>32.866199999999999</v>
      </c>
      <c r="X864">
        <v>0.7</v>
      </c>
      <c r="Y864">
        <f t="shared" si="83"/>
        <v>33.566200000000002</v>
      </c>
    </row>
    <row r="865" spans="1:25" x14ac:dyDescent="0.25">
      <c r="A865" t="s">
        <v>1932</v>
      </c>
      <c r="B865">
        <v>42536</v>
      </c>
      <c r="C865" t="str">
        <f t="shared" si="78"/>
        <v>2016</v>
      </c>
      <c r="D865" t="s">
        <v>1251</v>
      </c>
      <c r="E865" t="s">
        <v>1080</v>
      </c>
      <c r="F865" t="s">
        <v>257</v>
      </c>
      <c r="G865" t="s">
        <v>258</v>
      </c>
      <c r="H865" t="s">
        <v>241</v>
      </c>
      <c r="I865" t="s">
        <v>284</v>
      </c>
      <c r="J865" t="s">
        <v>279</v>
      </c>
      <c r="K865" t="s">
        <v>421</v>
      </c>
      <c r="L865" t="s">
        <v>245</v>
      </c>
      <c r="M865" t="s">
        <v>246</v>
      </c>
      <c r="N865" t="s">
        <v>247</v>
      </c>
      <c r="O865">
        <v>42538</v>
      </c>
      <c r="P865">
        <v>13.88</v>
      </c>
      <c r="Q865">
        <v>22.38</v>
      </c>
      <c r="R865">
        <f t="shared" si="79"/>
        <v>8.4999999999999982</v>
      </c>
      <c r="S865">
        <v>11</v>
      </c>
      <c r="T865">
        <f t="shared" si="80"/>
        <v>246.17999999999998</v>
      </c>
      <c r="U865">
        <v>0.01</v>
      </c>
      <c r="V865">
        <f t="shared" si="81"/>
        <v>2.4617999999999998</v>
      </c>
      <c r="W865">
        <f t="shared" si="82"/>
        <v>243.71819999999997</v>
      </c>
      <c r="X865">
        <v>15.1</v>
      </c>
      <c r="Y865">
        <f t="shared" si="83"/>
        <v>258.81819999999999</v>
      </c>
    </row>
    <row r="866" spans="1:25" x14ac:dyDescent="0.25">
      <c r="A866" t="s">
        <v>1933</v>
      </c>
      <c r="B866">
        <v>42536</v>
      </c>
      <c r="C866" t="str">
        <f t="shared" si="78"/>
        <v>2016</v>
      </c>
      <c r="D866" t="s">
        <v>495</v>
      </c>
      <c r="E866" t="s">
        <v>402</v>
      </c>
      <c r="F866" t="s">
        <v>257</v>
      </c>
      <c r="G866" t="s">
        <v>258</v>
      </c>
      <c r="H866" t="s">
        <v>259</v>
      </c>
      <c r="I866" t="s">
        <v>333</v>
      </c>
      <c r="J866" t="s">
        <v>294</v>
      </c>
      <c r="K866" t="s">
        <v>276</v>
      </c>
      <c r="L866" t="s">
        <v>245</v>
      </c>
      <c r="M866" t="s">
        <v>253</v>
      </c>
      <c r="N866" t="s">
        <v>263</v>
      </c>
      <c r="O866">
        <v>42538</v>
      </c>
      <c r="P866">
        <v>0.9</v>
      </c>
      <c r="Q866">
        <v>2.1</v>
      </c>
      <c r="R866">
        <f t="shared" si="79"/>
        <v>1.2000000000000002</v>
      </c>
      <c r="S866">
        <v>31</v>
      </c>
      <c r="T866">
        <f t="shared" si="80"/>
        <v>65.100000000000009</v>
      </c>
      <c r="U866">
        <v>0.08</v>
      </c>
      <c r="V866">
        <f t="shared" si="81"/>
        <v>5.2080000000000011</v>
      </c>
      <c r="W866">
        <f t="shared" si="82"/>
        <v>59.89200000000001</v>
      </c>
      <c r="X866">
        <v>0.7</v>
      </c>
      <c r="Y866">
        <f t="shared" si="83"/>
        <v>60.592000000000013</v>
      </c>
    </row>
    <row r="867" spans="1:25" x14ac:dyDescent="0.25">
      <c r="A867" t="s">
        <v>1934</v>
      </c>
      <c r="B867">
        <v>42539</v>
      </c>
      <c r="C867" t="str">
        <f t="shared" si="78"/>
        <v>2016</v>
      </c>
      <c r="D867" t="s">
        <v>1888</v>
      </c>
      <c r="E867" t="s">
        <v>467</v>
      </c>
      <c r="F867" t="s">
        <v>257</v>
      </c>
      <c r="G867" t="s">
        <v>258</v>
      </c>
      <c r="H867" t="s">
        <v>241</v>
      </c>
      <c r="I867" t="s">
        <v>342</v>
      </c>
      <c r="J867" t="s">
        <v>279</v>
      </c>
      <c r="K867" t="s">
        <v>343</v>
      </c>
      <c r="L867" t="s">
        <v>268</v>
      </c>
      <c r="M867" t="s">
        <v>246</v>
      </c>
      <c r="N867" t="s">
        <v>247</v>
      </c>
      <c r="O867">
        <v>42541</v>
      </c>
      <c r="P867">
        <v>81.59</v>
      </c>
      <c r="Q867">
        <v>159.99</v>
      </c>
      <c r="R867">
        <f t="shared" si="79"/>
        <v>78.400000000000006</v>
      </c>
      <c r="S867">
        <v>31</v>
      </c>
      <c r="T867">
        <f t="shared" si="80"/>
        <v>4959.6900000000005</v>
      </c>
      <c r="U867">
        <v>0.01</v>
      </c>
      <c r="V867">
        <f t="shared" si="81"/>
        <v>49.596900000000005</v>
      </c>
      <c r="W867">
        <f t="shared" si="82"/>
        <v>4910.0931</v>
      </c>
      <c r="X867">
        <v>5.5</v>
      </c>
      <c r="Y867">
        <f t="shared" si="83"/>
        <v>4915.5931</v>
      </c>
    </row>
    <row r="868" spans="1:25" x14ac:dyDescent="0.25">
      <c r="A868" t="s">
        <v>1935</v>
      </c>
      <c r="B868">
        <v>42540</v>
      </c>
      <c r="C868" t="str">
        <f t="shared" si="78"/>
        <v>2016</v>
      </c>
      <c r="D868" t="s">
        <v>1936</v>
      </c>
      <c r="E868" t="s">
        <v>1418</v>
      </c>
      <c r="F868" t="s">
        <v>257</v>
      </c>
      <c r="G868" t="s">
        <v>258</v>
      </c>
      <c r="H868" t="s">
        <v>274</v>
      </c>
      <c r="I868" t="s">
        <v>309</v>
      </c>
      <c r="J868" t="s">
        <v>304</v>
      </c>
      <c r="K868" t="s">
        <v>718</v>
      </c>
      <c r="L868" t="s">
        <v>245</v>
      </c>
      <c r="M868" t="s">
        <v>323</v>
      </c>
      <c r="N868" t="s">
        <v>247</v>
      </c>
      <c r="O868">
        <v>42541</v>
      </c>
      <c r="P868">
        <v>2.5</v>
      </c>
      <c r="Q868">
        <v>5.68</v>
      </c>
      <c r="R868">
        <f t="shared" si="79"/>
        <v>3.1799999999999997</v>
      </c>
      <c r="S868">
        <v>27</v>
      </c>
      <c r="T868">
        <f t="shared" si="80"/>
        <v>153.35999999999999</v>
      </c>
      <c r="U868">
        <v>0.03</v>
      </c>
      <c r="V868">
        <f t="shared" si="81"/>
        <v>4.6007999999999996</v>
      </c>
      <c r="W868">
        <f t="shared" si="82"/>
        <v>148.75919999999999</v>
      </c>
      <c r="X868">
        <v>3.6</v>
      </c>
      <c r="Y868">
        <f t="shared" si="83"/>
        <v>152.35919999999999</v>
      </c>
    </row>
    <row r="869" spans="1:25" x14ac:dyDescent="0.25">
      <c r="A869" t="s">
        <v>1937</v>
      </c>
      <c r="B869">
        <v>42541</v>
      </c>
      <c r="C869" t="str">
        <f t="shared" si="78"/>
        <v>2016</v>
      </c>
      <c r="D869" t="s">
        <v>1938</v>
      </c>
      <c r="E869" t="s">
        <v>1348</v>
      </c>
      <c r="F869" t="s">
        <v>257</v>
      </c>
      <c r="G869" t="s">
        <v>258</v>
      </c>
      <c r="H869" t="s">
        <v>274</v>
      </c>
      <c r="I869" t="s">
        <v>492</v>
      </c>
      <c r="J869" t="s">
        <v>243</v>
      </c>
      <c r="K869" t="s">
        <v>425</v>
      </c>
      <c r="L869" t="s">
        <v>245</v>
      </c>
      <c r="M869" t="s">
        <v>253</v>
      </c>
      <c r="N869" t="s">
        <v>247</v>
      </c>
      <c r="O869">
        <v>42542</v>
      </c>
      <c r="P869">
        <v>21.56</v>
      </c>
      <c r="Q869">
        <v>36.549999999999997</v>
      </c>
      <c r="R869">
        <f t="shared" si="79"/>
        <v>14.989999999999998</v>
      </c>
      <c r="S869">
        <v>34</v>
      </c>
      <c r="T869">
        <f t="shared" si="80"/>
        <v>1242.6999999999998</v>
      </c>
      <c r="U869">
        <v>0.1</v>
      </c>
      <c r="V869">
        <f t="shared" si="81"/>
        <v>124.26999999999998</v>
      </c>
      <c r="W869">
        <f t="shared" si="82"/>
        <v>1118.4299999999998</v>
      </c>
      <c r="X869">
        <v>13.89</v>
      </c>
      <c r="Y869">
        <f t="shared" si="83"/>
        <v>1132.32</v>
      </c>
    </row>
    <row r="870" spans="1:25" x14ac:dyDescent="0.25">
      <c r="A870" t="s">
        <v>1939</v>
      </c>
      <c r="B870">
        <v>42541</v>
      </c>
      <c r="C870" t="str">
        <f t="shared" si="78"/>
        <v>2016</v>
      </c>
      <c r="D870" t="s">
        <v>1027</v>
      </c>
      <c r="E870" t="s">
        <v>727</v>
      </c>
      <c r="F870" t="s">
        <v>257</v>
      </c>
      <c r="G870" t="s">
        <v>258</v>
      </c>
      <c r="H870" t="s">
        <v>274</v>
      </c>
      <c r="I870" t="s">
        <v>333</v>
      </c>
      <c r="J870" t="s">
        <v>304</v>
      </c>
      <c r="K870" t="s">
        <v>630</v>
      </c>
      <c r="L870" t="s">
        <v>245</v>
      </c>
      <c r="M870" t="s">
        <v>253</v>
      </c>
      <c r="N870" t="s">
        <v>263</v>
      </c>
      <c r="O870">
        <v>42541</v>
      </c>
      <c r="P870">
        <v>1.53</v>
      </c>
      <c r="Q870">
        <v>2.78</v>
      </c>
      <c r="R870">
        <f t="shared" si="79"/>
        <v>1.2499999999999998</v>
      </c>
      <c r="S870">
        <v>47</v>
      </c>
      <c r="T870">
        <f t="shared" si="80"/>
        <v>130.66</v>
      </c>
      <c r="U870">
        <v>0.1</v>
      </c>
      <c r="V870">
        <f t="shared" si="81"/>
        <v>13.066000000000001</v>
      </c>
      <c r="W870">
        <f t="shared" si="82"/>
        <v>117.59399999999999</v>
      </c>
      <c r="X870">
        <v>1.34</v>
      </c>
      <c r="Y870">
        <f t="shared" si="83"/>
        <v>118.934</v>
      </c>
    </row>
    <row r="871" spans="1:25" x14ac:dyDescent="0.25">
      <c r="A871" t="s">
        <v>1940</v>
      </c>
      <c r="B871">
        <v>42541</v>
      </c>
      <c r="C871" t="str">
        <f t="shared" si="78"/>
        <v>2016</v>
      </c>
      <c r="D871" t="s">
        <v>1027</v>
      </c>
      <c r="E871" t="s">
        <v>727</v>
      </c>
      <c r="F871" t="s">
        <v>257</v>
      </c>
      <c r="G871" t="s">
        <v>258</v>
      </c>
      <c r="H871" t="s">
        <v>274</v>
      </c>
      <c r="I871" t="s">
        <v>333</v>
      </c>
      <c r="J871" t="s">
        <v>304</v>
      </c>
      <c r="K871" t="s">
        <v>529</v>
      </c>
      <c r="L871" t="s">
        <v>245</v>
      </c>
      <c r="M871" t="s">
        <v>253</v>
      </c>
      <c r="N871" t="s">
        <v>247</v>
      </c>
      <c r="O871">
        <v>42544</v>
      </c>
      <c r="P871">
        <v>1.6</v>
      </c>
      <c r="Q871">
        <v>2.62</v>
      </c>
      <c r="R871">
        <f t="shared" si="79"/>
        <v>1.02</v>
      </c>
      <c r="S871">
        <v>30</v>
      </c>
      <c r="T871">
        <f t="shared" si="80"/>
        <v>78.600000000000009</v>
      </c>
      <c r="U871">
        <v>0.05</v>
      </c>
      <c r="V871">
        <f t="shared" si="81"/>
        <v>3.9300000000000006</v>
      </c>
      <c r="W871">
        <f t="shared" si="82"/>
        <v>74.67</v>
      </c>
      <c r="X871">
        <v>0.8</v>
      </c>
      <c r="Y871">
        <f t="shared" si="83"/>
        <v>75.47</v>
      </c>
    </row>
    <row r="872" spans="1:25" x14ac:dyDescent="0.25">
      <c r="A872" t="s">
        <v>1941</v>
      </c>
      <c r="B872">
        <v>42546</v>
      </c>
      <c r="C872" t="str">
        <f t="shared" si="78"/>
        <v>2016</v>
      </c>
      <c r="D872" t="s">
        <v>1227</v>
      </c>
      <c r="E872" t="s">
        <v>760</v>
      </c>
      <c r="F872" t="s">
        <v>448</v>
      </c>
      <c r="G872" t="s">
        <v>449</v>
      </c>
      <c r="H872" t="s">
        <v>259</v>
      </c>
      <c r="I872" t="s">
        <v>333</v>
      </c>
      <c r="J872" t="s">
        <v>294</v>
      </c>
      <c r="K872" t="s">
        <v>519</v>
      </c>
      <c r="L872" t="s">
        <v>245</v>
      </c>
      <c r="M872" t="s">
        <v>253</v>
      </c>
      <c r="N872" t="s">
        <v>247</v>
      </c>
      <c r="O872">
        <v>42548</v>
      </c>
      <c r="P872">
        <v>2.9</v>
      </c>
      <c r="Q872">
        <v>4.76</v>
      </c>
      <c r="R872">
        <f t="shared" si="79"/>
        <v>1.8599999999999999</v>
      </c>
      <c r="S872">
        <v>5</v>
      </c>
      <c r="T872">
        <f t="shared" si="80"/>
        <v>23.799999999999997</v>
      </c>
      <c r="U872">
        <v>0.09</v>
      </c>
      <c r="V872">
        <f t="shared" si="81"/>
        <v>2.1419999999999995</v>
      </c>
      <c r="W872">
        <f t="shared" si="82"/>
        <v>21.657999999999998</v>
      </c>
      <c r="X872">
        <v>0.88</v>
      </c>
      <c r="Y872">
        <f t="shared" si="83"/>
        <v>22.537999999999997</v>
      </c>
    </row>
    <row r="873" spans="1:25" x14ac:dyDescent="0.25">
      <c r="A873" t="s">
        <v>1942</v>
      </c>
      <c r="B873">
        <v>42549</v>
      </c>
      <c r="C873" t="str">
        <f t="shared" si="78"/>
        <v>2016</v>
      </c>
      <c r="D873" t="s">
        <v>858</v>
      </c>
      <c r="E873" t="s">
        <v>650</v>
      </c>
      <c r="F873" t="s">
        <v>257</v>
      </c>
      <c r="G873" t="s">
        <v>258</v>
      </c>
      <c r="H873" t="s">
        <v>259</v>
      </c>
      <c r="I873" t="s">
        <v>299</v>
      </c>
      <c r="J873" t="s">
        <v>304</v>
      </c>
      <c r="K873" t="s">
        <v>625</v>
      </c>
      <c r="L873" t="s">
        <v>245</v>
      </c>
      <c r="M873" t="s">
        <v>246</v>
      </c>
      <c r="N873" t="s">
        <v>247</v>
      </c>
      <c r="O873">
        <v>42551</v>
      </c>
      <c r="P873">
        <v>1.84</v>
      </c>
      <c r="Q873">
        <v>2.88</v>
      </c>
      <c r="R873">
        <f t="shared" si="79"/>
        <v>1.0399999999999998</v>
      </c>
      <c r="S873">
        <v>25</v>
      </c>
      <c r="T873">
        <f t="shared" si="80"/>
        <v>72</v>
      </c>
      <c r="U873">
        <v>0.04</v>
      </c>
      <c r="V873">
        <f t="shared" si="81"/>
        <v>2.88</v>
      </c>
      <c r="W873">
        <f t="shared" si="82"/>
        <v>69.12</v>
      </c>
      <c r="X873">
        <v>1.49</v>
      </c>
      <c r="Y873">
        <f t="shared" si="83"/>
        <v>70.61</v>
      </c>
    </row>
    <row r="874" spans="1:25" x14ac:dyDescent="0.25">
      <c r="A874" t="s">
        <v>1943</v>
      </c>
      <c r="B874">
        <v>42550</v>
      </c>
      <c r="C874" t="str">
        <f t="shared" si="78"/>
        <v>2016</v>
      </c>
      <c r="D874" t="s">
        <v>1793</v>
      </c>
      <c r="E874" t="s">
        <v>1794</v>
      </c>
      <c r="F874" t="s">
        <v>448</v>
      </c>
      <c r="G874" t="s">
        <v>449</v>
      </c>
      <c r="H874" t="s">
        <v>293</v>
      </c>
      <c r="I874" t="s">
        <v>284</v>
      </c>
      <c r="J874" t="s">
        <v>279</v>
      </c>
      <c r="K874" t="s">
        <v>698</v>
      </c>
      <c r="L874" t="s">
        <v>245</v>
      </c>
      <c r="M874" t="s">
        <v>253</v>
      </c>
      <c r="N874" t="s">
        <v>263</v>
      </c>
      <c r="O874">
        <v>42555</v>
      </c>
      <c r="P874">
        <v>3.32</v>
      </c>
      <c r="Q874">
        <v>5.18</v>
      </c>
      <c r="R874">
        <f t="shared" si="79"/>
        <v>1.8599999999999999</v>
      </c>
      <c r="S874">
        <v>1</v>
      </c>
      <c r="T874">
        <f t="shared" si="80"/>
        <v>5.18</v>
      </c>
      <c r="U874">
        <v>0.02</v>
      </c>
      <c r="V874">
        <f t="shared" si="81"/>
        <v>0.1036</v>
      </c>
      <c r="W874">
        <f t="shared" si="82"/>
        <v>5.0763999999999996</v>
      </c>
      <c r="X874">
        <v>2.04</v>
      </c>
      <c r="Y874">
        <f t="shared" si="83"/>
        <v>7.1163999999999996</v>
      </c>
    </row>
    <row r="875" spans="1:25" x14ac:dyDescent="0.25">
      <c r="A875" t="s">
        <v>1944</v>
      </c>
      <c r="B875">
        <v>42550</v>
      </c>
      <c r="C875" t="str">
        <f t="shared" si="78"/>
        <v>2016</v>
      </c>
      <c r="D875" t="s">
        <v>1793</v>
      </c>
      <c r="E875" t="s">
        <v>1794</v>
      </c>
      <c r="F875" t="s">
        <v>448</v>
      </c>
      <c r="G875" t="s">
        <v>449</v>
      </c>
      <c r="H875" t="s">
        <v>293</v>
      </c>
      <c r="I875" t="s">
        <v>284</v>
      </c>
      <c r="J875" t="s">
        <v>279</v>
      </c>
      <c r="K875" t="s">
        <v>600</v>
      </c>
      <c r="L875" t="s">
        <v>245</v>
      </c>
      <c r="M875" t="s">
        <v>253</v>
      </c>
      <c r="N875" t="s">
        <v>247</v>
      </c>
      <c r="O875">
        <v>42554</v>
      </c>
      <c r="P875">
        <v>2.98</v>
      </c>
      <c r="Q875">
        <v>5.84</v>
      </c>
      <c r="R875">
        <f t="shared" si="79"/>
        <v>2.86</v>
      </c>
      <c r="S875">
        <v>4</v>
      </c>
      <c r="T875">
        <f t="shared" si="80"/>
        <v>23.36</v>
      </c>
      <c r="U875">
        <v>0.09</v>
      </c>
      <c r="V875">
        <f t="shared" si="81"/>
        <v>2.1023999999999998</v>
      </c>
      <c r="W875">
        <f t="shared" si="82"/>
        <v>21.2576</v>
      </c>
      <c r="X875">
        <v>0.83</v>
      </c>
      <c r="Y875">
        <f t="shared" si="83"/>
        <v>22.087599999999998</v>
      </c>
    </row>
    <row r="876" spans="1:25" x14ac:dyDescent="0.25">
      <c r="A876" t="s">
        <v>1945</v>
      </c>
      <c r="B876">
        <v>42550</v>
      </c>
      <c r="C876" t="str">
        <f t="shared" si="78"/>
        <v>2016</v>
      </c>
      <c r="D876" t="s">
        <v>1528</v>
      </c>
      <c r="E876" t="s">
        <v>341</v>
      </c>
      <c r="F876" t="s">
        <v>257</v>
      </c>
      <c r="G876" t="s">
        <v>258</v>
      </c>
      <c r="H876" t="s">
        <v>259</v>
      </c>
      <c r="I876" t="s">
        <v>342</v>
      </c>
      <c r="J876" t="s">
        <v>261</v>
      </c>
      <c r="K876" t="s">
        <v>872</v>
      </c>
      <c r="L876" t="s">
        <v>245</v>
      </c>
      <c r="M876" t="s">
        <v>246</v>
      </c>
      <c r="N876" t="s">
        <v>247</v>
      </c>
      <c r="O876">
        <v>42552</v>
      </c>
      <c r="P876">
        <v>3.14</v>
      </c>
      <c r="Q876">
        <v>4.91</v>
      </c>
      <c r="R876">
        <f t="shared" si="79"/>
        <v>1.77</v>
      </c>
      <c r="S876">
        <v>28</v>
      </c>
      <c r="T876">
        <f t="shared" si="80"/>
        <v>137.48000000000002</v>
      </c>
      <c r="U876">
        <v>0.08</v>
      </c>
      <c r="V876">
        <f t="shared" si="81"/>
        <v>10.998400000000002</v>
      </c>
      <c r="W876">
        <f t="shared" si="82"/>
        <v>126.48160000000001</v>
      </c>
      <c r="X876">
        <v>0.5</v>
      </c>
      <c r="Y876">
        <f t="shared" si="83"/>
        <v>126.98160000000001</v>
      </c>
    </row>
    <row r="877" spans="1:25" x14ac:dyDescent="0.25">
      <c r="A877" t="s">
        <v>1946</v>
      </c>
      <c r="B877">
        <v>42551</v>
      </c>
      <c r="C877" t="str">
        <f t="shared" si="78"/>
        <v>2016</v>
      </c>
      <c r="D877" t="s">
        <v>1947</v>
      </c>
      <c r="E877" t="s">
        <v>352</v>
      </c>
      <c r="F877" t="s">
        <v>257</v>
      </c>
      <c r="G877" t="s">
        <v>258</v>
      </c>
      <c r="H877" t="s">
        <v>274</v>
      </c>
      <c r="I877" t="s">
        <v>275</v>
      </c>
      <c r="J877" t="s">
        <v>279</v>
      </c>
      <c r="K877" t="s">
        <v>421</v>
      </c>
      <c r="L877" t="s">
        <v>245</v>
      </c>
      <c r="M877" t="s">
        <v>246</v>
      </c>
      <c r="N877" t="s">
        <v>247</v>
      </c>
      <c r="O877">
        <v>42553</v>
      </c>
      <c r="P877">
        <v>13.88</v>
      </c>
      <c r="Q877">
        <v>22.38</v>
      </c>
      <c r="R877">
        <f t="shared" si="79"/>
        <v>8.4999999999999982</v>
      </c>
      <c r="S877">
        <v>9</v>
      </c>
      <c r="T877">
        <f t="shared" si="80"/>
        <v>201.42</v>
      </c>
      <c r="U877">
        <v>0.03</v>
      </c>
      <c r="V877">
        <f t="shared" si="81"/>
        <v>6.0425999999999993</v>
      </c>
      <c r="W877">
        <f t="shared" si="82"/>
        <v>195.37739999999999</v>
      </c>
      <c r="X877">
        <v>15.1</v>
      </c>
      <c r="Y877">
        <f t="shared" si="83"/>
        <v>210.47739999999999</v>
      </c>
    </row>
    <row r="878" spans="1:25" x14ac:dyDescent="0.25">
      <c r="A878" t="s">
        <v>1948</v>
      </c>
      <c r="B878">
        <v>42551</v>
      </c>
      <c r="C878" t="str">
        <f t="shared" si="78"/>
        <v>2016</v>
      </c>
      <c r="D878" t="s">
        <v>1090</v>
      </c>
      <c r="E878" t="s">
        <v>835</v>
      </c>
      <c r="F878" t="s">
        <v>257</v>
      </c>
      <c r="G878" t="s">
        <v>258</v>
      </c>
      <c r="H878" t="s">
        <v>259</v>
      </c>
      <c r="I878" t="s">
        <v>284</v>
      </c>
      <c r="J878" t="s">
        <v>243</v>
      </c>
      <c r="K878" t="s">
        <v>582</v>
      </c>
      <c r="L878" t="s">
        <v>245</v>
      </c>
      <c r="M878" t="s">
        <v>253</v>
      </c>
      <c r="N878" t="s">
        <v>247</v>
      </c>
      <c r="O878">
        <v>42552</v>
      </c>
      <c r="P878">
        <v>0.24</v>
      </c>
      <c r="Q878">
        <v>1.26</v>
      </c>
      <c r="R878">
        <f t="shared" si="79"/>
        <v>1.02</v>
      </c>
      <c r="S878">
        <v>47</v>
      </c>
      <c r="T878">
        <f t="shared" si="80"/>
        <v>59.22</v>
      </c>
      <c r="U878">
        <v>0</v>
      </c>
      <c r="V878">
        <f t="shared" si="81"/>
        <v>0</v>
      </c>
      <c r="W878">
        <f t="shared" si="82"/>
        <v>59.22</v>
      </c>
      <c r="X878">
        <v>0.7</v>
      </c>
      <c r="Y878">
        <f t="shared" si="83"/>
        <v>59.92</v>
      </c>
    </row>
    <row r="879" spans="1:25" x14ac:dyDescent="0.25">
      <c r="A879" t="s">
        <v>1949</v>
      </c>
      <c r="B879">
        <v>42553</v>
      </c>
      <c r="C879" t="str">
        <f t="shared" si="78"/>
        <v>2016</v>
      </c>
      <c r="D879" t="s">
        <v>1441</v>
      </c>
      <c r="E879" t="s">
        <v>928</v>
      </c>
      <c r="F879" t="s">
        <v>257</v>
      </c>
      <c r="G879" t="s">
        <v>258</v>
      </c>
      <c r="H879" t="s">
        <v>241</v>
      </c>
      <c r="I879" t="s">
        <v>284</v>
      </c>
      <c r="J879" t="s">
        <v>243</v>
      </c>
      <c r="K879" t="s">
        <v>1119</v>
      </c>
      <c r="L879" t="s">
        <v>245</v>
      </c>
      <c r="M879" t="s">
        <v>246</v>
      </c>
      <c r="N879" t="s">
        <v>247</v>
      </c>
      <c r="O879">
        <v>42555</v>
      </c>
      <c r="P879">
        <v>1.84</v>
      </c>
      <c r="Q879">
        <v>2.88</v>
      </c>
      <c r="R879">
        <f t="shared" si="79"/>
        <v>1.0399999999999998</v>
      </c>
      <c r="S879">
        <v>18</v>
      </c>
      <c r="T879">
        <f t="shared" si="80"/>
        <v>51.839999999999996</v>
      </c>
      <c r="U879">
        <v>0.03</v>
      </c>
      <c r="V879">
        <f t="shared" si="81"/>
        <v>1.5551999999999999</v>
      </c>
      <c r="W879">
        <f t="shared" si="82"/>
        <v>50.284799999999997</v>
      </c>
      <c r="X879">
        <v>0.99</v>
      </c>
      <c r="Y879">
        <f t="shared" si="83"/>
        <v>51.274799999999999</v>
      </c>
    </row>
    <row r="880" spans="1:25" x14ac:dyDescent="0.25">
      <c r="A880" t="s">
        <v>1950</v>
      </c>
      <c r="B880">
        <v>42553</v>
      </c>
      <c r="C880" t="str">
        <f t="shared" si="78"/>
        <v>2016</v>
      </c>
      <c r="D880" t="s">
        <v>1458</v>
      </c>
      <c r="E880" t="s">
        <v>898</v>
      </c>
      <c r="F880" t="s">
        <v>257</v>
      </c>
      <c r="G880" t="s">
        <v>258</v>
      </c>
      <c r="H880" t="s">
        <v>259</v>
      </c>
      <c r="I880" t="s">
        <v>260</v>
      </c>
      <c r="J880" t="s">
        <v>261</v>
      </c>
      <c r="K880" t="s">
        <v>529</v>
      </c>
      <c r="L880" t="s">
        <v>245</v>
      </c>
      <c r="M880" t="s">
        <v>253</v>
      </c>
      <c r="N880" t="s">
        <v>247</v>
      </c>
      <c r="O880">
        <v>42555</v>
      </c>
      <c r="P880">
        <v>1.6</v>
      </c>
      <c r="Q880">
        <v>2.62</v>
      </c>
      <c r="R880">
        <f t="shared" si="79"/>
        <v>1.02</v>
      </c>
      <c r="S880">
        <v>16</v>
      </c>
      <c r="T880">
        <f t="shared" si="80"/>
        <v>41.92</v>
      </c>
      <c r="U880">
        <v>0.09</v>
      </c>
      <c r="V880">
        <f t="shared" si="81"/>
        <v>3.7728000000000002</v>
      </c>
      <c r="W880">
        <f t="shared" si="82"/>
        <v>38.147199999999998</v>
      </c>
      <c r="X880">
        <v>0.8</v>
      </c>
      <c r="Y880">
        <f t="shared" si="83"/>
        <v>38.947199999999995</v>
      </c>
    </row>
    <row r="881" spans="1:25" x14ac:dyDescent="0.25">
      <c r="A881" t="s">
        <v>1951</v>
      </c>
      <c r="B881">
        <v>42553</v>
      </c>
      <c r="C881" t="str">
        <f t="shared" si="78"/>
        <v>2016</v>
      </c>
      <c r="D881" t="s">
        <v>1952</v>
      </c>
      <c r="E881" t="s">
        <v>424</v>
      </c>
      <c r="F881" t="s">
        <v>257</v>
      </c>
      <c r="G881" t="s">
        <v>258</v>
      </c>
      <c r="H881" t="s">
        <v>241</v>
      </c>
      <c r="I881" t="s">
        <v>299</v>
      </c>
      <c r="J881" t="s">
        <v>279</v>
      </c>
      <c r="K881" t="s">
        <v>439</v>
      </c>
      <c r="L881" t="s">
        <v>440</v>
      </c>
      <c r="M881" t="s">
        <v>323</v>
      </c>
      <c r="N881" t="s">
        <v>247</v>
      </c>
      <c r="O881">
        <v>42560</v>
      </c>
      <c r="P881">
        <v>5.5</v>
      </c>
      <c r="Q881">
        <v>12.22</v>
      </c>
      <c r="R881">
        <f t="shared" si="79"/>
        <v>6.7200000000000006</v>
      </c>
      <c r="S881">
        <v>46</v>
      </c>
      <c r="T881">
        <f t="shared" si="80"/>
        <v>562.12</v>
      </c>
      <c r="U881">
        <v>0.03</v>
      </c>
      <c r="V881">
        <f t="shared" si="81"/>
        <v>16.863599999999998</v>
      </c>
      <c r="W881">
        <f t="shared" si="82"/>
        <v>545.25639999999999</v>
      </c>
      <c r="X881">
        <v>2.85</v>
      </c>
      <c r="Y881">
        <f t="shared" si="83"/>
        <v>548.10640000000001</v>
      </c>
    </row>
    <row r="882" spans="1:25" x14ac:dyDescent="0.25">
      <c r="A882" t="s">
        <v>1953</v>
      </c>
      <c r="B882">
        <v>42554</v>
      </c>
      <c r="C882" t="str">
        <f t="shared" si="78"/>
        <v>2016</v>
      </c>
      <c r="D882" t="s">
        <v>885</v>
      </c>
      <c r="E882" t="s">
        <v>463</v>
      </c>
      <c r="F882" t="s">
        <v>257</v>
      </c>
      <c r="G882" t="s">
        <v>258</v>
      </c>
      <c r="H882" t="s">
        <v>241</v>
      </c>
      <c r="I882" t="s">
        <v>333</v>
      </c>
      <c r="J882" t="s">
        <v>304</v>
      </c>
      <c r="K882" t="s">
        <v>1051</v>
      </c>
      <c r="L882" t="s">
        <v>245</v>
      </c>
      <c r="M882" t="s">
        <v>253</v>
      </c>
      <c r="N882" t="s">
        <v>247</v>
      </c>
      <c r="O882">
        <v>42556</v>
      </c>
      <c r="P882">
        <v>0.87</v>
      </c>
      <c r="Q882">
        <v>1.81</v>
      </c>
      <c r="R882">
        <f t="shared" si="79"/>
        <v>0.94000000000000006</v>
      </c>
      <c r="S882">
        <v>50</v>
      </c>
      <c r="T882">
        <f t="shared" si="80"/>
        <v>90.5</v>
      </c>
      <c r="U882">
        <v>0.08</v>
      </c>
      <c r="V882">
        <f t="shared" si="81"/>
        <v>7.24</v>
      </c>
      <c r="W882">
        <f t="shared" si="82"/>
        <v>83.26</v>
      </c>
      <c r="X882">
        <v>0.75</v>
      </c>
      <c r="Y882">
        <f t="shared" si="83"/>
        <v>84.01</v>
      </c>
    </row>
    <row r="883" spans="1:25" x14ac:dyDescent="0.25">
      <c r="A883" t="s">
        <v>1954</v>
      </c>
      <c r="B883">
        <v>42556</v>
      </c>
      <c r="C883" t="str">
        <f t="shared" si="78"/>
        <v>2016</v>
      </c>
      <c r="D883" t="s">
        <v>874</v>
      </c>
      <c r="E883" t="s">
        <v>438</v>
      </c>
      <c r="F883" t="s">
        <v>257</v>
      </c>
      <c r="G883" t="s">
        <v>258</v>
      </c>
      <c r="H883" t="s">
        <v>241</v>
      </c>
      <c r="I883" t="s">
        <v>309</v>
      </c>
      <c r="J883" t="s">
        <v>294</v>
      </c>
      <c r="K883" t="s">
        <v>634</v>
      </c>
      <c r="L883" t="s">
        <v>245</v>
      </c>
      <c r="M883" t="s">
        <v>246</v>
      </c>
      <c r="N883" t="s">
        <v>263</v>
      </c>
      <c r="O883">
        <v>42558</v>
      </c>
      <c r="P883">
        <v>2.2599999999999998</v>
      </c>
      <c r="Q883">
        <v>3.58</v>
      </c>
      <c r="R883">
        <f t="shared" si="79"/>
        <v>1.3200000000000003</v>
      </c>
      <c r="S883">
        <v>36</v>
      </c>
      <c r="T883">
        <f t="shared" si="80"/>
        <v>128.88</v>
      </c>
      <c r="U883">
        <v>0.04</v>
      </c>
      <c r="V883">
        <f t="shared" si="81"/>
        <v>5.1551999999999998</v>
      </c>
      <c r="W883">
        <f t="shared" si="82"/>
        <v>123.7248</v>
      </c>
      <c r="X883">
        <v>5.47</v>
      </c>
      <c r="Y883">
        <f t="shared" si="83"/>
        <v>129.19480000000001</v>
      </c>
    </row>
    <row r="884" spans="1:25" x14ac:dyDescent="0.25">
      <c r="A884" t="s">
        <v>1955</v>
      </c>
      <c r="B884">
        <v>42558</v>
      </c>
      <c r="C884" t="str">
        <f t="shared" si="78"/>
        <v>2016</v>
      </c>
      <c r="D884" t="s">
        <v>1956</v>
      </c>
      <c r="E884" t="s">
        <v>420</v>
      </c>
      <c r="F884" t="s">
        <v>239</v>
      </c>
      <c r="G884" t="s">
        <v>240</v>
      </c>
      <c r="H884" t="s">
        <v>241</v>
      </c>
      <c r="I884" t="s">
        <v>251</v>
      </c>
      <c r="J884" t="s">
        <v>243</v>
      </c>
      <c r="K884" t="s">
        <v>289</v>
      </c>
      <c r="L884" t="s">
        <v>245</v>
      </c>
      <c r="M884" t="s">
        <v>253</v>
      </c>
      <c r="N884" t="s">
        <v>247</v>
      </c>
      <c r="O884">
        <v>42559</v>
      </c>
      <c r="P884">
        <v>1.0900000000000001</v>
      </c>
      <c r="Q884">
        <v>1.68</v>
      </c>
      <c r="R884">
        <f t="shared" si="79"/>
        <v>0.58999999999999986</v>
      </c>
      <c r="S884">
        <v>50</v>
      </c>
      <c r="T884">
        <f t="shared" si="80"/>
        <v>84</v>
      </c>
      <c r="U884">
        <v>0.09</v>
      </c>
      <c r="V884">
        <f t="shared" si="81"/>
        <v>7.56</v>
      </c>
      <c r="W884">
        <f t="shared" si="82"/>
        <v>76.44</v>
      </c>
      <c r="X884">
        <v>1</v>
      </c>
      <c r="Y884">
        <f t="shared" si="83"/>
        <v>77.44</v>
      </c>
    </row>
    <row r="885" spans="1:25" x14ac:dyDescent="0.25">
      <c r="A885" t="s">
        <v>1957</v>
      </c>
      <c r="B885">
        <v>42562</v>
      </c>
      <c r="C885" t="str">
        <f t="shared" si="78"/>
        <v>2016</v>
      </c>
      <c r="D885" t="s">
        <v>1958</v>
      </c>
      <c r="E885" t="s">
        <v>273</v>
      </c>
      <c r="F885" t="s">
        <v>257</v>
      </c>
      <c r="G885" t="s">
        <v>258</v>
      </c>
      <c r="H885" t="s">
        <v>241</v>
      </c>
      <c r="I885" t="s">
        <v>275</v>
      </c>
      <c r="J885" t="s">
        <v>304</v>
      </c>
      <c r="K885" t="s">
        <v>485</v>
      </c>
      <c r="L885" t="s">
        <v>245</v>
      </c>
      <c r="M885" t="s">
        <v>253</v>
      </c>
      <c r="N885" t="s">
        <v>247</v>
      </c>
      <c r="O885">
        <v>42563</v>
      </c>
      <c r="P885">
        <v>3.48</v>
      </c>
      <c r="Q885">
        <v>5.43</v>
      </c>
      <c r="R885">
        <f t="shared" si="79"/>
        <v>1.9499999999999997</v>
      </c>
      <c r="S885">
        <v>2</v>
      </c>
      <c r="T885">
        <f t="shared" si="80"/>
        <v>10.86</v>
      </c>
      <c r="U885">
        <v>0.03</v>
      </c>
      <c r="V885">
        <f t="shared" si="81"/>
        <v>0.32579999999999998</v>
      </c>
      <c r="W885">
        <f t="shared" si="82"/>
        <v>10.5342</v>
      </c>
      <c r="X885">
        <v>0.95</v>
      </c>
      <c r="Y885">
        <f t="shared" si="83"/>
        <v>11.4842</v>
      </c>
    </row>
    <row r="886" spans="1:25" x14ac:dyDescent="0.25">
      <c r="A886" t="s">
        <v>1959</v>
      </c>
      <c r="B886">
        <v>42563</v>
      </c>
      <c r="C886" t="str">
        <f t="shared" si="78"/>
        <v>2016</v>
      </c>
      <c r="D886" t="s">
        <v>1960</v>
      </c>
      <c r="E886" t="s">
        <v>1001</v>
      </c>
      <c r="F886" t="s">
        <v>239</v>
      </c>
      <c r="G886" t="s">
        <v>240</v>
      </c>
      <c r="H886" t="s">
        <v>293</v>
      </c>
      <c r="I886" t="s">
        <v>251</v>
      </c>
      <c r="J886" t="s">
        <v>304</v>
      </c>
      <c r="K886" t="s">
        <v>603</v>
      </c>
      <c r="L886" t="s">
        <v>245</v>
      </c>
      <c r="M886" t="s">
        <v>246</v>
      </c>
      <c r="N886" t="s">
        <v>247</v>
      </c>
      <c r="O886">
        <v>42564</v>
      </c>
      <c r="P886">
        <v>3.65</v>
      </c>
      <c r="Q886">
        <v>5.98</v>
      </c>
      <c r="R886">
        <f t="shared" si="79"/>
        <v>2.3300000000000005</v>
      </c>
      <c r="S886">
        <v>22</v>
      </c>
      <c r="T886">
        <f t="shared" si="80"/>
        <v>131.56</v>
      </c>
      <c r="U886">
        <v>7.0000000000000007E-2</v>
      </c>
      <c r="V886">
        <f t="shared" si="81"/>
        <v>9.2092000000000009</v>
      </c>
      <c r="W886">
        <f t="shared" si="82"/>
        <v>122.35080000000001</v>
      </c>
      <c r="X886">
        <v>1.49</v>
      </c>
      <c r="Y886">
        <f t="shared" si="83"/>
        <v>123.8408</v>
      </c>
    </row>
    <row r="887" spans="1:25" x14ac:dyDescent="0.25">
      <c r="A887" t="s">
        <v>1961</v>
      </c>
      <c r="B887">
        <v>42567</v>
      </c>
      <c r="C887" t="str">
        <f t="shared" si="78"/>
        <v>2016</v>
      </c>
      <c r="D887" t="s">
        <v>733</v>
      </c>
      <c r="E887" t="s">
        <v>367</v>
      </c>
      <c r="F887" t="s">
        <v>239</v>
      </c>
      <c r="G887" t="s">
        <v>240</v>
      </c>
      <c r="H887" t="s">
        <v>241</v>
      </c>
      <c r="I887" t="s">
        <v>251</v>
      </c>
      <c r="J887" t="s">
        <v>243</v>
      </c>
      <c r="K887" t="s">
        <v>377</v>
      </c>
      <c r="L887" t="s">
        <v>268</v>
      </c>
      <c r="M887" t="s">
        <v>246</v>
      </c>
      <c r="N887" t="s">
        <v>247</v>
      </c>
      <c r="O887">
        <v>42569</v>
      </c>
      <c r="P887">
        <v>32.020000000000003</v>
      </c>
      <c r="Q887">
        <v>152.47999999999999</v>
      </c>
      <c r="R887">
        <f t="shared" si="79"/>
        <v>120.45999999999998</v>
      </c>
      <c r="S887">
        <v>2</v>
      </c>
      <c r="T887">
        <f t="shared" si="80"/>
        <v>304.95999999999998</v>
      </c>
      <c r="U887">
        <v>0.03</v>
      </c>
      <c r="V887">
        <f t="shared" si="81"/>
        <v>9.1487999999999996</v>
      </c>
      <c r="W887">
        <f t="shared" si="82"/>
        <v>295.81119999999999</v>
      </c>
      <c r="X887">
        <v>4</v>
      </c>
      <c r="Y887">
        <f t="shared" si="83"/>
        <v>299.81119999999999</v>
      </c>
    </row>
    <row r="888" spans="1:25" x14ac:dyDescent="0.25">
      <c r="A888" t="s">
        <v>1962</v>
      </c>
      <c r="B888">
        <v>42568</v>
      </c>
      <c r="C888" t="str">
        <f t="shared" si="78"/>
        <v>2016</v>
      </c>
      <c r="D888" t="s">
        <v>1206</v>
      </c>
      <c r="E888" t="s">
        <v>1207</v>
      </c>
      <c r="F888" t="s">
        <v>448</v>
      </c>
      <c r="G888" t="s">
        <v>449</v>
      </c>
      <c r="H888" t="s">
        <v>259</v>
      </c>
      <c r="I888" t="s">
        <v>299</v>
      </c>
      <c r="J888" t="s">
        <v>294</v>
      </c>
      <c r="K888" t="s">
        <v>849</v>
      </c>
      <c r="L888" t="s">
        <v>245</v>
      </c>
      <c r="M888" t="s">
        <v>253</v>
      </c>
      <c r="N888" t="s">
        <v>247</v>
      </c>
      <c r="O888">
        <v>42569</v>
      </c>
      <c r="P888">
        <v>0.93</v>
      </c>
      <c r="Q888">
        <v>1.6</v>
      </c>
      <c r="R888">
        <f t="shared" si="79"/>
        <v>0.67</v>
      </c>
      <c r="S888">
        <v>39</v>
      </c>
      <c r="T888">
        <f t="shared" si="80"/>
        <v>62.400000000000006</v>
      </c>
      <c r="U888">
        <v>0.1</v>
      </c>
      <c r="V888">
        <f t="shared" si="81"/>
        <v>6.2400000000000011</v>
      </c>
      <c r="W888">
        <f t="shared" si="82"/>
        <v>56.160000000000004</v>
      </c>
      <c r="X888">
        <v>1.29</v>
      </c>
      <c r="Y888">
        <f t="shared" si="83"/>
        <v>57.45</v>
      </c>
    </row>
    <row r="889" spans="1:25" x14ac:dyDescent="0.25">
      <c r="A889" t="s">
        <v>1963</v>
      </c>
      <c r="B889">
        <v>42578</v>
      </c>
      <c r="C889" t="str">
        <f t="shared" si="78"/>
        <v>2016</v>
      </c>
      <c r="D889" t="s">
        <v>1579</v>
      </c>
      <c r="E889" t="s">
        <v>1479</v>
      </c>
      <c r="F889" t="s">
        <v>257</v>
      </c>
      <c r="G889" t="s">
        <v>258</v>
      </c>
      <c r="H889" t="s">
        <v>241</v>
      </c>
      <c r="I889" t="s">
        <v>309</v>
      </c>
      <c r="J889" t="s">
        <v>261</v>
      </c>
      <c r="K889" t="s">
        <v>1964</v>
      </c>
      <c r="L889" t="s">
        <v>268</v>
      </c>
      <c r="M889" t="s">
        <v>647</v>
      </c>
      <c r="N889" t="s">
        <v>247</v>
      </c>
      <c r="O889">
        <v>42580</v>
      </c>
      <c r="P889">
        <v>269.99</v>
      </c>
      <c r="Q889">
        <v>449.99</v>
      </c>
      <c r="R889">
        <f t="shared" si="79"/>
        <v>180</v>
      </c>
      <c r="S889">
        <v>3</v>
      </c>
      <c r="T889">
        <f t="shared" si="80"/>
        <v>1349.97</v>
      </c>
      <c r="U889">
        <v>0.06</v>
      </c>
      <c r="V889">
        <f t="shared" si="81"/>
        <v>80.998199999999997</v>
      </c>
      <c r="W889">
        <f t="shared" si="82"/>
        <v>1268.9718</v>
      </c>
      <c r="X889">
        <v>24.49</v>
      </c>
      <c r="Y889">
        <f t="shared" si="83"/>
        <v>1293.4618</v>
      </c>
    </row>
    <row r="890" spans="1:25" x14ac:dyDescent="0.25">
      <c r="A890" t="s">
        <v>1965</v>
      </c>
      <c r="B890">
        <v>42579</v>
      </c>
      <c r="C890" t="str">
        <f t="shared" si="78"/>
        <v>2016</v>
      </c>
      <c r="D890" t="s">
        <v>1433</v>
      </c>
      <c r="E890" t="s">
        <v>467</v>
      </c>
      <c r="F890" t="s">
        <v>257</v>
      </c>
      <c r="G890" t="s">
        <v>258</v>
      </c>
      <c r="H890" t="s">
        <v>241</v>
      </c>
      <c r="I890" t="s">
        <v>342</v>
      </c>
      <c r="J890" t="s">
        <v>304</v>
      </c>
      <c r="K890" t="s">
        <v>421</v>
      </c>
      <c r="L890" t="s">
        <v>245</v>
      </c>
      <c r="M890" t="s">
        <v>246</v>
      </c>
      <c r="N890" t="s">
        <v>247</v>
      </c>
      <c r="O890">
        <v>42581</v>
      </c>
      <c r="P890">
        <v>13.88</v>
      </c>
      <c r="Q890">
        <v>22.38</v>
      </c>
      <c r="R890">
        <f t="shared" si="79"/>
        <v>8.4999999999999982</v>
      </c>
      <c r="S890">
        <v>18</v>
      </c>
      <c r="T890">
        <f t="shared" si="80"/>
        <v>402.84</v>
      </c>
      <c r="U890">
        <v>0.05</v>
      </c>
      <c r="V890">
        <f t="shared" si="81"/>
        <v>20.141999999999999</v>
      </c>
      <c r="W890">
        <f t="shared" si="82"/>
        <v>382.69799999999998</v>
      </c>
      <c r="X890">
        <v>15.1</v>
      </c>
      <c r="Y890">
        <f t="shared" si="83"/>
        <v>397.798</v>
      </c>
    </row>
    <row r="891" spans="1:25" x14ac:dyDescent="0.25">
      <c r="A891" t="s">
        <v>1966</v>
      </c>
      <c r="B891">
        <v>42584</v>
      </c>
      <c r="C891" t="str">
        <f t="shared" si="78"/>
        <v>2016</v>
      </c>
      <c r="D891" t="s">
        <v>1035</v>
      </c>
      <c r="E891" t="s">
        <v>938</v>
      </c>
      <c r="F891" t="s">
        <v>239</v>
      </c>
      <c r="G891" t="s">
        <v>240</v>
      </c>
      <c r="H891" t="s">
        <v>241</v>
      </c>
      <c r="I891" t="s">
        <v>242</v>
      </c>
      <c r="J891" t="s">
        <v>294</v>
      </c>
      <c r="K891" t="s">
        <v>508</v>
      </c>
      <c r="L891" t="s">
        <v>245</v>
      </c>
      <c r="M891" t="s">
        <v>246</v>
      </c>
      <c r="N891" t="s">
        <v>247</v>
      </c>
      <c r="O891">
        <v>42586</v>
      </c>
      <c r="P891">
        <v>178.83</v>
      </c>
      <c r="Q891">
        <v>415.88</v>
      </c>
      <c r="R891">
        <f t="shared" si="79"/>
        <v>237.04999999999998</v>
      </c>
      <c r="S891">
        <v>4</v>
      </c>
      <c r="T891">
        <f t="shared" si="80"/>
        <v>1663.52</v>
      </c>
      <c r="U891">
        <v>0.04</v>
      </c>
      <c r="V891">
        <f t="shared" si="81"/>
        <v>66.540800000000004</v>
      </c>
      <c r="W891">
        <f t="shared" si="82"/>
        <v>1596.9792</v>
      </c>
      <c r="X891">
        <v>11.37</v>
      </c>
      <c r="Y891">
        <f t="shared" si="83"/>
        <v>1608.3491999999999</v>
      </c>
    </row>
    <row r="892" spans="1:25" x14ac:dyDescent="0.25">
      <c r="A892" t="s">
        <v>1967</v>
      </c>
      <c r="B892">
        <v>42585</v>
      </c>
      <c r="C892" t="str">
        <f t="shared" si="78"/>
        <v>2016</v>
      </c>
      <c r="D892" t="s">
        <v>1968</v>
      </c>
      <c r="E892" t="s">
        <v>341</v>
      </c>
      <c r="F892" t="s">
        <v>257</v>
      </c>
      <c r="G892" t="s">
        <v>258</v>
      </c>
      <c r="H892" t="s">
        <v>293</v>
      </c>
      <c r="I892" t="s">
        <v>342</v>
      </c>
      <c r="J892" t="s">
        <v>294</v>
      </c>
      <c r="K892" t="s">
        <v>387</v>
      </c>
      <c r="L892" t="s">
        <v>245</v>
      </c>
      <c r="M892" t="s">
        <v>323</v>
      </c>
      <c r="N892" t="s">
        <v>247</v>
      </c>
      <c r="O892">
        <v>42586</v>
      </c>
      <c r="P892">
        <v>4.79</v>
      </c>
      <c r="Q892">
        <v>11.97</v>
      </c>
      <c r="R892">
        <f t="shared" si="79"/>
        <v>7.1800000000000006</v>
      </c>
      <c r="S892">
        <v>49</v>
      </c>
      <c r="T892">
        <f t="shared" si="80"/>
        <v>586.53000000000009</v>
      </c>
      <c r="U892">
        <v>0.09</v>
      </c>
      <c r="V892">
        <f t="shared" si="81"/>
        <v>52.787700000000008</v>
      </c>
      <c r="W892">
        <f t="shared" si="82"/>
        <v>533.74230000000011</v>
      </c>
      <c r="X892">
        <v>5.81</v>
      </c>
      <c r="Y892">
        <f t="shared" si="83"/>
        <v>539.55230000000006</v>
      </c>
    </row>
    <row r="893" spans="1:25" x14ac:dyDescent="0.25">
      <c r="A893" t="s">
        <v>1969</v>
      </c>
      <c r="B893">
        <v>42586</v>
      </c>
      <c r="C893" t="str">
        <f t="shared" si="78"/>
        <v>2016</v>
      </c>
      <c r="D893" t="s">
        <v>1970</v>
      </c>
      <c r="E893" t="s">
        <v>650</v>
      </c>
      <c r="F893" t="s">
        <v>257</v>
      </c>
      <c r="G893" t="s">
        <v>258</v>
      </c>
      <c r="H893" t="s">
        <v>259</v>
      </c>
      <c r="I893" t="s">
        <v>299</v>
      </c>
      <c r="J893" t="s">
        <v>243</v>
      </c>
      <c r="K893" t="s">
        <v>586</v>
      </c>
      <c r="L893" t="s">
        <v>268</v>
      </c>
      <c r="M893" t="s">
        <v>246</v>
      </c>
      <c r="N893" t="s">
        <v>247</v>
      </c>
      <c r="O893">
        <v>42588</v>
      </c>
      <c r="P893">
        <v>54.52</v>
      </c>
      <c r="Q893">
        <v>100.97</v>
      </c>
      <c r="R893">
        <f t="shared" si="79"/>
        <v>46.449999999999996</v>
      </c>
      <c r="S893">
        <v>41</v>
      </c>
      <c r="T893">
        <f t="shared" si="80"/>
        <v>4139.7699999999995</v>
      </c>
      <c r="U893">
        <v>0.03</v>
      </c>
      <c r="V893">
        <f t="shared" si="81"/>
        <v>124.19309999999999</v>
      </c>
      <c r="W893">
        <f t="shared" si="82"/>
        <v>4015.5768999999996</v>
      </c>
      <c r="X893">
        <v>7.18</v>
      </c>
      <c r="Y893">
        <f t="shared" si="83"/>
        <v>4022.7568999999994</v>
      </c>
    </row>
    <row r="894" spans="1:25" x14ac:dyDescent="0.25">
      <c r="A894" t="s">
        <v>1971</v>
      </c>
      <c r="B894">
        <v>42587</v>
      </c>
      <c r="C894" t="str">
        <f t="shared" si="78"/>
        <v>2016</v>
      </c>
      <c r="D894" t="s">
        <v>506</v>
      </c>
      <c r="E894" t="s">
        <v>507</v>
      </c>
      <c r="F894" t="s">
        <v>257</v>
      </c>
      <c r="G894" t="s">
        <v>258</v>
      </c>
      <c r="H894" t="s">
        <v>259</v>
      </c>
      <c r="I894" t="s">
        <v>381</v>
      </c>
      <c r="J894" t="s">
        <v>243</v>
      </c>
      <c r="K894" t="s">
        <v>630</v>
      </c>
      <c r="L894" t="s">
        <v>245</v>
      </c>
      <c r="M894" t="s">
        <v>253</v>
      </c>
      <c r="N894" t="s">
        <v>247</v>
      </c>
      <c r="O894">
        <v>42588</v>
      </c>
      <c r="P894">
        <v>1.17</v>
      </c>
      <c r="Q894">
        <v>2.78</v>
      </c>
      <c r="R894">
        <f t="shared" si="79"/>
        <v>1.6099999999999999</v>
      </c>
      <c r="S894">
        <v>6</v>
      </c>
      <c r="T894">
        <f t="shared" si="80"/>
        <v>16.68</v>
      </c>
      <c r="U894">
        <v>0.01</v>
      </c>
      <c r="V894">
        <f t="shared" si="81"/>
        <v>0.1668</v>
      </c>
      <c r="W894">
        <f t="shared" si="82"/>
        <v>16.513200000000001</v>
      </c>
      <c r="X894">
        <v>1.2</v>
      </c>
      <c r="Y894">
        <f t="shared" si="83"/>
        <v>17.713200000000001</v>
      </c>
    </row>
    <row r="895" spans="1:25" x14ac:dyDescent="0.25">
      <c r="A895" t="s">
        <v>1972</v>
      </c>
      <c r="B895">
        <v>42589</v>
      </c>
      <c r="C895" t="str">
        <f t="shared" si="78"/>
        <v>2016</v>
      </c>
      <c r="D895" t="s">
        <v>1973</v>
      </c>
      <c r="E895" t="s">
        <v>409</v>
      </c>
      <c r="F895" t="s">
        <v>257</v>
      </c>
      <c r="G895" t="s">
        <v>258</v>
      </c>
      <c r="H895" t="s">
        <v>274</v>
      </c>
      <c r="I895" t="s">
        <v>342</v>
      </c>
      <c r="J895" t="s">
        <v>294</v>
      </c>
      <c r="K895" t="s">
        <v>986</v>
      </c>
      <c r="L895" t="s">
        <v>245</v>
      </c>
      <c r="M895" t="s">
        <v>246</v>
      </c>
      <c r="N895" t="s">
        <v>247</v>
      </c>
      <c r="O895">
        <v>42590</v>
      </c>
      <c r="P895">
        <v>52.04</v>
      </c>
      <c r="Q895">
        <v>83.93</v>
      </c>
      <c r="R895">
        <f t="shared" si="79"/>
        <v>31.890000000000008</v>
      </c>
      <c r="S895">
        <v>37</v>
      </c>
      <c r="T895">
        <f t="shared" si="80"/>
        <v>3105.4100000000003</v>
      </c>
      <c r="U895">
        <v>0.03</v>
      </c>
      <c r="V895">
        <f t="shared" si="81"/>
        <v>93.162300000000002</v>
      </c>
      <c r="W895">
        <f t="shared" si="82"/>
        <v>3012.2477000000003</v>
      </c>
      <c r="X895">
        <v>19.989999999999998</v>
      </c>
      <c r="Y895">
        <f t="shared" si="83"/>
        <v>3032.2377000000001</v>
      </c>
    </row>
    <row r="896" spans="1:25" x14ac:dyDescent="0.25">
      <c r="A896" t="s">
        <v>1974</v>
      </c>
      <c r="B896">
        <v>42590</v>
      </c>
      <c r="C896" t="str">
        <f t="shared" si="78"/>
        <v>2016</v>
      </c>
      <c r="D896" t="s">
        <v>1975</v>
      </c>
      <c r="E896" t="s">
        <v>393</v>
      </c>
      <c r="F896" t="s">
        <v>257</v>
      </c>
      <c r="G896" t="s">
        <v>258</v>
      </c>
      <c r="H896" t="s">
        <v>241</v>
      </c>
      <c r="I896" t="s">
        <v>342</v>
      </c>
      <c r="J896" t="s">
        <v>243</v>
      </c>
      <c r="K896" t="s">
        <v>688</v>
      </c>
      <c r="L896" t="s">
        <v>245</v>
      </c>
      <c r="M896" t="s">
        <v>246</v>
      </c>
      <c r="N896" t="s">
        <v>247</v>
      </c>
      <c r="O896">
        <v>42591</v>
      </c>
      <c r="P896">
        <v>2.4500000000000002</v>
      </c>
      <c r="Q896">
        <v>3.89</v>
      </c>
      <c r="R896">
        <f t="shared" si="79"/>
        <v>1.44</v>
      </c>
      <c r="S896">
        <v>18</v>
      </c>
      <c r="T896">
        <f t="shared" si="80"/>
        <v>70.02</v>
      </c>
      <c r="U896">
        <v>0.04</v>
      </c>
      <c r="V896">
        <f t="shared" si="81"/>
        <v>2.8007999999999997</v>
      </c>
      <c r="W896">
        <f t="shared" si="82"/>
        <v>67.219200000000001</v>
      </c>
      <c r="X896">
        <v>7.01</v>
      </c>
      <c r="Y896">
        <f t="shared" si="83"/>
        <v>74.229200000000006</v>
      </c>
    </row>
    <row r="897" spans="1:25" x14ac:dyDescent="0.25">
      <c r="A897" t="s">
        <v>1976</v>
      </c>
      <c r="B897">
        <v>42593</v>
      </c>
      <c r="C897" t="str">
        <f t="shared" si="78"/>
        <v>2016</v>
      </c>
      <c r="D897" t="s">
        <v>1737</v>
      </c>
      <c r="E897" t="s">
        <v>532</v>
      </c>
      <c r="F897" t="s">
        <v>257</v>
      </c>
      <c r="G897" t="s">
        <v>258</v>
      </c>
      <c r="H897" t="s">
        <v>274</v>
      </c>
      <c r="I897" t="s">
        <v>260</v>
      </c>
      <c r="J897" t="s">
        <v>243</v>
      </c>
      <c r="K897" t="s">
        <v>799</v>
      </c>
      <c r="L897" t="s">
        <v>245</v>
      </c>
      <c r="M897" t="s">
        <v>246</v>
      </c>
      <c r="N897" t="s">
        <v>247</v>
      </c>
      <c r="O897">
        <v>42595</v>
      </c>
      <c r="P897">
        <v>2.29</v>
      </c>
      <c r="Q897">
        <v>3.69</v>
      </c>
      <c r="R897">
        <f t="shared" si="79"/>
        <v>1.4</v>
      </c>
      <c r="S897">
        <v>13</v>
      </c>
      <c r="T897">
        <f t="shared" si="80"/>
        <v>47.97</v>
      </c>
      <c r="U897">
        <v>0.04</v>
      </c>
      <c r="V897">
        <f t="shared" si="81"/>
        <v>1.9188000000000001</v>
      </c>
      <c r="W897">
        <f t="shared" si="82"/>
        <v>46.051200000000001</v>
      </c>
      <c r="X897">
        <v>0.5</v>
      </c>
      <c r="Y897">
        <f t="shared" si="83"/>
        <v>46.551200000000001</v>
      </c>
    </row>
    <row r="898" spans="1:25" x14ac:dyDescent="0.25">
      <c r="A898" t="s">
        <v>1977</v>
      </c>
      <c r="B898">
        <v>42593</v>
      </c>
      <c r="C898" t="str">
        <f t="shared" si="78"/>
        <v>2016</v>
      </c>
      <c r="D898" t="s">
        <v>1706</v>
      </c>
      <c r="E898" t="s">
        <v>1290</v>
      </c>
      <c r="F898" t="s">
        <v>257</v>
      </c>
      <c r="G898" t="s">
        <v>258</v>
      </c>
      <c r="H898" t="s">
        <v>259</v>
      </c>
      <c r="I898" t="s">
        <v>260</v>
      </c>
      <c r="J898" t="s">
        <v>304</v>
      </c>
      <c r="K898" t="s">
        <v>582</v>
      </c>
      <c r="L898" t="s">
        <v>245</v>
      </c>
      <c r="M898" t="s">
        <v>253</v>
      </c>
      <c r="N898" t="s">
        <v>247</v>
      </c>
      <c r="O898">
        <v>42595</v>
      </c>
      <c r="P898">
        <v>0.24</v>
      </c>
      <c r="Q898">
        <v>1.26</v>
      </c>
      <c r="R898">
        <f t="shared" si="79"/>
        <v>1.02</v>
      </c>
      <c r="S898">
        <v>34</v>
      </c>
      <c r="T898">
        <f t="shared" si="80"/>
        <v>42.84</v>
      </c>
      <c r="U898">
        <v>0</v>
      </c>
      <c r="V898">
        <f t="shared" si="81"/>
        <v>0</v>
      </c>
      <c r="W898">
        <f t="shared" si="82"/>
        <v>42.84</v>
      </c>
      <c r="X898">
        <v>0.7</v>
      </c>
      <c r="Y898">
        <f t="shared" si="83"/>
        <v>43.540000000000006</v>
      </c>
    </row>
    <row r="899" spans="1:25" x14ac:dyDescent="0.25">
      <c r="A899" t="s">
        <v>1978</v>
      </c>
      <c r="B899">
        <v>42597</v>
      </c>
      <c r="C899" t="str">
        <f t="shared" si="78"/>
        <v>2016</v>
      </c>
      <c r="D899" t="s">
        <v>1355</v>
      </c>
      <c r="E899" t="s">
        <v>673</v>
      </c>
      <c r="F899" t="s">
        <v>257</v>
      </c>
      <c r="G899" t="s">
        <v>258</v>
      </c>
      <c r="H899" t="s">
        <v>259</v>
      </c>
      <c r="I899" t="s">
        <v>372</v>
      </c>
      <c r="J899" t="s">
        <v>279</v>
      </c>
      <c r="K899" t="s">
        <v>688</v>
      </c>
      <c r="L899" t="s">
        <v>245</v>
      </c>
      <c r="M899" t="s">
        <v>246</v>
      </c>
      <c r="N899" t="s">
        <v>263</v>
      </c>
      <c r="O899">
        <v>42602</v>
      </c>
      <c r="P899">
        <v>2.4500000000000002</v>
      </c>
      <c r="Q899">
        <v>3.89</v>
      </c>
      <c r="R899">
        <f t="shared" si="79"/>
        <v>1.44</v>
      </c>
      <c r="S899">
        <v>30</v>
      </c>
      <c r="T899">
        <f t="shared" si="80"/>
        <v>116.7</v>
      </c>
      <c r="U899">
        <v>0.09</v>
      </c>
      <c r="V899">
        <f t="shared" si="81"/>
        <v>10.503</v>
      </c>
      <c r="W899">
        <f t="shared" si="82"/>
        <v>106.197</v>
      </c>
      <c r="X899">
        <v>7.01</v>
      </c>
      <c r="Y899">
        <f t="shared" si="83"/>
        <v>113.20700000000001</v>
      </c>
    </row>
    <row r="900" spans="1:25" x14ac:dyDescent="0.25">
      <c r="A900" t="s">
        <v>1979</v>
      </c>
      <c r="B900">
        <v>42599</v>
      </c>
      <c r="C900" t="str">
        <f t="shared" si="78"/>
        <v>2016</v>
      </c>
      <c r="D900" t="s">
        <v>1284</v>
      </c>
      <c r="E900" t="s">
        <v>1001</v>
      </c>
      <c r="F900" t="s">
        <v>239</v>
      </c>
      <c r="G900" t="s">
        <v>240</v>
      </c>
      <c r="H900" t="s">
        <v>274</v>
      </c>
      <c r="I900" t="s">
        <v>251</v>
      </c>
      <c r="J900" t="s">
        <v>243</v>
      </c>
      <c r="K900" t="s">
        <v>519</v>
      </c>
      <c r="L900" t="s">
        <v>245</v>
      </c>
      <c r="M900" t="s">
        <v>253</v>
      </c>
      <c r="N900" t="s">
        <v>247</v>
      </c>
      <c r="O900">
        <v>42600</v>
      </c>
      <c r="P900">
        <v>2.9</v>
      </c>
      <c r="Q900">
        <v>4.76</v>
      </c>
      <c r="R900">
        <f t="shared" si="79"/>
        <v>1.8599999999999999</v>
      </c>
      <c r="S900">
        <v>1</v>
      </c>
      <c r="T900">
        <f t="shared" si="80"/>
        <v>4.76</v>
      </c>
      <c r="U900">
        <v>0.02</v>
      </c>
      <c r="V900">
        <f t="shared" si="81"/>
        <v>9.5199999999999993E-2</v>
      </c>
      <c r="W900">
        <f t="shared" si="82"/>
        <v>4.6647999999999996</v>
      </c>
      <c r="X900">
        <v>0.88</v>
      </c>
      <c r="Y900">
        <f t="shared" si="83"/>
        <v>5.5447999999999995</v>
      </c>
    </row>
    <row r="901" spans="1:25" x14ac:dyDescent="0.25">
      <c r="A901" t="s">
        <v>1980</v>
      </c>
      <c r="B901">
        <v>42600</v>
      </c>
      <c r="C901" t="str">
        <f t="shared" si="78"/>
        <v>2016</v>
      </c>
      <c r="D901" t="s">
        <v>1860</v>
      </c>
      <c r="E901" t="s">
        <v>606</v>
      </c>
      <c r="F901" t="s">
        <v>448</v>
      </c>
      <c r="G901" t="s">
        <v>449</v>
      </c>
      <c r="H901" t="s">
        <v>241</v>
      </c>
      <c r="I901" t="s">
        <v>284</v>
      </c>
      <c r="J901" t="s">
        <v>243</v>
      </c>
      <c r="K901" t="s">
        <v>776</v>
      </c>
      <c r="L901" t="s">
        <v>245</v>
      </c>
      <c r="M901" t="s">
        <v>246</v>
      </c>
      <c r="N901" t="s">
        <v>263</v>
      </c>
      <c r="O901">
        <v>42602</v>
      </c>
      <c r="P901">
        <v>4.53</v>
      </c>
      <c r="Q901">
        <v>7.3</v>
      </c>
      <c r="R901">
        <f t="shared" si="79"/>
        <v>2.7699999999999996</v>
      </c>
      <c r="S901">
        <v>41</v>
      </c>
      <c r="T901">
        <f t="shared" si="80"/>
        <v>299.3</v>
      </c>
      <c r="U901">
        <v>0.05</v>
      </c>
      <c r="V901">
        <f t="shared" si="81"/>
        <v>14.965000000000002</v>
      </c>
      <c r="W901">
        <f t="shared" si="82"/>
        <v>284.33500000000004</v>
      </c>
      <c r="X901">
        <v>7.72</v>
      </c>
      <c r="Y901">
        <f t="shared" si="83"/>
        <v>292.05500000000006</v>
      </c>
    </row>
    <row r="902" spans="1:25" x14ac:dyDescent="0.25">
      <c r="A902" t="s">
        <v>1981</v>
      </c>
      <c r="B902">
        <v>42600</v>
      </c>
      <c r="C902" t="str">
        <f t="shared" ref="C902:C965" si="84">TEXT(B902,"yyyy")</f>
        <v>2016</v>
      </c>
      <c r="D902" t="s">
        <v>1718</v>
      </c>
      <c r="E902" t="s">
        <v>356</v>
      </c>
      <c r="F902" t="s">
        <v>239</v>
      </c>
      <c r="G902" t="s">
        <v>240</v>
      </c>
      <c r="H902" t="s">
        <v>241</v>
      </c>
      <c r="I902" t="s">
        <v>251</v>
      </c>
      <c r="J902" t="s">
        <v>279</v>
      </c>
      <c r="K902" t="s">
        <v>472</v>
      </c>
      <c r="L902" t="s">
        <v>245</v>
      </c>
      <c r="M902" t="s">
        <v>246</v>
      </c>
      <c r="N902" t="s">
        <v>247</v>
      </c>
      <c r="O902">
        <v>42604</v>
      </c>
      <c r="P902">
        <v>2.25</v>
      </c>
      <c r="Q902">
        <v>3.69</v>
      </c>
      <c r="R902">
        <f t="shared" ref="R902:R965" si="85">Q902-P902</f>
        <v>1.44</v>
      </c>
      <c r="S902">
        <v>16</v>
      </c>
      <c r="T902">
        <f t="shared" ref="T902:T965" si="86">Q902*S902</f>
        <v>59.04</v>
      </c>
      <c r="U902">
        <v>0.02</v>
      </c>
      <c r="V902">
        <f t="shared" ref="V902:V965" si="87">T902*U902</f>
        <v>1.1808000000000001</v>
      </c>
      <c r="W902">
        <f t="shared" ref="W902:W965" si="88">T902-V902</f>
        <v>57.859200000000001</v>
      </c>
      <c r="X902">
        <v>2.5</v>
      </c>
      <c r="Y902">
        <f t="shared" ref="Y902:Y965" si="89">W902+X902</f>
        <v>60.359200000000001</v>
      </c>
    </row>
    <row r="903" spans="1:25" x14ac:dyDescent="0.25">
      <c r="A903" t="s">
        <v>1982</v>
      </c>
      <c r="B903">
        <v>42602</v>
      </c>
      <c r="C903" t="str">
        <f t="shared" si="84"/>
        <v>2016</v>
      </c>
      <c r="D903" t="s">
        <v>1175</v>
      </c>
      <c r="E903" t="s">
        <v>238</v>
      </c>
      <c r="F903" t="s">
        <v>239</v>
      </c>
      <c r="G903" t="s">
        <v>240</v>
      </c>
      <c r="H903" t="s">
        <v>274</v>
      </c>
      <c r="I903" t="s">
        <v>242</v>
      </c>
      <c r="J903" t="s">
        <v>279</v>
      </c>
      <c r="K903" t="s">
        <v>888</v>
      </c>
      <c r="L903" t="s">
        <v>245</v>
      </c>
      <c r="M903" t="s">
        <v>253</v>
      </c>
      <c r="N903" t="s">
        <v>247</v>
      </c>
      <c r="O903">
        <v>42607</v>
      </c>
      <c r="P903">
        <v>2.31</v>
      </c>
      <c r="Q903">
        <v>3.78</v>
      </c>
      <c r="R903">
        <f t="shared" si="85"/>
        <v>1.4699999999999998</v>
      </c>
      <c r="S903">
        <v>28</v>
      </c>
      <c r="T903">
        <f t="shared" si="86"/>
        <v>105.83999999999999</v>
      </c>
      <c r="U903">
        <v>0.06</v>
      </c>
      <c r="V903">
        <f t="shared" si="87"/>
        <v>6.3503999999999987</v>
      </c>
      <c r="W903">
        <f t="shared" si="88"/>
        <v>99.489599999999996</v>
      </c>
      <c r="X903">
        <v>0.71</v>
      </c>
      <c r="Y903">
        <f t="shared" si="89"/>
        <v>100.19959999999999</v>
      </c>
    </row>
    <row r="904" spans="1:25" x14ac:dyDescent="0.25">
      <c r="A904" t="s">
        <v>1983</v>
      </c>
      <c r="B904">
        <v>42605</v>
      </c>
      <c r="C904" t="str">
        <f t="shared" si="84"/>
        <v>2016</v>
      </c>
      <c r="D904" t="s">
        <v>1164</v>
      </c>
      <c r="E904" t="s">
        <v>1165</v>
      </c>
      <c r="F904" t="s">
        <v>257</v>
      </c>
      <c r="G904" t="s">
        <v>258</v>
      </c>
      <c r="H904" t="s">
        <v>259</v>
      </c>
      <c r="I904" t="s">
        <v>381</v>
      </c>
      <c r="J904" t="s">
        <v>294</v>
      </c>
      <c r="K904" t="s">
        <v>537</v>
      </c>
      <c r="L904" t="s">
        <v>245</v>
      </c>
      <c r="M904" t="s">
        <v>253</v>
      </c>
      <c r="N904" t="s">
        <v>247</v>
      </c>
      <c r="O904">
        <v>42607</v>
      </c>
      <c r="P904">
        <v>11.11</v>
      </c>
      <c r="Q904">
        <v>19.84</v>
      </c>
      <c r="R904">
        <f t="shared" si="85"/>
        <v>8.73</v>
      </c>
      <c r="S904">
        <v>22</v>
      </c>
      <c r="T904">
        <f t="shared" si="86"/>
        <v>436.48</v>
      </c>
      <c r="U904">
        <v>0.06</v>
      </c>
      <c r="V904">
        <f t="shared" si="87"/>
        <v>26.188800000000001</v>
      </c>
      <c r="W904">
        <f t="shared" si="88"/>
        <v>410.2912</v>
      </c>
      <c r="X904">
        <v>4.0999999999999996</v>
      </c>
      <c r="Y904">
        <f t="shared" si="89"/>
        <v>414.39120000000003</v>
      </c>
    </row>
    <row r="905" spans="1:25" x14ac:dyDescent="0.25">
      <c r="A905" t="s">
        <v>1984</v>
      </c>
      <c r="B905">
        <v>42606</v>
      </c>
      <c r="C905" t="str">
        <f t="shared" si="84"/>
        <v>2016</v>
      </c>
      <c r="D905" t="s">
        <v>1281</v>
      </c>
      <c r="E905" t="s">
        <v>1282</v>
      </c>
      <c r="F905" t="s">
        <v>257</v>
      </c>
      <c r="G905" t="s">
        <v>258</v>
      </c>
      <c r="H905" t="s">
        <v>241</v>
      </c>
      <c r="I905" t="s">
        <v>275</v>
      </c>
      <c r="J905" t="s">
        <v>279</v>
      </c>
      <c r="K905" t="s">
        <v>429</v>
      </c>
      <c r="L905" t="s">
        <v>268</v>
      </c>
      <c r="M905" t="s">
        <v>246</v>
      </c>
      <c r="N905" t="s">
        <v>247</v>
      </c>
      <c r="O905">
        <v>42606</v>
      </c>
      <c r="P905">
        <v>19.78</v>
      </c>
      <c r="Q905">
        <v>45.99</v>
      </c>
      <c r="R905">
        <f t="shared" si="85"/>
        <v>26.21</v>
      </c>
      <c r="S905">
        <v>46</v>
      </c>
      <c r="T905">
        <f t="shared" si="86"/>
        <v>2115.54</v>
      </c>
      <c r="U905">
        <v>0.1</v>
      </c>
      <c r="V905">
        <f t="shared" si="87"/>
        <v>211.554</v>
      </c>
      <c r="W905">
        <f t="shared" si="88"/>
        <v>1903.9859999999999</v>
      </c>
      <c r="X905">
        <v>4.99</v>
      </c>
      <c r="Y905">
        <f t="shared" si="89"/>
        <v>1908.9759999999999</v>
      </c>
    </row>
    <row r="906" spans="1:25" x14ac:dyDescent="0.25">
      <c r="A906" t="s">
        <v>1985</v>
      </c>
      <c r="B906">
        <v>42606</v>
      </c>
      <c r="C906" t="str">
        <f t="shared" si="84"/>
        <v>2016</v>
      </c>
      <c r="D906" t="s">
        <v>864</v>
      </c>
      <c r="E906" t="s">
        <v>633</v>
      </c>
      <c r="F906" t="s">
        <v>239</v>
      </c>
      <c r="G906" t="s">
        <v>240</v>
      </c>
      <c r="H906" t="s">
        <v>293</v>
      </c>
      <c r="I906" t="s">
        <v>242</v>
      </c>
      <c r="J906" t="s">
        <v>294</v>
      </c>
      <c r="K906" t="s">
        <v>368</v>
      </c>
      <c r="L906" t="s">
        <v>245</v>
      </c>
      <c r="M906" t="s">
        <v>246</v>
      </c>
      <c r="N906" t="s">
        <v>247</v>
      </c>
      <c r="O906">
        <v>42609</v>
      </c>
      <c r="P906">
        <v>1.59</v>
      </c>
      <c r="Q906">
        <v>2.61</v>
      </c>
      <c r="R906">
        <f t="shared" si="85"/>
        <v>1.0199999999999998</v>
      </c>
      <c r="S906">
        <v>34</v>
      </c>
      <c r="T906">
        <f t="shared" si="86"/>
        <v>88.74</v>
      </c>
      <c r="U906">
        <v>0</v>
      </c>
      <c r="V906">
        <f t="shared" si="87"/>
        <v>0</v>
      </c>
      <c r="W906">
        <f t="shared" si="88"/>
        <v>88.74</v>
      </c>
      <c r="X906">
        <v>0.5</v>
      </c>
      <c r="Y906">
        <f t="shared" si="89"/>
        <v>89.24</v>
      </c>
    </row>
    <row r="907" spans="1:25" x14ac:dyDescent="0.25">
      <c r="A907" t="s">
        <v>1986</v>
      </c>
      <c r="B907">
        <v>42606</v>
      </c>
      <c r="C907" t="str">
        <f t="shared" si="84"/>
        <v>2016</v>
      </c>
      <c r="D907" t="s">
        <v>716</v>
      </c>
      <c r="E907" t="s">
        <v>717</v>
      </c>
      <c r="F907" t="s">
        <v>448</v>
      </c>
      <c r="G907" t="s">
        <v>449</v>
      </c>
      <c r="H907" t="s">
        <v>241</v>
      </c>
      <c r="I907" t="s">
        <v>504</v>
      </c>
      <c r="J907" t="s">
        <v>279</v>
      </c>
      <c r="K907" t="s">
        <v>939</v>
      </c>
      <c r="L907" t="s">
        <v>268</v>
      </c>
      <c r="M907" t="s">
        <v>647</v>
      </c>
      <c r="N907" t="s">
        <v>247</v>
      </c>
      <c r="O907">
        <v>42615</v>
      </c>
      <c r="P907">
        <v>377.99</v>
      </c>
      <c r="Q907">
        <v>599.99</v>
      </c>
      <c r="R907">
        <f t="shared" si="85"/>
        <v>222</v>
      </c>
      <c r="S907">
        <v>16</v>
      </c>
      <c r="T907">
        <f t="shared" si="86"/>
        <v>9599.84</v>
      </c>
      <c r="U907">
        <v>0</v>
      </c>
      <c r="V907">
        <f t="shared" si="87"/>
        <v>0</v>
      </c>
      <c r="W907">
        <f t="shared" si="88"/>
        <v>9599.84</v>
      </c>
      <c r="X907">
        <v>24.49</v>
      </c>
      <c r="Y907">
        <f t="shared" si="89"/>
        <v>9624.33</v>
      </c>
    </row>
    <row r="908" spans="1:25" x14ac:dyDescent="0.25">
      <c r="A908" t="s">
        <v>1987</v>
      </c>
      <c r="B908">
        <v>42606</v>
      </c>
      <c r="C908" t="str">
        <f t="shared" si="84"/>
        <v>2016</v>
      </c>
      <c r="D908" t="s">
        <v>716</v>
      </c>
      <c r="E908" t="s">
        <v>717</v>
      </c>
      <c r="F908" t="s">
        <v>448</v>
      </c>
      <c r="G908" t="s">
        <v>449</v>
      </c>
      <c r="H908" t="s">
        <v>241</v>
      </c>
      <c r="I908" t="s">
        <v>504</v>
      </c>
      <c r="J908" t="s">
        <v>279</v>
      </c>
      <c r="K908" t="s">
        <v>537</v>
      </c>
      <c r="L908" t="s">
        <v>245</v>
      </c>
      <c r="M908" t="s">
        <v>253</v>
      </c>
      <c r="N908" t="s">
        <v>247</v>
      </c>
      <c r="O908">
        <v>42615</v>
      </c>
      <c r="P908">
        <v>11.11</v>
      </c>
      <c r="Q908">
        <v>19.84</v>
      </c>
      <c r="R908">
        <f t="shared" si="85"/>
        <v>8.73</v>
      </c>
      <c r="S908">
        <v>39</v>
      </c>
      <c r="T908">
        <f t="shared" si="86"/>
        <v>773.76</v>
      </c>
      <c r="U908">
        <v>0.01</v>
      </c>
      <c r="V908">
        <f t="shared" si="87"/>
        <v>7.7376000000000005</v>
      </c>
      <c r="W908">
        <f t="shared" si="88"/>
        <v>766.02239999999995</v>
      </c>
      <c r="X908">
        <v>4.0999999999999996</v>
      </c>
      <c r="Y908">
        <f t="shared" si="89"/>
        <v>770.12239999999997</v>
      </c>
    </row>
    <row r="909" spans="1:25" x14ac:dyDescent="0.25">
      <c r="A909" t="s">
        <v>1988</v>
      </c>
      <c r="B909">
        <v>42606</v>
      </c>
      <c r="C909" t="str">
        <f t="shared" si="84"/>
        <v>2016</v>
      </c>
      <c r="D909" t="s">
        <v>1816</v>
      </c>
      <c r="E909" t="s">
        <v>1551</v>
      </c>
      <c r="F909" t="s">
        <v>257</v>
      </c>
      <c r="G909" t="s">
        <v>258</v>
      </c>
      <c r="H909" t="s">
        <v>293</v>
      </c>
      <c r="I909" t="s">
        <v>309</v>
      </c>
      <c r="J909" t="s">
        <v>304</v>
      </c>
      <c r="K909" t="s">
        <v>630</v>
      </c>
      <c r="L909" t="s">
        <v>245</v>
      </c>
      <c r="M909" t="s">
        <v>253</v>
      </c>
      <c r="N909" t="s">
        <v>247</v>
      </c>
      <c r="O909">
        <v>42606</v>
      </c>
      <c r="P909">
        <v>1.53</v>
      </c>
      <c r="Q909">
        <v>2.78</v>
      </c>
      <c r="R909">
        <f t="shared" si="85"/>
        <v>1.2499999999999998</v>
      </c>
      <c r="S909">
        <v>23</v>
      </c>
      <c r="T909">
        <f t="shared" si="86"/>
        <v>63.94</v>
      </c>
      <c r="U909">
        <v>0.01</v>
      </c>
      <c r="V909">
        <f t="shared" si="87"/>
        <v>0.63939999999999997</v>
      </c>
      <c r="W909">
        <f t="shared" si="88"/>
        <v>63.300599999999996</v>
      </c>
      <c r="X909">
        <v>1.34</v>
      </c>
      <c r="Y909">
        <f t="shared" si="89"/>
        <v>64.640599999999992</v>
      </c>
    </row>
    <row r="910" spans="1:25" x14ac:dyDescent="0.25">
      <c r="A910" t="s">
        <v>1989</v>
      </c>
      <c r="B910">
        <v>42606</v>
      </c>
      <c r="C910" t="str">
        <f t="shared" si="84"/>
        <v>2016</v>
      </c>
      <c r="D910" t="s">
        <v>375</v>
      </c>
      <c r="E910" t="s">
        <v>376</v>
      </c>
      <c r="F910" t="s">
        <v>239</v>
      </c>
      <c r="G910" t="s">
        <v>240</v>
      </c>
      <c r="H910" t="s">
        <v>259</v>
      </c>
      <c r="I910" t="s">
        <v>242</v>
      </c>
      <c r="J910" t="s">
        <v>304</v>
      </c>
      <c r="K910" t="s">
        <v>559</v>
      </c>
      <c r="L910" t="s">
        <v>245</v>
      </c>
      <c r="M910" t="s">
        <v>246</v>
      </c>
      <c r="N910" t="s">
        <v>247</v>
      </c>
      <c r="O910">
        <v>42607</v>
      </c>
      <c r="P910">
        <v>16.850000000000001</v>
      </c>
      <c r="Q910">
        <v>27.18</v>
      </c>
      <c r="R910">
        <f t="shared" si="85"/>
        <v>10.329999999999998</v>
      </c>
      <c r="S910">
        <v>50</v>
      </c>
      <c r="T910">
        <f t="shared" si="86"/>
        <v>1359</v>
      </c>
      <c r="U910">
        <v>0.02</v>
      </c>
      <c r="V910">
        <f t="shared" si="87"/>
        <v>27.18</v>
      </c>
      <c r="W910">
        <f t="shared" si="88"/>
        <v>1331.82</v>
      </c>
      <c r="X910">
        <v>8.23</v>
      </c>
      <c r="Y910">
        <f t="shared" si="89"/>
        <v>1340.05</v>
      </c>
    </row>
    <row r="911" spans="1:25" x14ac:dyDescent="0.25">
      <c r="A911" t="s">
        <v>1990</v>
      </c>
      <c r="B911">
        <v>42609</v>
      </c>
      <c r="C911" t="str">
        <f t="shared" si="84"/>
        <v>2016</v>
      </c>
      <c r="D911" t="s">
        <v>1623</v>
      </c>
      <c r="E911" t="s">
        <v>346</v>
      </c>
      <c r="F911" t="s">
        <v>257</v>
      </c>
      <c r="G911" t="s">
        <v>258</v>
      </c>
      <c r="H911" t="s">
        <v>259</v>
      </c>
      <c r="I911" t="s">
        <v>309</v>
      </c>
      <c r="J911" t="s">
        <v>243</v>
      </c>
      <c r="K911" t="s">
        <v>676</v>
      </c>
      <c r="L911" t="s">
        <v>245</v>
      </c>
      <c r="M911" t="s">
        <v>323</v>
      </c>
      <c r="N911" t="s">
        <v>263</v>
      </c>
      <c r="O911">
        <v>42610</v>
      </c>
      <c r="P911">
        <v>5.19</v>
      </c>
      <c r="Q911">
        <v>12.98</v>
      </c>
      <c r="R911">
        <f t="shared" si="85"/>
        <v>7.79</v>
      </c>
      <c r="S911">
        <v>42</v>
      </c>
      <c r="T911">
        <f t="shared" si="86"/>
        <v>545.16</v>
      </c>
      <c r="U911">
        <v>0.05</v>
      </c>
      <c r="V911">
        <f t="shared" si="87"/>
        <v>27.257999999999999</v>
      </c>
      <c r="W911">
        <f t="shared" si="88"/>
        <v>517.90199999999993</v>
      </c>
      <c r="X911">
        <v>3.14</v>
      </c>
      <c r="Y911">
        <f t="shared" si="89"/>
        <v>521.04199999999992</v>
      </c>
    </row>
    <row r="912" spans="1:25" x14ac:dyDescent="0.25">
      <c r="A912" t="s">
        <v>1991</v>
      </c>
      <c r="B912">
        <v>42613</v>
      </c>
      <c r="C912" t="str">
        <f t="shared" si="84"/>
        <v>2016</v>
      </c>
      <c r="D912" t="s">
        <v>1938</v>
      </c>
      <c r="E912" t="s">
        <v>1348</v>
      </c>
      <c r="F912" t="s">
        <v>257</v>
      </c>
      <c r="G912" t="s">
        <v>258</v>
      </c>
      <c r="H912" t="s">
        <v>274</v>
      </c>
      <c r="I912" t="s">
        <v>492</v>
      </c>
      <c r="J912" t="s">
        <v>261</v>
      </c>
      <c r="K912" t="s">
        <v>698</v>
      </c>
      <c r="L912" t="s">
        <v>245</v>
      </c>
      <c r="M912" t="s">
        <v>253</v>
      </c>
      <c r="N912" t="s">
        <v>247</v>
      </c>
      <c r="O912">
        <v>42615</v>
      </c>
      <c r="P912">
        <v>3.32</v>
      </c>
      <c r="Q912">
        <v>5.18</v>
      </c>
      <c r="R912">
        <f t="shared" si="85"/>
        <v>1.8599999999999999</v>
      </c>
      <c r="S912">
        <v>32</v>
      </c>
      <c r="T912">
        <f t="shared" si="86"/>
        <v>165.76</v>
      </c>
      <c r="U912">
        <v>0.06</v>
      </c>
      <c r="V912">
        <f t="shared" si="87"/>
        <v>9.9455999999999989</v>
      </c>
      <c r="W912">
        <f t="shared" si="88"/>
        <v>155.81439999999998</v>
      </c>
      <c r="X912">
        <v>2.04</v>
      </c>
      <c r="Y912">
        <f t="shared" si="89"/>
        <v>157.85439999999997</v>
      </c>
    </row>
    <row r="913" spans="1:25" x14ac:dyDescent="0.25">
      <c r="A913" t="s">
        <v>1992</v>
      </c>
      <c r="B913">
        <v>42616</v>
      </c>
      <c r="C913" t="str">
        <f t="shared" si="84"/>
        <v>2016</v>
      </c>
      <c r="D913" t="s">
        <v>1993</v>
      </c>
      <c r="E913" t="s">
        <v>816</v>
      </c>
      <c r="F913" t="s">
        <v>257</v>
      </c>
      <c r="G913" t="s">
        <v>258</v>
      </c>
      <c r="H913" t="s">
        <v>259</v>
      </c>
      <c r="I913" t="s">
        <v>492</v>
      </c>
      <c r="J913" t="s">
        <v>294</v>
      </c>
      <c r="K913" t="s">
        <v>384</v>
      </c>
      <c r="L913" t="s">
        <v>268</v>
      </c>
      <c r="M913" t="s">
        <v>246</v>
      </c>
      <c r="N913" t="s">
        <v>247</v>
      </c>
      <c r="O913">
        <v>42618</v>
      </c>
      <c r="P913">
        <v>10.07</v>
      </c>
      <c r="Q913">
        <v>15.98</v>
      </c>
      <c r="R913">
        <f t="shared" si="85"/>
        <v>5.91</v>
      </c>
      <c r="S913">
        <v>30</v>
      </c>
      <c r="T913">
        <f t="shared" si="86"/>
        <v>479.40000000000003</v>
      </c>
      <c r="U913">
        <v>0.08</v>
      </c>
      <c r="V913">
        <f t="shared" si="87"/>
        <v>38.352000000000004</v>
      </c>
      <c r="W913">
        <f t="shared" si="88"/>
        <v>441.048</v>
      </c>
      <c r="X913">
        <v>4</v>
      </c>
      <c r="Y913">
        <f t="shared" si="89"/>
        <v>445.048</v>
      </c>
    </row>
    <row r="914" spans="1:25" x14ac:dyDescent="0.25">
      <c r="A914" t="s">
        <v>1994</v>
      </c>
      <c r="B914">
        <v>42617</v>
      </c>
      <c r="C914" t="str">
        <f t="shared" si="84"/>
        <v>2016</v>
      </c>
      <c r="D914" t="s">
        <v>1995</v>
      </c>
      <c r="E914" t="s">
        <v>1165</v>
      </c>
      <c r="F914" t="s">
        <v>257</v>
      </c>
      <c r="G914" t="s">
        <v>258</v>
      </c>
      <c r="H914" t="s">
        <v>293</v>
      </c>
      <c r="I914" t="s">
        <v>381</v>
      </c>
      <c r="J914" t="s">
        <v>304</v>
      </c>
      <c r="K914" t="s">
        <v>460</v>
      </c>
      <c r="L914" t="s">
        <v>245</v>
      </c>
      <c r="M914" t="s">
        <v>246</v>
      </c>
      <c r="N914" t="s">
        <v>247</v>
      </c>
      <c r="O914">
        <v>42620</v>
      </c>
      <c r="P914">
        <v>3.84</v>
      </c>
      <c r="Q914">
        <v>6.3</v>
      </c>
      <c r="R914">
        <f t="shared" si="85"/>
        <v>2.46</v>
      </c>
      <c r="S914">
        <v>40</v>
      </c>
      <c r="T914">
        <f t="shared" si="86"/>
        <v>252</v>
      </c>
      <c r="U914">
        <v>0.04</v>
      </c>
      <c r="V914">
        <f t="shared" si="87"/>
        <v>10.08</v>
      </c>
      <c r="W914">
        <f t="shared" si="88"/>
        <v>241.92</v>
      </c>
      <c r="X914">
        <v>0.5</v>
      </c>
      <c r="Y914">
        <f t="shared" si="89"/>
        <v>242.42</v>
      </c>
    </row>
    <row r="915" spans="1:25" x14ac:dyDescent="0.25">
      <c r="A915" t="s">
        <v>1996</v>
      </c>
      <c r="B915">
        <v>42618</v>
      </c>
      <c r="C915" t="str">
        <f t="shared" si="84"/>
        <v>2016</v>
      </c>
      <c r="D915" t="s">
        <v>791</v>
      </c>
      <c r="E915" t="s">
        <v>775</v>
      </c>
      <c r="F915" t="s">
        <v>257</v>
      </c>
      <c r="G915" t="s">
        <v>258</v>
      </c>
      <c r="H915" t="s">
        <v>274</v>
      </c>
      <c r="I915" t="s">
        <v>381</v>
      </c>
      <c r="J915" t="s">
        <v>304</v>
      </c>
      <c r="K915" t="s">
        <v>888</v>
      </c>
      <c r="L915" t="s">
        <v>245</v>
      </c>
      <c r="M915" t="s">
        <v>253</v>
      </c>
      <c r="N915" t="s">
        <v>247</v>
      </c>
      <c r="O915">
        <v>42620</v>
      </c>
      <c r="P915">
        <v>2.31</v>
      </c>
      <c r="Q915">
        <v>3.78</v>
      </c>
      <c r="R915">
        <f t="shared" si="85"/>
        <v>1.4699999999999998</v>
      </c>
      <c r="S915">
        <v>38</v>
      </c>
      <c r="T915">
        <f t="shared" si="86"/>
        <v>143.63999999999999</v>
      </c>
      <c r="U915">
        <v>0.03</v>
      </c>
      <c r="V915">
        <f t="shared" si="87"/>
        <v>4.3091999999999997</v>
      </c>
      <c r="W915">
        <f t="shared" si="88"/>
        <v>139.33079999999998</v>
      </c>
      <c r="X915">
        <v>0.71</v>
      </c>
      <c r="Y915">
        <f t="shared" si="89"/>
        <v>140.04079999999999</v>
      </c>
    </row>
    <row r="916" spans="1:25" x14ac:dyDescent="0.25">
      <c r="A916" t="s">
        <v>1997</v>
      </c>
      <c r="B916">
        <v>42619</v>
      </c>
      <c r="C916" t="str">
        <f t="shared" si="84"/>
        <v>2016</v>
      </c>
      <c r="D916" t="s">
        <v>916</v>
      </c>
      <c r="E916" t="s">
        <v>727</v>
      </c>
      <c r="F916" t="s">
        <v>257</v>
      </c>
      <c r="G916" t="s">
        <v>258</v>
      </c>
      <c r="H916" t="s">
        <v>241</v>
      </c>
      <c r="I916" t="s">
        <v>333</v>
      </c>
      <c r="J916" t="s">
        <v>304</v>
      </c>
      <c r="K916" t="s">
        <v>761</v>
      </c>
      <c r="L916" t="s">
        <v>268</v>
      </c>
      <c r="M916" t="s">
        <v>246</v>
      </c>
      <c r="N916" t="s">
        <v>263</v>
      </c>
      <c r="O916">
        <v>42621</v>
      </c>
      <c r="P916">
        <v>62.4</v>
      </c>
      <c r="Q916">
        <v>155.99</v>
      </c>
      <c r="R916">
        <f t="shared" si="85"/>
        <v>93.59</v>
      </c>
      <c r="S916">
        <v>22</v>
      </c>
      <c r="T916">
        <f t="shared" si="86"/>
        <v>3431.78</v>
      </c>
      <c r="U916">
        <v>0.02</v>
      </c>
      <c r="V916">
        <f t="shared" si="87"/>
        <v>68.635600000000011</v>
      </c>
      <c r="W916">
        <f t="shared" si="88"/>
        <v>3363.1444000000001</v>
      </c>
      <c r="X916">
        <v>8.08</v>
      </c>
      <c r="Y916">
        <f t="shared" si="89"/>
        <v>3371.2244000000001</v>
      </c>
    </row>
    <row r="917" spans="1:25" x14ac:dyDescent="0.25">
      <c r="A917" t="s">
        <v>1998</v>
      </c>
      <c r="B917">
        <v>42619</v>
      </c>
      <c r="C917" t="str">
        <f t="shared" si="84"/>
        <v>2016</v>
      </c>
      <c r="D917" t="s">
        <v>481</v>
      </c>
      <c r="E917" t="s">
        <v>332</v>
      </c>
      <c r="F917" t="s">
        <v>257</v>
      </c>
      <c r="G917" t="s">
        <v>258</v>
      </c>
      <c r="H917" t="s">
        <v>293</v>
      </c>
      <c r="I917" t="s">
        <v>333</v>
      </c>
      <c r="J917" t="s">
        <v>243</v>
      </c>
      <c r="K917" t="s">
        <v>862</v>
      </c>
      <c r="L917" t="s">
        <v>245</v>
      </c>
      <c r="M917" t="s">
        <v>253</v>
      </c>
      <c r="N917" t="s">
        <v>247</v>
      </c>
      <c r="O917">
        <v>42621</v>
      </c>
      <c r="P917">
        <v>1.92</v>
      </c>
      <c r="Q917">
        <v>3.26</v>
      </c>
      <c r="R917">
        <f t="shared" si="85"/>
        <v>1.3399999999999999</v>
      </c>
      <c r="S917">
        <v>38</v>
      </c>
      <c r="T917">
        <f t="shared" si="86"/>
        <v>123.88</v>
      </c>
      <c r="U917">
        <v>0.02</v>
      </c>
      <c r="V917">
        <f t="shared" si="87"/>
        <v>2.4775999999999998</v>
      </c>
      <c r="W917">
        <f t="shared" si="88"/>
        <v>121.4024</v>
      </c>
      <c r="X917">
        <v>1.86</v>
      </c>
      <c r="Y917">
        <f t="shared" si="89"/>
        <v>123.2624</v>
      </c>
    </row>
    <row r="918" spans="1:25" x14ac:dyDescent="0.25">
      <c r="A918" t="s">
        <v>1999</v>
      </c>
      <c r="B918">
        <v>42626</v>
      </c>
      <c r="C918" t="str">
        <f t="shared" si="84"/>
        <v>2016</v>
      </c>
      <c r="D918" t="s">
        <v>331</v>
      </c>
      <c r="E918" t="s">
        <v>332</v>
      </c>
      <c r="F918" t="s">
        <v>257</v>
      </c>
      <c r="G918" t="s">
        <v>258</v>
      </c>
      <c r="H918" t="s">
        <v>293</v>
      </c>
      <c r="I918" t="s">
        <v>333</v>
      </c>
      <c r="J918" t="s">
        <v>279</v>
      </c>
      <c r="K918" t="s">
        <v>1191</v>
      </c>
      <c r="L918" t="s">
        <v>245</v>
      </c>
      <c r="M918" t="s">
        <v>246</v>
      </c>
      <c r="N918" t="s">
        <v>263</v>
      </c>
      <c r="O918">
        <v>42633</v>
      </c>
      <c r="P918">
        <v>4.03</v>
      </c>
      <c r="Q918">
        <v>9.3800000000000008</v>
      </c>
      <c r="R918">
        <f t="shared" si="85"/>
        <v>5.3500000000000005</v>
      </c>
      <c r="S918">
        <v>46</v>
      </c>
      <c r="T918">
        <f t="shared" si="86"/>
        <v>431.48</v>
      </c>
      <c r="U918">
        <v>0.09</v>
      </c>
      <c r="V918">
        <f t="shared" si="87"/>
        <v>38.833199999999998</v>
      </c>
      <c r="W918">
        <f t="shared" si="88"/>
        <v>392.64680000000004</v>
      </c>
      <c r="X918">
        <v>7.28</v>
      </c>
      <c r="Y918">
        <f t="shared" si="89"/>
        <v>399.92680000000001</v>
      </c>
    </row>
    <row r="919" spans="1:25" x14ac:dyDescent="0.25">
      <c r="A919" t="s">
        <v>2000</v>
      </c>
      <c r="B919">
        <v>42627</v>
      </c>
      <c r="C919" t="str">
        <f t="shared" si="84"/>
        <v>2016</v>
      </c>
      <c r="D919" t="s">
        <v>2001</v>
      </c>
      <c r="E919" t="s">
        <v>238</v>
      </c>
      <c r="F919" t="s">
        <v>239</v>
      </c>
      <c r="G919" t="s">
        <v>240</v>
      </c>
      <c r="H919" t="s">
        <v>241</v>
      </c>
      <c r="I919" t="s">
        <v>242</v>
      </c>
      <c r="J919" t="s">
        <v>243</v>
      </c>
      <c r="K919" t="s">
        <v>817</v>
      </c>
      <c r="L919" t="s">
        <v>245</v>
      </c>
      <c r="M919" t="s">
        <v>253</v>
      </c>
      <c r="N919" t="s">
        <v>247</v>
      </c>
      <c r="O919">
        <v>42629</v>
      </c>
      <c r="P919">
        <v>1.76</v>
      </c>
      <c r="Q919">
        <v>2.94</v>
      </c>
      <c r="R919">
        <f t="shared" si="85"/>
        <v>1.18</v>
      </c>
      <c r="S919">
        <v>26</v>
      </c>
      <c r="T919">
        <f t="shared" si="86"/>
        <v>76.44</v>
      </c>
      <c r="U919">
        <v>0.03</v>
      </c>
      <c r="V919">
        <f t="shared" si="87"/>
        <v>2.2931999999999997</v>
      </c>
      <c r="W919">
        <f t="shared" si="88"/>
        <v>74.146799999999999</v>
      </c>
      <c r="X919">
        <v>0.81</v>
      </c>
      <c r="Y919">
        <f t="shared" si="89"/>
        <v>74.956800000000001</v>
      </c>
    </row>
    <row r="920" spans="1:25" x14ac:dyDescent="0.25">
      <c r="A920" t="s">
        <v>2002</v>
      </c>
      <c r="B920">
        <v>42628</v>
      </c>
      <c r="C920" t="str">
        <f t="shared" si="84"/>
        <v>2016</v>
      </c>
      <c r="D920" t="s">
        <v>930</v>
      </c>
      <c r="E920" t="s">
        <v>643</v>
      </c>
      <c r="F920" t="s">
        <v>257</v>
      </c>
      <c r="G920" t="s">
        <v>258</v>
      </c>
      <c r="H920" t="s">
        <v>293</v>
      </c>
      <c r="I920" t="s">
        <v>342</v>
      </c>
      <c r="J920" t="s">
        <v>243</v>
      </c>
      <c r="K920" t="s">
        <v>906</v>
      </c>
      <c r="L920" t="s">
        <v>268</v>
      </c>
      <c r="M920" t="s">
        <v>269</v>
      </c>
      <c r="N920" t="s">
        <v>270</v>
      </c>
      <c r="O920">
        <v>42629</v>
      </c>
      <c r="P920">
        <v>219.61</v>
      </c>
      <c r="Q920">
        <v>535.64</v>
      </c>
      <c r="R920">
        <f t="shared" si="85"/>
        <v>316.02999999999997</v>
      </c>
      <c r="S920">
        <v>44</v>
      </c>
      <c r="T920">
        <f t="shared" si="86"/>
        <v>23568.16</v>
      </c>
      <c r="U920">
        <v>0.03</v>
      </c>
      <c r="V920">
        <f t="shared" si="87"/>
        <v>707.04480000000001</v>
      </c>
      <c r="W920">
        <f t="shared" si="88"/>
        <v>22861.1152</v>
      </c>
      <c r="X920">
        <v>14.7</v>
      </c>
      <c r="Y920">
        <f t="shared" si="89"/>
        <v>22875.815200000001</v>
      </c>
    </row>
    <row r="921" spans="1:25" x14ac:dyDescent="0.25">
      <c r="A921" t="s">
        <v>2003</v>
      </c>
      <c r="B921">
        <v>42630</v>
      </c>
      <c r="C921" t="str">
        <f t="shared" si="84"/>
        <v>2016</v>
      </c>
      <c r="D921" t="s">
        <v>1231</v>
      </c>
      <c r="E921" t="s">
        <v>558</v>
      </c>
      <c r="F921" t="s">
        <v>257</v>
      </c>
      <c r="G921" t="s">
        <v>258</v>
      </c>
      <c r="H921" t="s">
        <v>241</v>
      </c>
      <c r="I921" t="s">
        <v>333</v>
      </c>
      <c r="J921" t="s">
        <v>279</v>
      </c>
      <c r="K921" t="s">
        <v>373</v>
      </c>
      <c r="L921" t="s">
        <v>268</v>
      </c>
      <c r="M921" t="s">
        <v>246</v>
      </c>
      <c r="N921" t="s">
        <v>247</v>
      </c>
      <c r="O921">
        <v>42632</v>
      </c>
      <c r="P921">
        <v>6.39</v>
      </c>
      <c r="Q921">
        <v>19.98</v>
      </c>
      <c r="R921">
        <f t="shared" si="85"/>
        <v>13.59</v>
      </c>
      <c r="S921">
        <v>44</v>
      </c>
      <c r="T921">
        <f t="shared" si="86"/>
        <v>879.12</v>
      </c>
      <c r="U921">
        <v>0.03</v>
      </c>
      <c r="V921">
        <f t="shared" si="87"/>
        <v>26.3736</v>
      </c>
      <c r="W921">
        <f t="shared" si="88"/>
        <v>852.74639999999999</v>
      </c>
      <c r="X921">
        <v>4</v>
      </c>
      <c r="Y921">
        <f t="shared" si="89"/>
        <v>856.74639999999999</v>
      </c>
    </row>
    <row r="922" spans="1:25" x14ac:dyDescent="0.25">
      <c r="A922" t="s">
        <v>2004</v>
      </c>
      <c r="B922">
        <v>42631</v>
      </c>
      <c r="C922" t="str">
        <f t="shared" si="84"/>
        <v>2016</v>
      </c>
      <c r="D922" t="s">
        <v>680</v>
      </c>
      <c r="E922" t="s">
        <v>681</v>
      </c>
      <c r="F922" t="s">
        <v>257</v>
      </c>
      <c r="G922" t="s">
        <v>258</v>
      </c>
      <c r="H922" t="s">
        <v>274</v>
      </c>
      <c r="I922" t="s">
        <v>299</v>
      </c>
      <c r="J922" t="s">
        <v>279</v>
      </c>
      <c r="K922" t="s">
        <v>872</v>
      </c>
      <c r="L922" t="s">
        <v>245</v>
      </c>
      <c r="M922" t="s">
        <v>246</v>
      </c>
      <c r="N922" t="s">
        <v>247</v>
      </c>
      <c r="O922">
        <v>42631</v>
      </c>
      <c r="P922">
        <v>3.14</v>
      </c>
      <c r="Q922">
        <v>4.91</v>
      </c>
      <c r="R922">
        <f t="shared" si="85"/>
        <v>1.77</v>
      </c>
      <c r="S922">
        <v>13</v>
      </c>
      <c r="T922">
        <f t="shared" si="86"/>
        <v>63.83</v>
      </c>
      <c r="U922">
        <v>0.01</v>
      </c>
      <c r="V922">
        <f t="shared" si="87"/>
        <v>0.63829999999999998</v>
      </c>
      <c r="W922">
        <f t="shared" si="88"/>
        <v>63.191699999999997</v>
      </c>
      <c r="X922">
        <v>0.5</v>
      </c>
      <c r="Y922">
        <f t="shared" si="89"/>
        <v>63.691699999999997</v>
      </c>
    </row>
    <row r="923" spans="1:25" x14ac:dyDescent="0.25">
      <c r="A923" t="s">
        <v>2005</v>
      </c>
      <c r="B923">
        <v>42631</v>
      </c>
      <c r="C923" t="str">
        <f t="shared" si="84"/>
        <v>2016</v>
      </c>
      <c r="D923" t="s">
        <v>1635</v>
      </c>
      <c r="E923" t="s">
        <v>1348</v>
      </c>
      <c r="F923" t="s">
        <v>257</v>
      </c>
      <c r="G923" t="s">
        <v>258</v>
      </c>
      <c r="H923" t="s">
        <v>293</v>
      </c>
      <c r="I923" t="s">
        <v>492</v>
      </c>
      <c r="J923" t="s">
        <v>304</v>
      </c>
      <c r="K923" t="s">
        <v>300</v>
      </c>
      <c r="L923" t="s">
        <v>245</v>
      </c>
      <c r="M923" t="s">
        <v>246</v>
      </c>
      <c r="N923" t="s">
        <v>247</v>
      </c>
      <c r="O923">
        <v>42633</v>
      </c>
      <c r="P923">
        <v>5.33</v>
      </c>
      <c r="Q923">
        <v>8.6</v>
      </c>
      <c r="R923">
        <f t="shared" si="85"/>
        <v>3.2699999999999996</v>
      </c>
      <c r="S923">
        <v>2</v>
      </c>
      <c r="T923">
        <f t="shared" si="86"/>
        <v>17.2</v>
      </c>
      <c r="U923">
        <v>0.03</v>
      </c>
      <c r="V923">
        <f t="shared" si="87"/>
        <v>0.51600000000000001</v>
      </c>
      <c r="W923">
        <f t="shared" si="88"/>
        <v>16.683999999999997</v>
      </c>
      <c r="X923">
        <v>6.19</v>
      </c>
      <c r="Y923">
        <f t="shared" si="89"/>
        <v>22.873999999999999</v>
      </c>
    </row>
    <row r="924" spans="1:25" x14ac:dyDescent="0.25">
      <c r="A924" t="s">
        <v>2006</v>
      </c>
      <c r="B924">
        <v>42631</v>
      </c>
      <c r="C924" t="str">
        <f t="shared" si="84"/>
        <v>2016</v>
      </c>
      <c r="D924" t="s">
        <v>1635</v>
      </c>
      <c r="E924" t="s">
        <v>1348</v>
      </c>
      <c r="F924" t="s">
        <v>257</v>
      </c>
      <c r="G924" t="s">
        <v>258</v>
      </c>
      <c r="H924" t="s">
        <v>293</v>
      </c>
      <c r="I924" t="s">
        <v>492</v>
      </c>
      <c r="J924" t="s">
        <v>304</v>
      </c>
      <c r="K924" t="s">
        <v>659</v>
      </c>
      <c r="L924" t="s">
        <v>245</v>
      </c>
      <c r="M924" t="s">
        <v>246</v>
      </c>
      <c r="N924" t="s">
        <v>247</v>
      </c>
      <c r="O924">
        <v>42632</v>
      </c>
      <c r="P924">
        <v>67.73</v>
      </c>
      <c r="Q924">
        <v>165.2</v>
      </c>
      <c r="R924">
        <f t="shared" si="85"/>
        <v>97.469999999999985</v>
      </c>
      <c r="S924">
        <v>10</v>
      </c>
      <c r="T924">
        <f t="shared" si="86"/>
        <v>1652</v>
      </c>
      <c r="U924">
        <v>0.08</v>
      </c>
      <c r="V924">
        <f t="shared" si="87"/>
        <v>132.16</v>
      </c>
      <c r="W924">
        <f t="shared" si="88"/>
        <v>1519.84</v>
      </c>
      <c r="X924">
        <v>19.989999999999998</v>
      </c>
      <c r="Y924">
        <f t="shared" si="89"/>
        <v>1539.83</v>
      </c>
    </row>
    <row r="925" spans="1:25" x14ac:dyDescent="0.25">
      <c r="A925" t="s">
        <v>2007</v>
      </c>
      <c r="B925">
        <v>42633</v>
      </c>
      <c r="C925" t="str">
        <f t="shared" si="84"/>
        <v>2016</v>
      </c>
      <c r="D925" t="s">
        <v>897</v>
      </c>
      <c r="E925" t="s">
        <v>898</v>
      </c>
      <c r="F925" t="s">
        <v>239</v>
      </c>
      <c r="G925" t="s">
        <v>240</v>
      </c>
      <c r="H925" t="s">
        <v>293</v>
      </c>
      <c r="I925" t="s">
        <v>251</v>
      </c>
      <c r="J925" t="s">
        <v>279</v>
      </c>
      <c r="K925" t="s">
        <v>387</v>
      </c>
      <c r="L925" t="s">
        <v>245</v>
      </c>
      <c r="M925" t="s">
        <v>323</v>
      </c>
      <c r="N925" t="s">
        <v>247</v>
      </c>
      <c r="O925">
        <v>42633</v>
      </c>
      <c r="P925">
        <v>4.79</v>
      </c>
      <c r="Q925">
        <v>11.97</v>
      </c>
      <c r="R925">
        <f t="shared" si="85"/>
        <v>7.1800000000000006</v>
      </c>
      <c r="S925">
        <v>38</v>
      </c>
      <c r="T925">
        <f t="shared" si="86"/>
        <v>454.86</v>
      </c>
      <c r="U925">
        <v>0.02</v>
      </c>
      <c r="V925">
        <f t="shared" si="87"/>
        <v>9.0972000000000008</v>
      </c>
      <c r="W925">
        <f t="shared" si="88"/>
        <v>445.76280000000003</v>
      </c>
      <c r="X925">
        <v>5.81</v>
      </c>
      <c r="Y925">
        <f t="shared" si="89"/>
        <v>451.57280000000003</v>
      </c>
    </row>
    <row r="926" spans="1:25" x14ac:dyDescent="0.25">
      <c r="A926" t="s">
        <v>2008</v>
      </c>
      <c r="B926">
        <v>42633</v>
      </c>
      <c r="C926" t="str">
        <f t="shared" si="84"/>
        <v>2016</v>
      </c>
      <c r="D926" t="s">
        <v>1947</v>
      </c>
      <c r="E926" t="s">
        <v>352</v>
      </c>
      <c r="F926" t="s">
        <v>257</v>
      </c>
      <c r="G926" t="s">
        <v>258</v>
      </c>
      <c r="H926" t="s">
        <v>274</v>
      </c>
      <c r="I926" t="s">
        <v>275</v>
      </c>
      <c r="J926" t="s">
        <v>279</v>
      </c>
      <c r="K926" t="s">
        <v>485</v>
      </c>
      <c r="L926" t="s">
        <v>245</v>
      </c>
      <c r="M926" t="s">
        <v>253</v>
      </c>
      <c r="N926" t="s">
        <v>247</v>
      </c>
      <c r="O926">
        <v>42633</v>
      </c>
      <c r="P926">
        <v>3.48</v>
      </c>
      <c r="Q926">
        <v>5.43</v>
      </c>
      <c r="R926">
        <f t="shared" si="85"/>
        <v>1.9499999999999997</v>
      </c>
      <c r="S926">
        <v>12</v>
      </c>
      <c r="T926">
        <f t="shared" si="86"/>
        <v>65.16</v>
      </c>
      <c r="U926">
        <v>0.01</v>
      </c>
      <c r="V926">
        <f t="shared" si="87"/>
        <v>0.65159999999999996</v>
      </c>
      <c r="W926">
        <f t="shared" si="88"/>
        <v>64.508399999999995</v>
      </c>
      <c r="X926">
        <v>0.95</v>
      </c>
      <c r="Y926">
        <f t="shared" si="89"/>
        <v>65.458399999999997</v>
      </c>
    </row>
    <row r="927" spans="1:25" x14ac:dyDescent="0.25">
      <c r="A927" t="s">
        <v>2009</v>
      </c>
      <c r="B927">
        <v>42634</v>
      </c>
      <c r="C927" t="str">
        <f t="shared" si="84"/>
        <v>2016</v>
      </c>
      <c r="D927" t="s">
        <v>778</v>
      </c>
      <c r="E927" t="s">
        <v>767</v>
      </c>
      <c r="F927" t="s">
        <v>257</v>
      </c>
      <c r="G927" t="s">
        <v>258</v>
      </c>
      <c r="H927" t="s">
        <v>259</v>
      </c>
      <c r="I927" t="s">
        <v>260</v>
      </c>
      <c r="J927" t="s">
        <v>304</v>
      </c>
      <c r="K927" t="s">
        <v>688</v>
      </c>
      <c r="L927" t="s">
        <v>245</v>
      </c>
      <c r="M927" t="s">
        <v>246</v>
      </c>
      <c r="N927" t="s">
        <v>247</v>
      </c>
      <c r="O927">
        <v>42634</v>
      </c>
      <c r="P927">
        <v>2.4500000000000002</v>
      </c>
      <c r="Q927">
        <v>3.89</v>
      </c>
      <c r="R927">
        <f t="shared" si="85"/>
        <v>1.44</v>
      </c>
      <c r="S927">
        <v>50</v>
      </c>
      <c r="T927">
        <f t="shared" si="86"/>
        <v>194.5</v>
      </c>
      <c r="U927">
        <v>0.08</v>
      </c>
      <c r="V927">
        <f t="shared" si="87"/>
        <v>15.56</v>
      </c>
      <c r="W927">
        <f t="shared" si="88"/>
        <v>178.94</v>
      </c>
      <c r="X927">
        <v>7.01</v>
      </c>
      <c r="Y927">
        <f t="shared" si="89"/>
        <v>185.95</v>
      </c>
    </row>
    <row r="928" spans="1:25" x14ac:dyDescent="0.25">
      <c r="A928" t="s">
        <v>2010</v>
      </c>
      <c r="B928">
        <v>42635</v>
      </c>
      <c r="C928" t="str">
        <f t="shared" si="84"/>
        <v>2016</v>
      </c>
      <c r="D928" t="s">
        <v>1563</v>
      </c>
      <c r="E928" t="s">
        <v>528</v>
      </c>
      <c r="F928" t="s">
        <v>239</v>
      </c>
      <c r="G928" t="s">
        <v>240</v>
      </c>
      <c r="H928" t="s">
        <v>293</v>
      </c>
      <c r="I928" t="s">
        <v>251</v>
      </c>
      <c r="J928" t="s">
        <v>304</v>
      </c>
      <c r="K928" t="s">
        <v>360</v>
      </c>
      <c r="L928" t="s">
        <v>245</v>
      </c>
      <c r="M928" t="s">
        <v>253</v>
      </c>
      <c r="N928" t="s">
        <v>247</v>
      </c>
      <c r="O928">
        <v>42636</v>
      </c>
      <c r="P928">
        <v>2.52</v>
      </c>
      <c r="Q928">
        <v>4</v>
      </c>
      <c r="R928">
        <f t="shared" si="85"/>
        <v>1.48</v>
      </c>
      <c r="S928">
        <v>22</v>
      </c>
      <c r="T928">
        <f t="shared" si="86"/>
        <v>88</v>
      </c>
      <c r="U928">
        <v>0.09</v>
      </c>
      <c r="V928">
        <f t="shared" si="87"/>
        <v>7.92</v>
      </c>
      <c r="W928">
        <f t="shared" si="88"/>
        <v>80.08</v>
      </c>
      <c r="X928">
        <v>1.3</v>
      </c>
      <c r="Y928">
        <f t="shared" si="89"/>
        <v>81.38</v>
      </c>
    </row>
    <row r="929" spans="1:25" x14ac:dyDescent="0.25">
      <c r="A929" t="s">
        <v>2011</v>
      </c>
      <c r="B929">
        <v>42636</v>
      </c>
      <c r="C929" t="str">
        <f t="shared" si="84"/>
        <v>2016</v>
      </c>
      <c r="D929" t="s">
        <v>2012</v>
      </c>
      <c r="E929" t="s">
        <v>409</v>
      </c>
      <c r="F929" t="s">
        <v>257</v>
      </c>
      <c r="G929" t="s">
        <v>258</v>
      </c>
      <c r="H929" t="s">
        <v>293</v>
      </c>
      <c r="I929" t="s">
        <v>342</v>
      </c>
      <c r="J929" t="s">
        <v>304</v>
      </c>
      <c r="K929" t="s">
        <v>533</v>
      </c>
      <c r="L929" t="s">
        <v>245</v>
      </c>
      <c r="M929" t="s">
        <v>246</v>
      </c>
      <c r="N929" t="s">
        <v>247</v>
      </c>
      <c r="O929">
        <v>42639</v>
      </c>
      <c r="P929">
        <v>3.4</v>
      </c>
      <c r="Q929">
        <v>5.4</v>
      </c>
      <c r="R929">
        <f t="shared" si="85"/>
        <v>2.0000000000000004</v>
      </c>
      <c r="S929">
        <v>38</v>
      </c>
      <c r="T929">
        <f t="shared" si="86"/>
        <v>205.20000000000002</v>
      </c>
      <c r="U929">
        <v>0.03</v>
      </c>
      <c r="V929">
        <f t="shared" si="87"/>
        <v>6.1560000000000006</v>
      </c>
      <c r="W929">
        <f t="shared" si="88"/>
        <v>199.04400000000001</v>
      </c>
      <c r="X929">
        <v>7.78</v>
      </c>
      <c r="Y929">
        <f t="shared" si="89"/>
        <v>206.82400000000001</v>
      </c>
    </row>
    <row r="930" spans="1:25" x14ac:dyDescent="0.25">
      <c r="A930" t="s">
        <v>2013</v>
      </c>
      <c r="B930">
        <v>42638</v>
      </c>
      <c r="C930" t="str">
        <f t="shared" si="84"/>
        <v>2016</v>
      </c>
      <c r="D930" t="s">
        <v>664</v>
      </c>
      <c r="E930" t="s">
        <v>665</v>
      </c>
      <c r="F930" t="s">
        <v>448</v>
      </c>
      <c r="G930" t="s">
        <v>449</v>
      </c>
      <c r="H930" t="s">
        <v>259</v>
      </c>
      <c r="I930" t="s">
        <v>333</v>
      </c>
      <c r="J930" t="s">
        <v>261</v>
      </c>
      <c r="K930" t="s">
        <v>607</v>
      </c>
      <c r="L930" t="s">
        <v>245</v>
      </c>
      <c r="M930" t="s">
        <v>246</v>
      </c>
      <c r="N930" t="s">
        <v>247</v>
      </c>
      <c r="O930">
        <v>42639</v>
      </c>
      <c r="P930">
        <v>4.46</v>
      </c>
      <c r="Q930">
        <v>10.89</v>
      </c>
      <c r="R930">
        <f t="shared" si="85"/>
        <v>6.4300000000000006</v>
      </c>
      <c r="S930">
        <v>19</v>
      </c>
      <c r="T930">
        <f t="shared" si="86"/>
        <v>206.91000000000003</v>
      </c>
      <c r="U930">
        <v>7.0000000000000007E-2</v>
      </c>
      <c r="V930">
        <f t="shared" si="87"/>
        <v>14.483700000000002</v>
      </c>
      <c r="W930">
        <f t="shared" si="88"/>
        <v>192.42630000000003</v>
      </c>
      <c r="X930">
        <v>4.5</v>
      </c>
      <c r="Y930">
        <f t="shared" si="89"/>
        <v>196.92630000000003</v>
      </c>
    </row>
    <row r="931" spans="1:25" x14ac:dyDescent="0.25">
      <c r="A931" t="s">
        <v>2014</v>
      </c>
      <c r="B931">
        <v>42639</v>
      </c>
      <c r="C931" t="str">
        <f t="shared" si="84"/>
        <v>2016</v>
      </c>
      <c r="D931" t="s">
        <v>1084</v>
      </c>
      <c r="E931" t="s">
        <v>2015</v>
      </c>
      <c r="F931" t="s">
        <v>448</v>
      </c>
      <c r="G931" t="s">
        <v>449</v>
      </c>
      <c r="H931" t="s">
        <v>293</v>
      </c>
      <c r="I931" t="s">
        <v>333</v>
      </c>
      <c r="J931" t="s">
        <v>304</v>
      </c>
      <c r="K931" t="s">
        <v>421</v>
      </c>
      <c r="L931" t="s">
        <v>245</v>
      </c>
      <c r="M931" t="s">
        <v>246</v>
      </c>
      <c r="N931" t="s">
        <v>247</v>
      </c>
      <c r="O931">
        <v>42641</v>
      </c>
      <c r="P931">
        <v>13.88</v>
      </c>
      <c r="Q931">
        <v>22.38</v>
      </c>
      <c r="R931">
        <f t="shared" si="85"/>
        <v>8.4999999999999982</v>
      </c>
      <c r="S931">
        <v>34</v>
      </c>
      <c r="T931">
        <f t="shared" si="86"/>
        <v>760.92</v>
      </c>
      <c r="U931">
        <v>7.0000000000000007E-2</v>
      </c>
      <c r="V931">
        <f t="shared" si="87"/>
        <v>53.264400000000002</v>
      </c>
      <c r="W931">
        <f t="shared" si="88"/>
        <v>707.65559999999994</v>
      </c>
      <c r="X931">
        <v>15.1</v>
      </c>
      <c r="Y931">
        <f t="shared" si="89"/>
        <v>722.75559999999996</v>
      </c>
    </row>
    <row r="932" spans="1:25" x14ac:dyDescent="0.25">
      <c r="A932" t="s">
        <v>2016</v>
      </c>
      <c r="B932">
        <v>42639</v>
      </c>
      <c r="C932" t="str">
        <f t="shared" si="84"/>
        <v>2016</v>
      </c>
      <c r="D932" t="s">
        <v>1084</v>
      </c>
      <c r="E932" t="s">
        <v>2017</v>
      </c>
      <c r="F932" t="s">
        <v>448</v>
      </c>
      <c r="G932" t="s">
        <v>449</v>
      </c>
      <c r="H932" t="s">
        <v>293</v>
      </c>
      <c r="I932" t="s">
        <v>333</v>
      </c>
      <c r="J932" t="s">
        <v>304</v>
      </c>
      <c r="K932" t="s">
        <v>1130</v>
      </c>
      <c r="L932" t="s">
        <v>268</v>
      </c>
      <c r="M932" t="s">
        <v>246</v>
      </c>
      <c r="N932" t="s">
        <v>263</v>
      </c>
      <c r="O932">
        <v>42640</v>
      </c>
      <c r="P932">
        <v>14.7</v>
      </c>
      <c r="Q932">
        <v>29.99</v>
      </c>
      <c r="R932">
        <f t="shared" si="85"/>
        <v>15.29</v>
      </c>
      <c r="S932">
        <v>36</v>
      </c>
      <c r="T932">
        <f t="shared" si="86"/>
        <v>1079.6399999999999</v>
      </c>
      <c r="U932">
        <v>0.03</v>
      </c>
      <c r="V932">
        <f t="shared" si="87"/>
        <v>32.389199999999995</v>
      </c>
      <c r="W932">
        <f t="shared" si="88"/>
        <v>1047.2507999999998</v>
      </c>
      <c r="X932">
        <v>5.5</v>
      </c>
      <c r="Y932">
        <f t="shared" si="89"/>
        <v>1052.7507999999998</v>
      </c>
    </row>
    <row r="933" spans="1:25" x14ac:dyDescent="0.25">
      <c r="A933" t="s">
        <v>2018</v>
      </c>
      <c r="B933">
        <v>42639</v>
      </c>
      <c r="C933" t="str">
        <f t="shared" si="84"/>
        <v>2016</v>
      </c>
      <c r="D933" t="s">
        <v>1023</v>
      </c>
      <c r="E933" t="s">
        <v>356</v>
      </c>
      <c r="F933" t="s">
        <v>239</v>
      </c>
      <c r="G933" t="s">
        <v>240</v>
      </c>
      <c r="H933" t="s">
        <v>259</v>
      </c>
      <c r="I933" t="s">
        <v>251</v>
      </c>
      <c r="J933" t="s">
        <v>279</v>
      </c>
      <c r="K933" t="s">
        <v>998</v>
      </c>
      <c r="L933" t="s">
        <v>245</v>
      </c>
      <c r="M933" t="s">
        <v>246</v>
      </c>
      <c r="N933" t="s">
        <v>247</v>
      </c>
      <c r="O933">
        <v>42648</v>
      </c>
      <c r="P933">
        <v>21.97</v>
      </c>
      <c r="Q933">
        <v>35.44</v>
      </c>
      <c r="R933">
        <f t="shared" si="85"/>
        <v>13.469999999999999</v>
      </c>
      <c r="S933">
        <v>44</v>
      </c>
      <c r="T933">
        <f t="shared" si="86"/>
        <v>1559.36</v>
      </c>
      <c r="U933">
        <v>0.01</v>
      </c>
      <c r="V933">
        <f t="shared" si="87"/>
        <v>15.593599999999999</v>
      </c>
      <c r="W933">
        <f t="shared" si="88"/>
        <v>1543.7664</v>
      </c>
      <c r="X933">
        <v>4.92</v>
      </c>
      <c r="Y933">
        <f t="shared" si="89"/>
        <v>1548.6864</v>
      </c>
    </row>
    <row r="934" spans="1:25" x14ac:dyDescent="0.25">
      <c r="A934" t="s">
        <v>2019</v>
      </c>
      <c r="B934">
        <v>42641</v>
      </c>
      <c r="C934" t="str">
        <f t="shared" si="84"/>
        <v>2016</v>
      </c>
      <c r="D934" t="s">
        <v>392</v>
      </c>
      <c r="E934" t="s">
        <v>393</v>
      </c>
      <c r="F934" t="s">
        <v>257</v>
      </c>
      <c r="G934" t="s">
        <v>258</v>
      </c>
      <c r="H934" t="s">
        <v>293</v>
      </c>
      <c r="I934" t="s">
        <v>342</v>
      </c>
      <c r="J934" t="s">
        <v>243</v>
      </c>
      <c r="K934" t="s">
        <v>514</v>
      </c>
      <c r="L934" t="s">
        <v>245</v>
      </c>
      <c r="M934" t="s">
        <v>246</v>
      </c>
      <c r="N934" t="s">
        <v>247</v>
      </c>
      <c r="O934">
        <v>42643</v>
      </c>
      <c r="P934">
        <v>19.829999999999998</v>
      </c>
      <c r="Q934">
        <v>30.98</v>
      </c>
      <c r="R934">
        <f t="shared" si="85"/>
        <v>11.150000000000002</v>
      </c>
      <c r="S934">
        <v>30</v>
      </c>
      <c r="T934">
        <f t="shared" si="86"/>
        <v>929.4</v>
      </c>
      <c r="U934">
        <v>0.03</v>
      </c>
      <c r="V934">
        <f t="shared" si="87"/>
        <v>27.881999999999998</v>
      </c>
      <c r="W934">
        <f t="shared" si="88"/>
        <v>901.51800000000003</v>
      </c>
      <c r="X934">
        <v>19.510000000000002</v>
      </c>
      <c r="Y934">
        <f t="shared" si="89"/>
        <v>921.02800000000002</v>
      </c>
    </row>
    <row r="935" spans="1:25" x14ac:dyDescent="0.25">
      <c r="A935" t="s">
        <v>2020</v>
      </c>
      <c r="B935">
        <v>42643</v>
      </c>
      <c r="C935" t="str">
        <f t="shared" si="84"/>
        <v>2016</v>
      </c>
      <c r="D935" t="s">
        <v>358</v>
      </c>
      <c r="E935" t="s">
        <v>359</v>
      </c>
      <c r="F935" t="s">
        <v>239</v>
      </c>
      <c r="G935" t="s">
        <v>240</v>
      </c>
      <c r="H935" t="s">
        <v>293</v>
      </c>
      <c r="I935" t="s">
        <v>251</v>
      </c>
      <c r="J935" t="s">
        <v>243</v>
      </c>
      <c r="K935" t="s">
        <v>329</v>
      </c>
      <c r="L935" t="s">
        <v>245</v>
      </c>
      <c r="M935" t="s">
        <v>246</v>
      </c>
      <c r="N935" t="s">
        <v>247</v>
      </c>
      <c r="O935">
        <v>42645</v>
      </c>
      <c r="P935">
        <v>4.59</v>
      </c>
      <c r="Q935">
        <v>7.28</v>
      </c>
      <c r="R935">
        <f t="shared" si="85"/>
        <v>2.6900000000000004</v>
      </c>
      <c r="S935">
        <v>50</v>
      </c>
      <c r="T935">
        <f t="shared" si="86"/>
        <v>364</v>
      </c>
      <c r="U935">
        <v>0.01</v>
      </c>
      <c r="V935">
        <f t="shared" si="87"/>
        <v>3.64</v>
      </c>
      <c r="W935">
        <f t="shared" si="88"/>
        <v>360.36</v>
      </c>
      <c r="X935">
        <v>11.15</v>
      </c>
      <c r="Y935">
        <f t="shared" si="89"/>
        <v>371.51</v>
      </c>
    </row>
    <row r="936" spans="1:25" x14ac:dyDescent="0.25">
      <c r="A936" t="s">
        <v>2021</v>
      </c>
      <c r="B936">
        <v>42644</v>
      </c>
      <c r="C936" t="str">
        <f t="shared" si="84"/>
        <v>2016</v>
      </c>
      <c r="D936" t="s">
        <v>826</v>
      </c>
      <c r="E936" t="s">
        <v>352</v>
      </c>
      <c r="F936" t="s">
        <v>257</v>
      </c>
      <c r="G936" t="s">
        <v>258</v>
      </c>
      <c r="H936" t="s">
        <v>293</v>
      </c>
      <c r="I936" t="s">
        <v>275</v>
      </c>
      <c r="J936" t="s">
        <v>304</v>
      </c>
      <c r="K936" t="s">
        <v>514</v>
      </c>
      <c r="L936" t="s">
        <v>245</v>
      </c>
      <c r="M936" t="s">
        <v>246</v>
      </c>
      <c r="N936" t="s">
        <v>247</v>
      </c>
      <c r="O936">
        <v>42645</v>
      </c>
      <c r="P936">
        <v>19.829999999999998</v>
      </c>
      <c r="Q936">
        <v>30.98</v>
      </c>
      <c r="R936">
        <f t="shared" si="85"/>
        <v>11.150000000000002</v>
      </c>
      <c r="S936">
        <v>37</v>
      </c>
      <c r="T936">
        <f t="shared" si="86"/>
        <v>1146.26</v>
      </c>
      <c r="U936">
        <v>0.01</v>
      </c>
      <c r="V936">
        <f t="shared" si="87"/>
        <v>11.4626</v>
      </c>
      <c r="W936">
        <f t="shared" si="88"/>
        <v>1134.7973999999999</v>
      </c>
      <c r="X936">
        <v>19.510000000000002</v>
      </c>
      <c r="Y936">
        <f t="shared" si="89"/>
        <v>1154.3073999999999</v>
      </c>
    </row>
    <row r="937" spans="1:25" x14ac:dyDescent="0.25">
      <c r="A937" t="s">
        <v>2022</v>
      </c>
      <c r="B937">
        <v>42644</v>
      </c>
      <c r="C937" t="str">
        <f t="shared" si="84"/>
        <v>2016</v>
      </c>
      <c r="D937" t="s">
        <v>2023</v>
      </c>
      <c r="E937" t="s">
        <v>709</v>
      </c>
      <c r="F937" t="s">
        <v>257</v>
      </c>
      <c r="G937" t="s">
        <v>258</v>
      </c>
      <c r="H937" t="s">
        <v>241</v>
      </c>
      <c r="I937" t="s">
        <v>275</v>
      </c>
      <c r="J937" t="s">
        <v>304</v>
      </c>
      <c r="K937" t="s">
        <v>334</v>
      </c>
      <c r="L937" t="s">
        <v>245</v>
      </c>
      <c r="M937" t="s">
        <v>253</v>
      </c>
      <c r="N937" t="s">
        <v>247</v>
      </c>
      <c r="O937">
        <v>42645</v>
      </c>
      <c r="P937">
        <v>1.3</v>
      </c>
      <c r="Q937">
        <v>2.88</v>
      </c>
      <c r="R937">
        <f t="shared" si="85"/>
        <v>1.5799999999999998</v>
      </c>
      <c r="S937">
        <v>46</v>
      </c>
      <c r="T937">
        <f t="shared" si="86"/>
        <v>132.47999999999999</v>
      </c>
      <c r="U937">
        <v>0.05</v>
      </c>
      <c r="V937">
        <f t="shared" si="87"/>
        <v>6.6239999999999997</v>
      </c>
      <c r="W937">
        <f t="shared" si="88"/>
        <v>125.85599999999999</v>
      </c>
      <c r="X937">
        <v>1.01</v>
      </c>
      <c r="Y937">
        <f t="shared" si="89"/>
        <v>126.866</v>
      </c>
    </row>
    <row r="938" spans="1:25" x14ac:dyDescent="0.25">
      <c r="A938" t="s">
        <v>2024</v>
      </c>
      <c r="B938">
        <v>42649</v>
      </c>
      <c r="C938" t="str">
        <f t="shared" si="84"/>
        <v>2016</v>
      </c>
      <c r="D938" t="s">
        <v>307</v>
      </c>
      <c r="E938" t="s">
        <v>308</v>
      </c>
      <c r="F938" t="s">
        <v>257</v>
      </c>
      <c r="G938" t="s">
        <v>258</v>
      </c>
      <c r="H938" t="s">
        <v>259</v>
      </c>
      <c r="I938" t="s">
        <v>309</v>
      </c>
      <c r="J938" t="s">
        <v>243</v>
      </c>
      <c r="K938" t="s">
        <v>349</v>
      </c>
      <c r="L938" t="s">
        <v>245</v>
      </c>
      <c r="M938" t="s">
        <v>246</v>
      </c>
      <c r="N938" t="s">
        <v>247</v>
      </c>
      <c r="O938">
        <v>42651</v>
      </c>
      <c r="P938">
        <v>3.52</v>
      </c>
      <c r="Q938">
        <v>5.68</v>
      </c>
      <c r="R938">
        <f t="shared" si="85"/>
        <v>2.1599999999999997</v>
      </c>
      <c r="S938">
        <v>23</v>
      </c>
      <c r="T938">
        <f t="shared" si="86"/>
        <v>130.63999999999999</v>
      </c>
      <c r="U938">
        <v>0.02</v>
      </c>
      <c r="V938">
        <f t="shared" si="87"/>
        <v>2.6127999999999996</v>
      </c>
      <c r="W938">
        <f t="shared" si="88"/>
        <v>128.02719999999999</v>
      </c>
      <c r="X938">
        <v>1.39</v>
      </c>
      <c r="Y938">
        <f t="shared" si="89"/>
        <v>129.41719999999998</v>
      </c>
    </row>
    <row r="939" spans="1:25" x14ac:dyDescent="0.25">
      <c r="A939" t="s">
        <v>2025</v>
      </c>
      <c r="B939">
        <v>42651</v>
      </c>
      <c r="C939" t="str">
        <f t="shared" si="84"/>
        <v>2016</v>
      </c>
      <c r="D939" t="s">
        <v>759</v>
      </c>
      <c r="E939" t="s">
        <v>760</v>
      </c>
      <c r="F939" t="s">
        <v>448</v>
      </c>
      <c r="G939" t="s">
        <v>449</v>
      </c>
      <c r="H939" t="s">
        <v>259</v>
      </c>
      <c r="I939" t="s">
        <v>333</v>
      </c>
      <c r="J939" t="s">
        <v>243</v>
      </c>
      <c r="K939" t="s">
        <v>779</v>
      </c>
      <c r="L939" t="s">
        <v>245</v>
      </c>
      <c r="M939" t="s">
        <v>246</v>
      </c>
      <c r="N939" t="s">
        <v>247</v>
      </c>
      <c r="O939">
        <v>42651</v>
      </c>
      <c r="P939">
        <v>11.04</v>
      </c>
      <c r="Q939">
        <v>16.98</v>
      </c>
      <c r="R939">
        <f t="shared" si="85"/>
        <v>5.9400000000000013</v>
      </c>
      <c r="S939">
        <v>43</v>
      </c>
      <c r="T939">
        <f t="shared" si="86"/>
        <v>730.14</v>
      </c>
      <c r="U939">
        <v>0.09</v>
      </c>
      <c r="V939">
        <f t="shared" si="87"/>
        <v>65.712599999999995</v>
      </c>
      <c r="W939">
        <f t="shared" si="88"/>
        <v>664.42740000000003</v>
      </c>
      <c r="X939">
        <v>12.39</v>
      </c>
      <c r="Y939">
        <f t="shared" si="89"/>
        <v>676.81740000000002</v>
      </c>
    </row>
    <row r="940" spans="1:25" x14ac:dyDescent="0.25">
      <c r="A940" t="s">
        <v>2026</v>
      </c>
      <c r="B940">
        <v>42654</v>
      </c>
      <c r="C940" t="str">
        <f t="shared" si="84"/>
        <v>2016</v>
      </c>
      <c r="D940" t="s">
        <v>646</v>
      </c>
      <c r="E940" t="s">
        <v>376</v>
      </c>
      <c r="F940" t="s">
        <v>239</v>
      </c>
      <c r="G940" t="s">
        <v>240</v>
      </c>
      <c r="H940" t="s">
        <v>293</v>
      </c>
      <c r="I940" t="s">
        <v>242</v>
      </c>
      <c r="J940" t="s">
        <v>279</v>
      </c>
      <c r="K940" t="s">
        <v>888</v>
      </c>
      <c r="L940" t="s">
        <v>245</v>
      </c>
      <c r="M940" t="s">
        <v>253</v>
      </c>
      <c r="N940" t="s">
        <v>247</v>
      </c>
      <c r="O940">
        <v>42658</v>
      </c>
      <c r="P940">
        <v>2.31</v>
      </c>
      <c r="Q940">
        <v>3.78</v>
      </c>
      <c r="R940">
        <f t="shared" si="85"/>
        <v>1.4699999999999998</v>
      </c>
      <c r="S940">
        <v>22</v>
      </c>
      <c r="T940">
        <f t="shared" si="86"/>
        <v>83.16</v>
      </c>
      <c r="U940">
        <v>0.1</v>
      </c>
      <c r="V940">
        <f t="shared" si="87"/>
        <v>8.3160000000000007</v>
      </c>
      <c r="W940">
        <f t="shared" si="88"/>
        <v>74.843999999999994</v>
      </c>
      <c r="X940">
        <v>0.71</v>
      </c>
      <c r="Y940">
        <f t="shared" si="89"/>
        <v>75.553999999999988</v>
      </c>
    </row>
    <row r="941" spans="1:25" x14ac:dyDescent="0.25">
      <c r="A941" t="s">
        <v>2027</v>
      </c>
      <c r="B941">
        <v>42655</v>
      </c>
      <c r="C941" t="str">
        <f t="shared" si="84"/>
        <v>2016</v>
      </c>
      <c r="D941" t="s">
        <v>1956</v>
      </c>
      <c r="E941" t="s">
        <v>420</v>
      </c>
      <c r="F941" t="s">
        <v>239</v>
      </c>
      <c r="G941" t="s">
        <v>240</v>
      </c>
      <c r="H941" t="s">
        <v>241</v>
      </c>
      <c r="I941" t="s">
        <v>251</v>
      </c>
      <c r="J941" t="s">
        <v>294</v>
      </c>
      <c r="K941" t="s">
        <v>295</v>
      </c>
      <c r="L941" t="s">
        <v>245</v>
      </c>
      <c r="M941" t="s">
        <v>246</v>
      </c>
      <c r="N941" t="s">
        <v>247</v>
      </c>
      <c r="O941">
        <v>42657</v>
      </c>
      <c r="P941">
        <v>54.29</v>
      </c>
      <c r="Q941">
        <v>90.48</v>
      </c>
      <c r="R941">
        <f t="shared" si="85"/>
        <v>36.190000000000005</v>
      </c>
      <c r="S941">
        <v>25</v>
      </c>
      <c r="T941">
        <f t="shared" si="86"/>
        <v>2262</v>
      </c>
      <c r="U941">
        <v>0.02</v>
      </c>
      <c r="V941">
        <f t="shared" si="87"/>
        <v>45.24</v>
      </c>
      <c r="W941">
        <f t="shared" si="88"/>
        <v>2216.7600000000002</v>
      </c>
      <c r="X941">
        <v>19.989999999999998</v>
      </c>
      <c r="Y941">
        <f t="shared" si="89"/>
        <v>2236.75</v>
      </c>
    </row>
    <row r="942" spans="1:25" x14ac:dyDescent="0.25">
      <c r="A942" t="s">
        <v>2028</v>
      </c>
      <c r="B942">
        <v>42656</v>
      </c>
      <c r="C942" t="str">
        <f t="shared" si="84"/>
        <v>2016</v>
      </c>
      <c r="D942" t="s">
        <v>1671</v>
      </c>
      <c r="E942" t="s">
        <v>546</v>
      </c>
      <c r="F942" t="s">
        <v>257</v>
      </c>
      <c r="G942" t="s">
        <v>258</v>
      </c>
      <c r="H942" t="s">
        <v>259</v>
      </c>
      <c r="I942" t="s">
        <v>260</v>
      </c>
      <c r="J942" t="s">
        <v>279</v>
      </c>
      <c r="K942" t="s">
        <v>559</v>
      </c>
      <c r="L942" t="s">
        <v>245</v>
      </c>
      <c r="M942" t="s">
        <v>246</v>
      </c>
      <c r="N942" t="s">
        <v>247</v>
      </c>
      <c r="O942">
        <v>42661</v>
      </c>
      <c r="P942">
        <v>16.850000000000001</v>
      </c>
      <c r="Q942">
        <v>27.18</v>
      </c>
      <c r="R942">
        <f t="shared" si="85"/>
        <v>10.329999999999998</v>
      </c>
      <c r="S942">
        <v>38</v>
      </c>
      <c r="T942">
        <f t="shared" si="86"/>
        <v>1032.8399999999999</v>
      </c>
      <c r="U942">
        <v>0.01</v>
      </c>
      <c r="V942">
        <f t="shared" si="87"/>
        <v>10.3284</v>
      </c>
      <c r="W942">
        <f t="shared" si="88"/>
        <v>1022.5115999999999</v>
      </c>
      <c r="X942">
        <v>8.23</v>
      </c>
      <c r="Y942">
        <f t="shared" si="89"/>
        <v>1030.7415999999998</v>
      </c>
    </row>
    <row r="943" spans="1:25" x14ac:dyDescent="0.25">
      <c r="A943" t="s">
        <v>2029</v>
      </c>
      <c r="B943">
        <v>42657</v>
      </c>
      <c r="C943" t="str">
        <f t="shared" si="84"/>
        <v>2016</v>
      </c>
      <c r="D943" t="s">
        <v>670</v>
      </c>
      <c r="E943" t="s">
        <v>558</v>
      </c>
      <c r="F943" t="s">
        <v>257</v>
      </c>
      <c r="G943" t="s">
        <v>258</v>
      </c>
      <c r="H943" t="s">
        <v>293</v>
      </c>
      <c r="I943" t="s">
        <v>333</v>
      </c>
      <c r="J943" t="s">
        <v>304</v>
      </c>
      <c r="K943" t="s">
        <v>373</v>
      </c>
      <c r="L943" t="s">
        <v>268</v>
      </c>
      <c r="M943" t="s">
        <v>246</v>
      </c>
      <c r="N943" t="s">
        <v>247</v>
      </c>
      <c r="O943">
        <v>42660</v>
      </c>
      <c r="P943">
        <v>6.39</v>
      </c>
      <c r="Q943">
        <v>19.98</v>
      </c>
      <c r="R943">
        <f t="shared" si="85"/>
        <v>13.59</v>
      </c>
      <c r="S943">
        <v>9</v>
      </c>
      <c r="T943">
        <f t="shared" si="86"/>
        <v>179.82</v>
      </c>
      <c r="U943">
        <v>0.06</v>
      </c>
      <c r="V943">
        <f t="shared" si="87"/>
        <v>10.789199999999999</v>
      </c>
      <c r="W943">
        <f t="shared" si="88"/>
        <v>169.0308</v>
      </c>
      <c r="X943">
        <v>4</v>
      </c>
      <c r="Y943">
        <f t="shared" si="89"/>
        <v>173.0308</v>
      </c>
    </row>
    <row r="944" spans="1:25" x14ac:dyDescent="0.25">
      <c r="A944" t="s">
        <v>2030</v>
      </c>
      <c r="B944">
        <v>42658</v>
      </c>
      <c r="C944" t="str">
        <f t="shared" si="84"/>
        <v>2016</v>
      </c>
      <c r="D944" t="s">
        <v>1260</v>
      </c>
      <c r="E944" t="s">
        <v>1261</v>
      </c>
      <c r="F944" t="s">
        <v>239</v>
      </c>
      <c r="G944" t="s">
        <v>240</v>
      </c>
      <c r="H944" t="s">
        <v>259</v>
      </c>
      <c r="I944" t="s">
        <v>242</v>
      </c>
      <c r="J944" t="s">
        <v>294</v>
      </c>
      <c r="K944" t="s">
        <v>668</v>
      </c>
      <c r="L944" t="s">
        <v>440</v>
      </c>
      <c r="M944" t="s">
        <v>647</v>
      </c>
      <c r="N944" t="s">
        <v>247</v>
      </c>
      <c r="O944">
        <v>42658</v>
      </c>
      <c r="P944">
        <v>56.16</v>
      </c>
      <c r="Q944">
        <v>136.97999999999999</v>
      </c>
      <c r="R944">
        <f t="shared" si="85"/>
        <v>80.819999999999993</v>
      </c>
      <c r="S944">
        <v>27</v>
      </c>
      <c r="T944">
        <f t="shared" si="86"/>
        <v>3698.4599999999996</v>
      </c>
      <c r="U944">
        <v>0.09</v>
      </c>
      <c r="V944">
        <f t="shared" si="87"/>
        <v>332.86139999999995</v>
      </c>
      <c r="W944">
        <f t="shared" si="88"/>
        <v>3365.5985999999998</v>
      </c>
      <c r="X944">
        <v>24.49</v>
      </c>
      <c r="Y944">
        <f t="shared" si="89"/>
        <v>3390.0885999999996</v>
      </c>
    </row>
    <row r="945" spans="1:25" x14ac:dyDescent="0.25">
      <c r="A945" t="s">
        <v>2031</v>
      </c>
      <c r="B945">
        <v>42658</v>
      </c>
      <c r="C945" t="str">
        <f t="shared" si="84"/>
        <v>2016</v>
      </c>
      <c r="D945" t="s">
        <v>2032</v>
      </c>
      <c r="E945" t="s">
        <v>1621</v>
      </c>
      <c r="F945" t="s">
        <v>257</v>
      </c>
      <c r="G945" t="s">
        <v>258</v>
      </c>
      <c r="H945" t="s">
        <v>274</v>
      </c>
      <c r="I945" t="s">
        <v>381</v>
      </c>
      <c r="J945" t="s">
        <v>279</v>
      </c>
      <c r="K945" t="s">
        <v>1126</v>
      </c>
      <c r="L945" t="s">
        <v>245</v>
      </c>
      <c r="M945" t="s">
        <v>253</v>
      </c>
      <c r="N945" t="s">
        <v>263</v>
      </c>
      <c r="O945">
        <v>42658</v>
      </c>
      <c r="P945">
        <v>1.53</v>
      </c>
      <c r="Q945">
        <v>2.4700000000000002</v>
      </c>
      <c r="R945">
        <f t="shared" si="85"/>
        <v>0.94000000000000017</v>
      </c>
      <c r="S945">
        <v>45</v>
      </c>
      <c r="T945">
        <f t="shared" si="86"/>
        <v>111.15</v>
      </c>
      <c r="U945">
        <v>7.0000000000000007E-2</v>
      </c>
      <c r="V945">
        <f t="shared" si="87"/>
        <v>7.7805000000000009</v>
      </c>
      <c r="W945">
        <f t="shared" si="88"/>
        <v>103.3695</v>
      </c>
      <c r="X945">
        <v>1.02</v>
      </c>
      <c r="Y945">
        <f t="shared" si="89"/>
        <v>104.3895</v>
      </c>
    </row>
    <row r="946" spans="1:25" x14ac:dyDescent="0.25">
      <c r="A946" t="s">
        <v>2033</v>
      </c>
      <c r="B946">
        <v>42658</v>
      </c>
      <c r="C946" t="str">
        <f t="shared" si="84"/>
        <v>2016</v>
      </c>
      <c r="D946" t="s">
        <v>2032</v>
      </c>
      <c r="E946" t="s">
        <v>1621</v>
      </c>
      <c r="F946" t="s">
        <v>257</v>
      </c>
      <c r="G946" t="s">
        <v>258</v>
      </c>
      <c r="H946" t="s">
        <v>274</v>
      </c>
      <c r="I946" t="s">
        <v>381</v>
      </c>
      <c r="J946" t="s">
        <v>279</v>
      </c>
      <c r="K946" t="s">
        <v>485</v>
      </c>
      <c r="L946" t="s">
        <v>245</v>
      </c>
      <c r="M946" t="s">
        <v>253</v>
      </c>
      <c r="N946" t="s">
        <v>247</v>
      </c>
      <c r="O946">
        <v>42662</v>
      </c>
      <c r="P946">
        <v>3.48</v>
      </c>
      <c r="Q946">
        <v>5.43</v>
      </c>
      <c r="R946">
        <f t="shared" si="85"/>
        <v>1.9499999999999997</v>
      </c>
      <c r="S946">
        <v>11</v>
      </c>
      <c r="T946">
        <f t="shared" si="86"/>
        <v>59.73</v>
      </c>
      <c r="U946">
        <v>0</v>
      </c>
      <c r="V946">
        <f t="shared" si="87"/>
        <v>0</v>
      </c>
      <c r="W946">
        <f t="shared" si="88"/>
        <v>59.73</v>
      </c>
      <c r="X946">
        <v>0.95</v>
      </c>
      <c r="Y946">
        <f t="shared" si="89"/>
        <v>60.68</v>
      </c>
    </row>
    <row r="947" spans="1:25" x14ac:dyDescent="0.25">
      <c r="A947" t="s">
        <v>2034</v>
      </c>
      <c r="B947">
        <v>42659</v>
      </c>
      <c r="C947" t="str">
        <f t="shared" si="84"/>
        <v>2016</v>
      </c>
      <c r="D947" t="s">
        <v>1204</v>
      </c>
      <c r="E947" t="s">
        <v>341</v>
      </c>
      <c r="F947" t="s">
        <v>257</v>
      </c>
      <c r="G947" t="s">
        <v>258</v>
      </c>
      <c r="H947" t="s">
        <v>293</v>
      </c>
      <c r="I947" t="s">
        <v>342</v>
      </c>
      <c r="J947" t="s">
        <v>304</v>
      </c>
      <c r="K947" t="s">
        <v>280</v>
      </c>
      <c r="L947" t="s">
        <v>245</v>
      </c>
      <c r="M947" t="s">
        <v>253</v>
      </c>
      <c r="N947" t="s">
        <v>247</v>
      </c>
      <c r="O947">
        <v>42661</v>
      </c>
      <c r="P947">
        <v>1.0900000000000001</v>
      </c>
      <c r="Q947">
        <v>2.6</v>
      </c>
      <c r="R947">
        <f t="shared" si="85"/>
        <v>1.51</v>
      </c>
      <c r="S947">
        <v>12</v>
      </c>
      <c r="T947">
        <f t="shared" si="86"/>
        <v>31.200000000000003</v>
      </c>
      <c r="U947">
        <v>0.05</v>
      </c>
      <c r="V947">
        <f t="shared" si="87"/>
        <v>1.5600000000000003</v>
      </c>
      <c r="W947">
        <f t="shared" si="88"/>
        <v>29.640000000000004</v>
      </c>
      <c r="X947">
        <v>2.4</v>
      </c>
      <c r="Y947">
        <f t="shared" si="89"/>
        <v>32.040000000000006</v>
      </c>
    </row>
    <row r="948" spans="1:25" x14ac:dyDescent="0.25">
      <c r="A948" t="s">
        <v>2035</v>
      </c>
      <c r="B948">
        <v>42661</v>
      </c>
      <c r="C948" t="str">
        <f t="shared" si="84"/>
        <v>2016</v>
      </c>
      <c r="D948" t="s">
        <v>1377</v>
      </c>
      <c r="E948" t="s">
        <v>739</v>
      </c>
      <c r="F948" t="s">
        <v>257</v>
      </c>
      <c r="G948" t="s">
        <v>258</v>
      </c>
      <c r="H948" t="s">
        <v>241</v>
      </c>
      <c r="I948" t="s">
        <v>299</v>
      </c>
      <c r="J948" t="s">
        <v>304</v>
      </c>
      <c r="K948" t="s">
        <v>668</v>
      </c>
      <c r="L948" t="s">
        <v>440</v>
      </c>
      <c r="M948" t="s">
        <v>647</v>
      </c>
      <c r="N948" t="s">
        <v>247</v>
      </c>
      <c r="O948">
        <v>42664</v>
      </c>
      <c r="P948">
        <v>56.16</v>
      </c>
      <c r="Q948">
        <v>136.97999999999999</v>
      </c>
      <c r="R948">
        <f t="shared" si="85"/>
        <v>80.819999999999993</v>
      </c>
      <c r="S948">
        <v>21</v>
      </c>
      <c r="T948">
        <f t="shared" si="86"/>
        <v>2876.58</v>
      </c>
      <c r="U948">
        <v>0.05</v>
      </c>
      <c r="V948">
        <f t="shared" si="87"/>
        <v>143.82900000000001</v>
      </c>
      <c r="W948">
        <f t="shared" si="88"/>
        <v>2732.7509999999997</v>
      </c>
      <c r="X948">
        <v>24.49</v>
      </c>
      <c r="Y948">
        <f t="shared" si="89"/>
        <v>2757.2409999999995</v>
      </c>
    </row>
    <row r="949" spans="1:25" x14ac:dyDescent="0.25">
      <c r="A949" t="s">
        <v>2036</v>
      </c>
      <c r="B949">
        <v>42662</v>
      </c>
      <c r="C949" t="str">
        <f t="shared" si="84"/>
        <v>2016</v>
      </c>
      <c r="D949" t="s">
        <v>1503</v>
      </c>
      <c r="E949" t="s">
        <v>760</v>
      </c>
      <c r="F949" t="s">
        <v>448</v>
      </c>
      <c r="G949" t="s">
        <v>449</v>
      </c>
      <c r="H949" t="s">
        <v>259</v>
      </c>
      <c r="I949" t="s">
        <v>333</v>
      </c>
      <c r="J949" t="s">
        <v>261</v>
      </c>
      <c r="K949" t="s">
        <v>676</v>
      </c>
      <c r="L949" t="s">
        <v>245</v>
      </c>
      <c r="M949" t="s">
        <v>323</v>
      </c>
      <c r="N949" t="s">
        <v>247</v>
      </c>
      <c r="O949">
        <v>42664</v>
      </c>
      <c r="P949">
        <v>5.19</v>
      </c>
      <c r="Q949">
        <v>12.98</v>
      </c>
      <c r="R949">
        <f t="shared" si="85"/>
        <v>7.79</v>
      </c>
      <c r="S949">
        <v>49</v>
      </c>
      <c r="T949">
        <f t="shared" si="86"/>
        <v>636.02</v>
      </c>
      <c r="U949">
        <v>0.09</v>
      </c>
      <c r="V949">
        <f t="shared" si="87"/>
        <v>57.241799999999998</v>
      </c>
      <c r="W949">
        <f t="shared" si="88"/>
        <v>578.77819999999997</v>
      </c>
      <c r="X949">
        <v>3.14</v>
      </c>
      <c r="Y949">
        <f t="shared" si="89"/>
        <v>581.91819999999996</v>
      </c>
    </row>
    <row r="950" spans="1:25" x14ac:dyDescent="0.25">
      <c r="A950" t="s">
        <v>2037</v>
      </c>
      <c r="B950">
        <v>42663</v>
      </c>
      <c r="C950" t="str">
        <f t="shared" si="84"/>
        <v>2016</v>
      </c>
      <c r="D950" t="s">
        <v>980</v>
      </c>
      <c r="E950" t="s">
        <v>928</v>
      </c>
      <c r="F950" t="s">
        <v>257</v>
      </c>
      <c r="G950" t="s">
        <v>258</v>
      </c>
      <c r="H950" t="s">
        <v>241</v>
      </c>
      <c r="I950" t="s">
        <v>284</v>
      </c>
      <c r="J950" t="s">
        <v>294</v>
      </c>
      <c r="K950" t="s">
        <v>634</v>
      </c>
      <c r="L950" t="s">
        <v>245</v>
      </c>
      <c r="M950" t="s">
        <v>246</v>
      </c>
      <c r="N950" t="s">
        <v>247</v>
      </c>
      <c r="O950">
        <v>42663</v>
      </c>
      <c r="P950">
        <v>2.2599999999999998</v>
      </c>
      <c r="Q950">
        <v>3.58</v>
      </c>
      <c r="R950">
        <f t="shared" si="85"/>
        <v>1.3200000000000003</v>
      </c>
      <c r="S950">
        <v>34</v>
      </c>
      <c r="T950">
        <f t="shared" si="86"/>
        <v>121.72</v>
      </c>
      <c r="U950">
        <v>7.0000000000000007E-2</v>
      </c>
      <c r="V950">
        <f t="shared" si="87"/>
        <v>8.5204000000000004</v>
      </c>
      <c r="W950">
        <f t="shared" si="88"/>
        <v>113.1996</v>
      </c>
      <c r="X950">
        <v>5.47</v>
      </c>
      <c r="Y950">
        <f t="shared" si="89"/>
        <v>118.6696</v>
      </c>
    </row>
    <row r="951" spans="1:25" x14ac:dyDescent="0.25">
      <c r="A951" t="s">
        <v>2038</v>
      </c>
      <c r="B951">
        <v>42665</v>
      </c>
      <c r="C951" t="str">
        <f t="shared" si="84"/>
        <v>2016</v>
      </c>
      <c r="D951" t="s">
        <v>1340</v>
      </c>
      <c r="E951" t="s">
        <v>816</v>
      </c>
      <c r="F951" t="s">
        <v>257</v>
      </c>
      <c r="G951" t="s">
        <v>258</v>
      </c>
      <c r="H951" t="s">
        <v>293</v>
      </c>
      <c r="I951" t="s">
        <v>492</v>
      </c>
      <c r="J951" t="s">
        <v>294</v>
      </c>
      <c r="K951" t="s">
        <v>368</v>
      </c>
      <c r="L951" t="s">
        <v>245</v>
      </c>
      <c r="M951" t="s">
        <v>246</v>
      </c>
      <c r="N951" t="s">
        <v>247</v>
      </c>
      <c r="O951">
        <v>42667</v>
      </c>
      <c r="P951">
        <v>1.59</v>
      </c>
      <c r="Q951">
        <v>2.61</v>
      </c>
      <c r="R951">
        <f t="shared" si="85"/>
        <v>1.0199999999999998</v>
      </c>
      <c r="S951">
        <v>44</v>
      </c>
      <c r="T951">
        <f t="shared" si="86"/>
        <v>114.83999999999999</v>
      </c>
      <c r="U951">
        <v>7.0000000000000007E-2</v>
      </c>
      <c r="V951">
        <f t="shared" si="87"/>
        <v>8.0388000000000002</v>
      </c>
      <c r="W951">
        <f t="shared" si="88"/>
        <v>106.80119999999999</v>
      </c>
      <c r="X951">
        <v>0.5</v>
      </c>
      <c r="Y951">
        <f t="shared" si="89"/>
        <v>107.30119999999999</v>
      </c>
    </row>
    <row r="952" spans="1:25" x14ac:dyDescent="0.25">
      <c r="A952" t="s">
        <v>2039</v>
      </c>
      <c r="B952">
        <v>42666</v>
      </c>
      <c r="C952" t="str">
        <f t="shared" si="84"/>
        <v>2016</v>
      </c>
      <c r="D952" t="s">
        <v>1433</v>
      </c>
      <c r="E952" t="s">
        <v>467</v>
      </c>
      <c r="F952" t="s">
        <v>257</v>
      </c>
      <c r="G952" t="s">
        <v>258</v>
      </c>
      <c r="H952" t="s">
        <v>274</v>
      </c>
      <c r="I952" t="s">
        <v>342</v>
      </c>
      <c r="J952" t="s">
        <v>261</v>
      </c>
      <c r="K952" t="s">
        <v>413</v>
      </c>
      <c r="L952" t="s">
        <v>268</v>
      </c>
      <c r="M952" t="s">
        <v>414</v>
      </c>
      <c r="N952" t="s">
        <v>247</v>
      </c>
      <c r="O952">
        <v>42668</v>
      </c>
      <c r="P952">
        <v>8.82</v>
      </c>
      <c r="Q952">
        <v>20.99</v>
      </c>
      <c r="R952">
        <f t="shared" si="85"/>
        <v>12.169999999999998</v>
      </c>
      <c r="S952">
        <v>17</v>
      </c>
      <c r="T952">
        <f t="shared" si="86"/>
        <v>356.83</v>
      </c>
      <c r="U952">
        <v>0</v>
      </c>
      <c r="V952">
        <f t="shared" si="87"/>
        <v>0</v>
      </c>
      <c r="W952">
        <f t="shared" si="88"/>
        <v>356.83</v>
      </c>
      <c r="X952">
        <v>4.8099999999999996</v>
      </c>
      <c r="Y952">
        <f t="shared" si="89"/>
        <v>361.64</v>
      </c>
    </row>
    <row r="953" spans="1:25" x14ac:dyDescent="0.25">
      <c r="A953" t="s">
        <v>2040</v>
      </c>
      <c r="B953">
        <v>42666</v>
      </c>
      <c r="C953" t="str">
        <f t="shared" si="84"/>
        <v>2016</v>
      </c>
      <c r="D953" t="s">
        <v>315</v>
      </c>
      <c r="E953" t="s">
        <v>316</v>
      </c>
      <c r="F953" t="s">
        <v>239</v>
      </c>
      <c r="G953" t="s">
        <v>240</v>
      </c>
      <c r="H953" t="s">
        <v>259</v>
      </c>
      <c r="I953" t="s">
        <v>242</v>
      </c>
      <c r="J953" t="s">
        <v>279</v>
      </c>
      <c r="K953" t="s">
        <v>668</v>
      </c>
      <c r="L953" t="s">
        <v>440</v>
      </c>
      <c r="M953" t="s">
        <v>647</v>
      </c>
      <c r="N953" t="s">
        <v>247</v>
      </c>
      <c r="O953">
        <v>42673</v>
      </c>
      <c r="P953">
        <v>56.16</v>
      </c>
      <c r="Q953">
        <v>136.97999999999999</v>
      </c>
      <c r="R953">
        <f t="shared" si="85"/>
        <v>80.819999999999993</v>
      </c>
      <c r="S953">
        <v>3</v>
      </c>
      <c r="T953">
        <f t="shared" si="86"/>
        <v>410.93999999999994</v>
      </c>
      <c r="U953">
        <v>0.1</v>
      </c>
      <c r="V953">
        <f t="shared" si="87"/>
        <v>41.093999999999994</v>
      </c>
      <c r="W953">
        <f t="shared" si="88"/>
        <v>369.84599999999995</v>
      </c>
      <c r="X953">
        <v>24.49</v>
      </c>
      <c r="Y953">
        <f t="shared" si="89"/>
        <v>394.33599999999996</v>
      </c>
    </row>
    <row r="954" spans="1:25" x14ac:dyDescent="0.25">
      <c r="A954" t="s">
        <v>2041</v>
      </c>
      <c r="B954">
        <v>42666</v>
      </c>
      <c r="C954" t="str">
        <f t="shared" si="84"/>
        <v>2016</v>
      </c>
      <c r="D954" t="s">
        <v>1013</v>
      </c>
      <c r="E954" t="s">
        <v>1014</v>
      </c>
      <c r="F954" t="s">
        <v>257</v>
      </c>
      <c r="G954" t="s">
        <v>258</v>
      </c>
      <c r="H954" t="s">
        <v>274</v>
      </c>
      <c r="I954" t="s">
        <v>492</v>
      </c>
      <c r="J954" t="s">
        <v>304</v>
      </c>
      <c r="K954" t="s">
        <v>625</v>
      </c>
      <c r="L954" t="s">
        <v>245</v>
      </c>
      <c r="M954" t="s">
        <v>246</v>
      </c>
      <c r="N954" t="s">
        <v>247</v>
      </c>
      <c r="O954">
        <v>42668</v>
      </c>
      <c r="P954">
        <v>1.84</v>
      </c>
      <c r="Q954">
        <v>2.88</v>
      </c>
      <c r="R954">
        <f t="shared" si="85"/>
        <v>1.0399999999999998</v>
      </c>
      <c r="S954">
        <v>32</v>
      </c>
      <c r="T954">
        <f t="shared" si="86"/>
        <v>92.16</v>
      </c>
      <c r="U954">
        <v>0.01</v>
      </c>
      <c r="V954">
        <f t="shared" si="87"/>
        <v>0.92159999999999997</v>
      </c>
      <c r="W954">
        <f t="shared" si="88"/>
        <v>91.238399999999999</v>
      </c>
      <c r="X954">
        <v>1.49</v>
      </c>
      <c r="Y954">
        <f t="shared" si="89"/>
        <v>92.728399999999993</v>
      </c>
    </row>
    <row r="955" spans="1:25" x14ac:dyDescent="0.25">
      <c r="A955" t="s">
        <v>2042</v>
      </c>
      <c r="B955">
        <v>42668</v>
      </c>
      <c r="C955" t="str">
        <f t="shared" si="84"/>
        <v>2016</v>
      </c>
      <c r="D955" t="s">
        <v>840</v>
      </c>
      <c r="E955" t="s">
        <v>633</v>
      </c>
      <c r="F955" t="s">
        <v>239</v>
      </c>
      <c r="G955" t="s">
        <v>240</v>
      </c>
      <c r="H955" t="s">
        <v>259</v>
      </c>
      <c r="I955" t="s">
        <v>242</v>
      </c>
      <c r="J955" t="s">
        <v>261</v>
      </c>
      <c r="K955" t="s">
        <v>368</v>
      </c>
      <c r="L955" t="s">
        <v>245</v>
      </c>
      <c r="M955" t="s">
        <v>246</v>
      </c>
      <c r="N955" t="s">
        <v>263</v>
      </c>
      <c r="O955">
        <v>42670</v>
      </c>
      <c r="P955">
        <v>1.59</v>
      </c>
      <c r="Q955">
        <v>2.61</v>
      </c>
      <c r="R955">
        <f t="shared" si="85"/>
        <v>1.0199999999999998</v>
      </c>
      <c r="S955">
        <v>25</v>
      </c>
      <c r="T955">
        <f t="shared" si="86"/>
        <v>65.25</v>
      </c>
      <c r="U955">
        <v>0.04</v>
      </c>
      <c r="V955">
        <f t="shared" si="87"/>
        <v>2.61</v>
      </c>
      <c r="W955">
        <f t="shared" si="88"/>
        <v>62.64</v>
      </c>
      <c r="X955">
        <v>0.5</v>
      </c>
      <c r="Y955">
        <f t="shared" si="89"/>
        <v>63.14</v>
      </c>
    </row>
    <row r="956" spans="1:25" x14ac:dyDescent="0.25">
      <c r="A956" t="s">
        <v>2043</v>
      </c>
      <c r="B956">
        <v>42668</v>
      </c>
      <c r="C956" t="str">
        <f t="shared" si="84"/>
        <v>2016</v>
      </c>
      <c r="D956" t="s">
        <v>1270</v>
      </c>
      <c r="E956" t="s">
        <v>283</v>
      </c>
      <c r="F956" t="s">
        <v>257</v>
      </c>
      <c r="G956" t="s">
        <v>258</v>
      </c>
      <c r="H956" t="s">
        <v>259</v>
      </c>
      <c r="I956" t="s">
        <v>284</v>
      </c>
      <c r="J956" t="s">
        <v>243</v>
      </c>
      <c r="K956" t="s">
        <v>276</v>
      </c>
      <c r="L956" t="s">
        <v>245</v>
      </c>
      <c r="M956" t="s">
        <v>253</v>
      </c>
      <c r="N956" t="s">
        <v>247</v>
      </c>
      <c r="O956">
        <v>42670</v>
      </c>
      <c r="P956">
        <v>0.9</v>
      </c>
      <c r="Q956">
        <v>2.1</v>
      </c>
      <c r="R956">
        <f t="shared" si="85"/>
        <v>1.2000000000000002</v>
      </c>
      <c r="S956">
        <v>33</v>
      </c>
      <c r="T956">
        <f t="shared" si="86"/>
        <v>69.3</v>
      </c>
      <c r="U956">
        <v>0.05</v>
      </c>
      <c r="V956">
        <f t="shared" si="87"/>
        <v>3.4649999999999999</v>
      </c>
      <c r="W956">
        <f t="shared" si="88"/>
        <v>65.834999999999994</v>
      </c>
      <c r="X956">
        <v>0.7</v>
      </c>
      <c r="Y956">
        <f t="shared" si="89"/>
        <v>66.534999999999997</v>
      </c>
    </row>
    <row r="957" spans="1:25" x14ac:dyDescent="0.25">
      <c r="A957" t="s">
        <v>2044</v>
      </c>
      <c r="B957">
        <v>42670</v>
      </c>
      <c r="C957" t="str">
        <f t="shared" si="84"/>
        <v>2016</v>
      </c>
      <c r="D957" t="s">
        <v>237</v>
      </c>
      <c r="E957" t="s">
        <v>238</v>
      </c>
      <c r="F957" t="s">
        <v>239</v>
      </c>
      <c r="G957" t="s">
        <v>240</v>
      </c>
      <c r="H957" t="s">
        <v>241</v>
      </c>
      <c r="I957" t="s">
        <v>242</v>
      </c>
      <c r="J957" t="s">
        <v>304</v>
      </c>
      <c r="K957" t="s">
        <v>586</v>
      </c>
      <c r="L957" t="s">
        <v>268</v>
      </c>
      <c r="M957" t="s">
        <v>246</v>
      </c>
      <c r="N957" t="s">
        <v>247</v>
      </c>
      <c r="O957">
        <v>42671</v>
      </c>
      <c r="P957">
        <v>54.52</v>
      </c>
      <c r="Q957">
        <v>100.97</v>
      </c>
      <c r="R957">
        <f t="shared" si="85"/>
        <v>46.449999999999996</v>
      </c>
      <c r="S957">
        <v>29</v>
      </c>
      <c r="T957">
        <f t="shared" si="86"/>
        <v>2928.13</v>
      </c>
      <c r="U957">
        <v>0.05</v>
      </c>
      <c r="V957">
        <f t="shared" si="87"/>
        <v>146.40650000000002</v>
      </c>
      <c r="W957">
        <f t="shared" si="88"/>
        <v>2781.7235000000001</v>
      </c>
      <c r="X957">
        <v>7.18</v>
      </c>
      <c r="Y957">
        <f t="shared" si="89"/>
        <v>2788.9034999999999</v>
      </c>
    </row>
    <row r="958" spans="1:25" x14ac:dyDescent="0.25">
      <c r="A958" t="s">
        <v>2045</v>
      </c>
      <c r="B958">
        <v>42670</v>
      </c>
      <c r="C958" t="str">
        <f t="shared" si="84"/>
        <v>2016</v>
      </c>
      <c r="D958" t="s">
        <v>237</v>
      </c>
      <c r="E958" t="s">
        <v>238</v>
      </c>
      <c r="F958" t="s">
        <v>239</v>
      </c>
      <c r="G958" t="s">
        <v>240</v>
      </c>
      <c r="H958" t="s">
        <v>241</v>
      </c>
      <c r="I958" t="s">
        <v>242</v>
      </c>
      <c r="J958" t="s">
        <v>304</v>
      </c>
      <c r="K958" t="s">
        <v>941</v>
      </c>
      <c r="L958" t="s">
        <v>245</v>
      </c>
      <c r="M958" t="s">
        <v>253</v>
      </c>
      <c r="N958" t="s">
        <v>247</v>
      </c>
      <c r="O958">
        <v>42670</v>
      </c>
      <c r="P958">
        <v>2.59</v>
      </c>
      <c r="Q958">
        <v>3.98</v>
      </c>
      <c r="R958">
        <f t="shared" si="85"/>
        <v>1.3900000000000001</v>
      </c>
      <c r="S958">
        <v>4</v>
      </c>
      <c r="T958">
        <f t="shared" si="86"/>
        <v>15.92</v>
      </c>
      <c r="U958">
        <v>0.09</v>
      </c>
      <c r="V958">
        <f t="shared" si="87"/>
        <v>1.4327999999999999</v>
      </c>
      <c r="W958">
        <f t="shared" si="88"/>
        <v>14.4872</v>
      </c>
      <c r="X958">
        <v>2.97</v>
      </c>
      <c r="Y958">
        <f t="shared" si="89"/>
        <v>17.4572</v>
      </c>
    </row>
    <row r="959" spans="1:25" x14ac:dyDescent="0.25">
      <c r="A959" t="s">
        <v>2046</v>
      </c>
      <c r="B959">
        <v>42671</v>
      </c>
      <c r="C959" t="str">
        <f t="shared" si="84"/>
        <v>2016</v>
      </c>
      <c r="D959" t="s">
        <v>2047</v>
      </c>
      <c r="E959" t="s">
        <v>367</v>
      </c>
      <c r="F959" t="s">
        <v>239</v>
      </c>
      <c r="G959" t="s">
        <v>240</v>
      </c>
      <c r="H959" t="s">
        <v>241</v>
      </c>
      <c r="I959" t="s">
        <v>251</v>
      </c>
      <c r="J959" t="s">
        <v>279</v>
      </c>
      <c r="K959" t="s">
        <v>607</v>
      </c>
      <c r="L959" t="s">
        <v>245</v>
      </c>
      <c r="M959" t="s">
        <v>246</v>
      </c>
      <c r="N959" t="s">
        <v>263</v>
      </c>
      <c r="O959">
        <v>42680</v>
      </c>
      <c r="P959">
        <v>4.46</v>
      </c>
      <c r="Q959">
        <v>10.89</v>
      </c>
      <c r="R959">
        <f t="shared" si="85"/>
        <v>6.4300000000000006</v>
      </c>
      <c r="S959">
        <v>30</v>
      </c>
      <c r="T959">
        <f t="shared" si="86"/>
        <v>326.70000000000005</v>
      </c>
      <c r="U959">
        <v>0.08</v>
      </c>
      <c r="V959">
        <f t="shared" si="87"/>
        <v>26.136000000000003</v>
      </c>
      <c r="W959">
        <f t="shared" si="88"/>
        <v>300.56400000000002</v>
      </c>
      <c r="X959">
        <v>4.5</v>
      </c>
      <c r="Y959">
        <f t="shared" si="89"/>
        <v>305.06400000000002</v>
      </c>
    </row>
    <row r="960" spans="1:25" x14ac:dyDescent="0.25">
      <c r="A960" t="s">
        <v>2048</v>
      </c>
      <c r="B960">
        <v>42671</v>
      </c>
      <c r="C960" t="str">
        <f t="shared" si="84"/>
        <v>2016</v>
      </c>
      <c r="D960" t="s">
        <v>937</v>
      </c>
      <c r="E960" t="s">
        <v>938</v>
      </c>
      <c r="F960" t="s">
        <v>239</v>
      </c>
      <c r="G960" t="s">
        <v>240</v>
      </c>
      <c r="H960" t="s">
        <v>259</v>
      </c>
      <c r="I960" t="s">
        <v>242</v>
      </c>
      <c r="J960" t="s">
        <v>261</v>
      </c>
      <c r="K960" t="s">
        <v>555</v>
      </c>
      <c r="L960" t="s">
        <v>245</v>
      </c>
      <c r="M960" t="s">
        <v>246</v>
      </c>
      <c r="N960" t="s">
        <v>247</v>
      </c>
      <c r="O960">
        <v>42673</v>
      </c>
      <c r="P960">
        <v>1.98</v>
      </c>
      <c r="Q960">
        <v>3.15</v>
      </c>
      <c r="R960">
        <f t="shared" si="85"/>
        <v>1.17</v>
      </c>
      <c r="S960">
        <v>24</v>
      </c>
      <c r="T960">
        <f t="shared" si="86"/>
        <v>75.599999999999994</v>
      </c>
      <c r="U960">
        <v>0.02</v>
      </c>
      <c r="V960">
        <f t="shared" si="87"/>
        <v>1.512</v>
      </c>
      <c r="W960">
        <f t="shared" si="88"/>
        <v>74.087999999999994</v>
      </c>
      <c r="X960">
        <v>0.49</v>
      </c>
      <c r="Y960">
        <f t="shared" si="89"/>
        <v>74.577999999999989</v>
      </c>
    </row>
    <row r="961" spans="1:25" x14ac:dyDescent="0.25">
      <c r="A961" t="s">
        <v>2049</v>
      </c>
      <c r="B961">
        <v>42672</v>
      </c>
      <c r="C961" t="str">
        <f t="shared" si="84"/>
        <v>2016</v>
      </c>
      <c r="D961" t="s">
        <v>2050</v>
      </c>
      <c r="E961" t="s">
        <v>1165</v>
      </c>
      <c r="F961" t="s">
        <v>257</v>
      </c>
      <c r="G961" t="s">
        <v>258</v>
      </c>
      <c r="H961" t="s">
        <v>241</v>
      </c>
      <c r="I961" t="s">
        <v>381</v>
      </c>
      <c r="J961" t="s">
        <v>261</v>
      </c>
      <c r="K961" t="s">
        <v>373</v>
      </c>
      <c r="L961" t="s">
        <v>268</v>
      </c>
      <c r="M961" t="s">
        <v>246</v>
      </c>
      <c r="N961" t="s">
        <v>247</v>
      </c>
      <c r="O961">
        <v>42673</v>
      </c>
      <c r="P961">
        <v>6.39</v>
      </c>
      <c r="Q961">
        <v>19.98</v>
      </c>
      <c r="R961">
        <f t="shared" si="85"/>
        <v>13.59</v>
      </c>
      <c r="S961">
        <v>9</v>
      </c>
      <c r="T961">
        <f t="shared" si="86"/>
        <v>179.82</v>
      </c>
      <c r="U961">
        <v>0.09</v>
      </c>
      <c r="V961">
        <f t="shared" si="87"/>
        <v>16.183799999999998</v>
      </c>
      <c r="W961">
        <f t="shared" si="88"/>
        <v>163.6362</v>
      </c>
      <c r="X961">
        <v>4</v>
      </c>
      <c r="Y961">
        <f t="shared" si="89"/>
        <v>167.6362</v>
      </c>
    </row>
    <row r="962" spans="1:25" x14ac:dyDescent="0.25">
      <c r="A962" t="s">
        <v>2051</v>
      </c>
      <c r="B962">
        <v>42674</v>
      </c>
      <c r="C962" t="str">
        <f t="shared" si="84"/>
        <v>2016</v>
      </c>
      <c r="D962" t="s">
        <v>2052</v>
      </c>
      <c r="E962" t="s">
        <v>581</v>
      </c>
      <c r="F962" t="s">
        <v>257</v>
      </c>
      <c r="G962" t="s">
        <v>258</v>
      </c>
      <c r="H962" t="s">
        <v>259</v>
      </c>
      <c r="I962" t="s">
        <v>309</v>
      </c>
      <c r="J962" t="s">
        <v>304</v>
      </c>
      <c r="K962" t="s">
        <v>433</v>
      </c>
      <c r="L962" t="s">
        <v>268</v>
      </c>
      <c r="M962" t="s">
        <v>414</v>
      </c>
      <c r="N962" t="s">
        <v>247</v>
      </c>
      <c r="O962">
        <v>42674</v>
      </c>
      <c r="P962">
        <v>9.91</v>
      </c>
      <c r="Q962">
        <v>15.99</v>
      </c>
      <c r="R962">
        <f t="shared" si="85"/>
        <v>6.08</v>
      </c>
      <c r="S962">
        <v>33</v>
      </c>
      <c r="T962">
        <f t="shared" si="86"/>
        <v>527.66999999999996</v>
      </c>
      <c r="U962">
        <v>0.01</v>
      </c>
      <c r="V962">
        <f t="shared" si="87"/>
        <v>5.2766999999999999</v>
      </c>
      <c r="W962">
        <f t="shared" si="88"/>
        <v>522.39329999999995</v>
      </c>
      <c r="X962">
        <v>11.28</v>
      </c>
      <c r="Y962">
        <f t="shared" si="89"/>
        <v>533.67329999999993</v>
      </c>
    </row>
    <row r="963" spans="1:25" x14ac:dyDescent="0.25">
      <c r="A963" t="s">
        <v>2053</v>
      </c>
      <c r="B963">
        <v>42674</v>
      </c>
      <c r="C963" t="str">
        <f t="shared" si="84"/>
        <v>2016</v>
      </c>
      <c r="D963" t="s">
        <v>1684</v>
      </c>
      <c r="E963" t="s">
        <v>1001</v>
      </c>
      <c r="F963" t="s">
        <v>239</v>
      </c>
      <c r="G963" t="s">
        <v>240</v>
      </c>
      <c r="H963" t="s">
        <v>259</v>
      </c>
      <c r="I963" t="s">
        <v>251</v>
      </c>
      <c r="J963" t="s">
        <v>304</v>
      </c>
      <c r="K963" t="s">
        <v>603</v>
      </c>
      <c r="L963" t="s">
        <v>245</v>
      </c>
      <c r="M963" t="s">
        <v>246</v>
      </c>
      <c r="N963" t="s">
        <v>247</v>
      </c>
      <c r="O963">
        <v>42675</v>
      </c>
      <c r="P963">
        <v>3.65</v>
      </c>
      <c r="Q963">
        <v>5.98</v>
      </c>
      <c r="R963">
        <f t="shared" si="85"/>
        <v>2.3300000000000005</v>
      </c>
      <c r="S963">
        <v>23</v>
      </c>
      <c r="T963">
        <f t="shared" si="86"/>
        <v>137.54000000000002</v>
      </c>
      <c r="U963">
        <v>0.01</v>
      </c>
      <c r="V963">
        <f t="shared" si="87"/>
        <v>1.3754000000000002</v>
      </c>
      <c r="W963">
        <f t="shared" si="88"/>
        <v>136.16460000000001</v>
      </c>
      <c r="X963">
        <v>1.49</v>
      </c>
      <c r="Y963">
        <f t="shared" si="89"/>
        <v>137.65460000000002</v>
      </c>
    </row>
    <row r="964" spans="1:25" x14ac:dyDescent="0.25">
      <c r="A964" t="s">
        <v>2054</v>
      </c>
      <c r="B964">
        <v>42674</v>
      </c>
      <c r="C964" t="str">
        <f t="shared" si="84"/>
        <v>2016</v>
      </c>
      <c r="D964" t="s">
        <v>580</v>
      </c>
      <c r="E964" t="s">
        <v>581</v>
      </c>
      <c r="F964" t="s">
        <v>257</v>
      </c>
      <c r="G964" t="s">
        <v>258</v>
      </c>
      <c r="H964" t="s">
        <v>241</v>
      </c>
      <c r="I964" t="s">
        <v>309</v>
      </c>
      <c r="J964" t="s">
        <v>294</v>
      </c>
      <c r="K964" t="s">
        <v>653</v>
      </c>
      <c r="L964" t="s">
        <v>245</v>
      </c>
      <c r="M964" t="s">
        <v>246</v>
      </c>
      <c r="N964" t="s">
        <v>247</v>
      </c>
      <c r="O964">
        <v>42677</v>
      </c>
      <c r="P964">
        <v>3.5</v>
      </c>
      <c r="Q964">
        <v>5.74</v>
      </c>
      <c r="R964">
        <f t="shared" si="85"/>
        <v>2.2400000000000002</v>
      </c>
      <c r="S964">
        <v>48</v>
      </c>
      <c r="T964">
        <f t="shared" si="86"/>
        <v>275.52</v>
      </c>
      <c r="U964">
        <v>0.05</v>
      </c>
      <c r="V964">
        <f t="shared" si="87"/>
        <v>13.776</v>
      </c>
      <c r="W964">
        <f t="shared" si="88"/>
        <v>261.74399999999997</v>
      </c>
      <c r="X964">
        <v>5.01</v>
      </c>
      <c r="Y964">
        <f t="shared" si="89"/>
        <v>266.75399999999996</v>
      </c>
    </row>
    <row r="965" spans="1:25" x14ac:dyDescent="0.25">
      <c r="A965" t="s">
        <v>2055</v>
      </c>
      <c r="B965">
        <v>42676</v>
      </c>
      <c r="C965" t="str">
        <f t="shared" si="84"/>
        <v>2016</v>
      </c>
      <c r="D965" t="s">
        <v>801</v>
      </c>
      <c r="E965" t="s">
        <v>802</v>
      </c>
      <c r="F965" t="s">
        <v>257</v>
      </c>
      <c r="G965" t="s">
        <v>258</v>
      </c>
      <c r="H965" t="s">
        <v>259</v>
      </c>
      <c r="I965" t="s">
        <v>284</v>
      </c>
      <c r="J965" t="s">
        <v>261</v>
      </c>
      <c r="K965" t="s">
        <v>377</v>
      </c>
      <c r="L965" t="s">
        <v>268</v>
      </c>
      <c r="M965" t="s">
        <v>246</v>
      </c>
      <c r="N965" t="s">
        <v>247</v>
      </c>
      <c r="O965">
        <v>42677</v>
      </c>
      <c r="P965">
        <v>39.64</v>
      </c>
      <c r="Q965">
        <v>152.47999999999999</v>
      </c>
      <c r="R965">
        <f t="shared" si="85"/>
        <v>112.83999999999999</v>
      </c>
      <c r="S965">
        <v>44</v>
      </c>
      <c r="T965">
        <f t="shared" si="86"/>
        <v>6709.12</v>
      </c>
      <c r="U965">
        <v>0.03</v>
      </c>
      <c r="V965">
        <f t="shared" si="87"/>
        <v>201.27359999999999</v>
      </c>
      <c r="W965">
        <f t="shared" si="88"/>
        <v>6507.8464000000004</v>
      </c>
      <c r="X965">
        <v>6.5</v>
      </c>
      <c r="Y965">
        <f t="shared" si="89"/>
        <v>6514.3464000000004</v>
      </c>
    </row>
    <row r="966" spans="1:25" x14ac:dyDescent="0.25">
      <c r="A966" t="s">
        <v>2056</v>
      </c>
      <c r="B966">
        <v>42676</v>
      </c>
      <c r="C966" t="str">
        <f t="shared" ref="C966:C1029" si="90">TEXT(B966,"yyyy")</f>
        <v>2016</v>
      </c>
      <c r="D966" t="s">
        <v>2057</v>
      </c>
      <c r="E966" t="s">
        <v>546</v>
      </c>
      <c r="F966" t="s">
        <v>257</v>
      </c>
      <c r="G966" t="s">
        <v>258</v>
      </c>
      <c r="H966" t="s">
        <v>241</v>
      </c>
      <c r="I966" t="s">
        <v>260</v>
      </c>
      <c r="J966" t="s">
        <v>294</v>
      </c>
      <c r="K966" t="s">
        <v>718</v>
      </c>
      <c r="L966" t="s">
        <v>245</v>
      </c>
      <c r="M966" t="s">
        <v>323</v>
      </c>
      <c r="N966" t="s">
        <v>247</v>
      </c>
      <c r="O966">
        <v>42677</v>
      </c>
      <c r="P966">
        <v>2.5</v>
      </c>
      <c r="Q966">
        <v>5.68</v>
      </c>
      <c r="R966">
        <f t="shared" ref="R966:R1029" si="91">Q966-P966</f>
        <v>3.1799999999999997</v>
      </c>
      <c r="S966">
        <v>34</v>
      </c>
      <c r="T966">
        <f t="shared" ref="T966:T1029" si="92">Q966*S966</f>
        <v>193.12</v>
      </c>
      <c r="U966">
        <v>0</v>
      </c>
      <c r="V966">
        <f t="shared" ref="V966:V1029" si="93">T966*U966</f>
        <v>0</v>
      </c>
      <c r="W966">
        <f t="shared" ref="W966:W1029" si="94">T966-V966</f>
        <v>193.12</v>
      </c>
      <c r="X966">
        <v>3.6</v>
      </c>
      <c r="Y966">
        <f t="shared" ref="Y966:Y1029" si="95">W966+X966</f>
        <v>196.72</v>
      </c>
    </row>
    <row r="967" spans="1:25" x14ac:dyDescent="0.25">
      <c r="A967" t="s">
        <v>2058</v>
      </c>
      <c r="B967">
        <v>42676</v>
      </c>
      <c r="C967" t="str">
        <f t="shared" si="90"/>
        <v>2016</v>
      </c>
      <c r="D967" t="s">
        <v>1466</v>
      </c>
      <c r="E967" t="s">
        <v>798</v>
      </c>
      <c r="F967" t="s">
        <v>448</v>
      </c>
      <c r="G967" t="s">
        <v>449</v>
      </c>
      <c r="H967" t="s">
        <v>241</v>
      </c>
      <c r="I967" t="s">
        <v>299</v>
      </c>
      <c r="J967" t="s">
        <v>294</v>
      </c>
      <c r="K967" t="s">
        <v>786</v>
      </c>
      <c r="L967" t="s">
        <v>245</v>
      </c>
      <c r="M967" t="s">
        <v>323</v>
      </c>
      <c r="N967" t="s">
        <v>247</v>
      </c>
      <c r="O967">
        <v>42678</v>
      </c>
      <c r="P967">
        <v>16.8</v>
      </c>
      <c r="Q967">
        <v>40.97</v>
      </c>
      <c r="R967">
        <f t="shared" si="91"/>
        <v>24.169999999999998</v>
      </c>
      <c r="S967">
        <v>26</v>
      </c>
      <c r="T967">
        <f t="shared" si="92"/>
        <v>1065.22</v>
      </c>
      <c r="U967">
        <v>0.06</v>
      </c>
      <c r="V967">
        <f t="shared" si="93"/>
        <v>63.913199999999996</v>
      </c>
      <c r="W967">
        <f t="shared" si="94"/>
        <v>1001.3068000000001</v>
      </c>
      <c r="X967">
        <v>8.99</v>
      </c>
      <c r="Y967">
        <f t="shared" si="95"/>
        <v>1010.2968000000001</v>
      </c>
    </row>
    <row r="968" spans="1:25" x14ac:dyDescent="0.25">
      <c r="A968" t="s">
        <v>2059</v>
      </c>
      <c r="B968">
        <v>42676</v>
      </c>
      <c r="C968" t="str">
        <f t="shared" si="90"/>
        <v>2016</v>
      </c>
      <c r="D968" t="s">
        <v>1008</v>
      </c>
      <c r="E968" t="s">
        <v>709</v>
      </c>
      <c r="F968" t="s">
        <v>257</v>
      </c>
      <c r="G968" t="s">
        <v>258</v>
      </c>
      <c r="H968" t="s">
        <v>241</v>
      </c>
      <c r="I968" t="s">
        <v>275</v>
      </c>
      <c r="J968" t="s">
        <v>279</v>
      </c>
      <c r="K968" t="s">
        <v>334</v>
      </c>
      <c r="L968" t="s">
        <v>245</v>
      </c>
      <c r="M968" t="s">
        <v>253</v>
      </c>
      <c r="N968" t="s">
        <v>247</v>
      </c>
      <c r="O968">
        <v>42680</v>
      </c>
      <c r="P968">
        <v>1.3</v>
      </c>
      <c r="Q968">
        <v>2.88</v>
      </c>
      <c r="R968">
        <f t="shared" si="91"/>
        <v>1.5799999999999998</v>
      </c>
      <c r="S968">
        <v>41</v>
      </c>
      <c r="T968">
        <f t="shared" si="92"/>
        <v>118.08</v>
      </c>
      <c r="U968">
        <v>0.1</v>
      </c>
      <c r="V968">
        <f t="shared" si="93"/>
        <v>11.808</v>
      </c>
      <c r="W968">
        <f t="shared" si="94"/>
        <v>106.27199999999999</v>
      </c>
      <c r="X968">
        <v>1.01</v>
      </c>
      <c r="Y968">
        <f t="shared" si="95"/>
        <v>107.282</v>
      </c>
    </row>
    <row r="969" spans="1:25" x14ac:dyDescent="0.25">
      <c r="A969" t="s">
        <v>2060</v>
      </c>
      <c r="B969">
        <v>42677</v>
      </c>
      <c r="C969" t="str">
        <f t="shared" si="90"/>
        <v>2016</v>
      </c>
      <c r="D969" t="s">
        <v>2061</v>
      </c>
      <c r="E969" t="s">
        <v>432</v>
      </c>
      <c r="F969" t="s">
        <v>257</v>
      </c>
      <c r="G969" t="s">
        <v>258</v>
      </c>
      <c r="H969" t="s">
        <v>259</v>
      </c>
      <c r="I969" t="s">
        <v>333</v>
      </c>
      <c r="J969" t="s">
        <v>294</v>
      </c>
      <c r="K969" t="s">
        <v>460</v>
      </c>
      <c r="L969" t="s">
        <v>245</v>
      </c>
      <c r="M969" t="s">
        <v>246</v>
      </c>
      <c r="N969" t="s">
        <v>247</v>
      </c>
      <c r="O969">
        <v>42678</v>
      </c>
      <c r="P969">
        <v>3.84</v>
      </c>
      <c r="Q969">
        <v>6.3</v>
      </c>
      <c r="R969">
        <f t="shared" si="91"/>
        <v>2.46</v>
      </c>
      <c r="S969">
        <v>35</v>
      </c>
      <c r="T969">
        <f t="shared" si="92"/>
        <v>220.5</v>
      </c>
      <c r="U969">
        <v>0.03</v>
      </c>
      <c r="V969">
        <f t="shared" si="93"/>
        <v>6.6149999999999993</v>
      </c>
      <c r="W969">
        <f t="shared" si="94"/>
        <v>213.88499999999999</v>
      </c>
      <c r="X969">
        <v>0.5</v>
      </c>
      <c r="Y969">
        <f t="shared" si="95"/>
        <v>214.38499999999999</v>
      </c>
    </row>
    <row r="970" spans="1:25" x14ac:dyDescent="0.25">
      <c r="A970" t="s">
        <v>2062</v>
      </c>
      <c r="B970">
        <v>42679</v>
      </c>
      <c r="C970" t="str">
        <f t="shared" si="90"/>
        <v>2016</v>
      </c>
      <c r="D970" t="s">
        <v>2063</v>
      </c>
      <c r="E970" t="s">
        <v>921</v>
      </c>
      <c r="F970" t="s">
        <v>257</v>
      </c>
      <c r="G970" t="s">
        <v>258</v>
      </c>
      <c r="H970" t="s">
        <v>293</v>
      </c>
      <c r="I970" t="s">
        <v>299</v>
      </c>
      <c r="J970" t="s">
        <v>279</v>
      </c>
      <c r="K970" t="s">
        <v>653</v>
      </c>
      <c r="L970" t="s">
        <v>245</v>
      </c>
      <c r="M970" t="s">
        <v>246</v>
      </c>
      <c r="N970" t="s">
        <v>247</v>
      </c>
      <c r="O970">
        <v>42686</v>
      </c>
      <c r="P970">
        <v>3.5</v>
      </c>
      <c r="Q970">
        <v>5.74</v>
      </c>
      <c r="R970">
        <f t="shared" si="91"/>
        <v>2.2400000000000002</v>
      </c>
      <c r="S970">
        <v>5</v>
      </c>
      <c r="T970">
        <f t="shared" si="92"/>
        <v>28.700000000000003</v>
      </c>
      <c r="U970">
        <v>7.0000000000000007E-2</v>
      </c>
      <c r="V970">
        <f t="shared" si="93"/>
        <v>2.0090000000000003</v>
      </c>
      <c r="W970">
        <f t="shared" si="94"/>
        <v>26.691000000000003</v>
      </c>
      <c r="X970">
        <v>5.01</v>
      </c>
      <c r="Y970">
        <f t="shared" si="95"/>
        <v>31.701000000000001</v>
      </c>
    </row>
    <row r="971" spans="1:25" x14ac:dyDescent="0.25">
      <c r="A971" t="s">
        <v>2064</v>
      </c>
      <c r="B971">
        <v>42682</v>
      </c>
      <c r="C971" t="str">
        <f t="shared" si="90"/>
        <v>2016</v>
      </c>
      <c r="D971" t="s">
        <v>2065</v>
      </c>
      <c r="E971" t="s">
        <v>650</v>
      </c>
      <c r="F971" t="s">
        <v>257</v>
      </c>
      <c r="G971" t="s">
        <v>258</v>
      </c>
      <c r="H971" t="s">
        <v>274</v>
      </c>
      <c r="I971" t="s">
        <v>299</v>
      </c>
      <c r="J971" t="s">
        <v>279</v>
      </c>
      <c r="K971" t="s">
        <v>479</v>
      </c>
      <c r="L971" t="s">
        <v>245</v>
      </c>
      <c r="M971" t="s">
        <v>246</v>
      </c>
      <c r="N971" t="s">
        <v>247</v>
      </c>
      <c r="O971">
        <v>42687</v>
      </c>
      <c r="P971">
        <v>8.92</v>
      </c>
      <c r="Q971">
        <v>29.74</v>
      </c>
      <c r="R971">
        <f t="shared" si="91"/>
        <v>20.82</v>
      </c>
      <c r="S971">
        <v>31</v>
      </c>
      <c r="T971">
        <f t="shared" si="92"/>
        <v>921.93999999999994</v>
      </c>
      <c r="U971">
        <v>0</v>
      </c>
      <c r="V971">
        <f t="shared" si="93"/>
        <v>0</v>
      </c>
      <c r="W971">
        <f t="shared" si="94"/>
        <v>921.93999999999994</v>
      </c>
      <c r="X971">
        <v>6.64</v>
      </c>
      <c r="Y971">
        <f t="shared" si="95"/>
        <v>928.57999999999993</v>
      </c>
    </row>
    <row r="972" spans="1:25" x14ac:dyDescent="0.25">
      <c r="A972" t="s">
        <v>2066</v>
      </c>
      <c r="B972">
        <v>42682</v>
      </c>
      <c r="C972" t="str">
        <f t="shared" si="90"/>
        <v>2016</v>
      </c>
      <c r="D972" t="s">
        <v>690</v>
      </c>
      <c r="E972" t="s">
        <v>691</v>
      </c>
      <c r="F972" t="s">
        <v>448</v>
      </c>
      <c r="G972" t="s">
        <v>449</v>
      </c>
      <c r="H972" t="s">
        <v>241</v>
      </c>
      <c r="I972" t="s">
        <v>504</v>
      </c>
      <c r="J972" t="s">
        <v>279</v>
      </c>
      <c r="K972" t="s">
        <v>1082</v>
      </c>
      <c r="L972" t="s">
        <v>245</v>
      </c>
      <c r="M972" t="s">
        <v>253</v>
      </c>
      <c r="N972" t="s">
        <v>247</v>
      </c>
      <c r="O972">
        <v>42684</v>
      </c>
      <c r="P972">
        <v>1.0900000000000001</v>
      </c>
      <c r="Q972">
        <v>1.82</v>
      </c>
      <c r="R972">
        <f t="shared" si="91"/>
        <v>0.73</v>
      </c>
      <c r="S972">
        <v>40</v>
      </c>
      <c r="T972">
        <f t="shared" si="92"/>
        <v>72.8</v>
      </c>
      <c r="U972">
        <v>0.05</v>
      </c>
      <c r="V972">
        <f t="shared" si="93"/>
        <v>3.64</v>
      </c>
      <c r="W972">
        <f t="shared" si="94"/>
        <v>69.16</v>
      </c>
      <c r="X972">
        <v>1</v>
      </c>
      <c r="Y972">
        <f t="shared" si="95"/>
        <v>70.16</v>
      </c>
    </row>
    <row r="973" spans="1:25" x14ac:dyDescent="0.25">
      <c r="A973" t="s">
        <v>2067</v>
      </c>
      <c r="B973">
        <v>42682</v>
      </c>
      <c r="C973" t="str">
        <f t="shared" si="90"/>
        <v>2016</v>
      </c>
      <c r="D973" t="s">
        <v>754</v>
      </c>
      <c r="E973" t="s">
        <v>316</v>
      </c>
      <c r="F973" t="s">
        <v>239</v>
      </c>
      <c r="G973" t="s">
        <v>240</v>
      </c>
      <c r="H973" t="s">
        <v>274</v>
      </c>
      <c r="I973" t="s">
        <v>242</v>
      </c>
      <c r="J973" t="s">
        <v>294</v>
      </c>
      <c r="K973" t="s">
        <v>276</v>
      </c>
      <c r="L973" t="s">
        <v>245</v>
      </c>
      <c r="M973" t="s">
        <v>253</v>
      </c>
      <c r="N973" t="s">
        <v>247</v>
      </c>
      <c r="O973">
        <v>42682</v>
      </c>
      <c r="P973">
        <v>0.9</v>
      </c>
      <c r="Q973">
        <v>2.1</v>
      </c>
      <c r="R973">
        <f t="shared" si="91"/>
        <v>1.2000000000000002</v>
      </c>
      <c r="S973">
        <v>27</v>
      </c>
      <c r="T973">
        <f t="shared" si="92"/>
        <v>56.7</v>
      </c>
      <c r="U973">
        <v>0.04</v>
      </c>
      <c r="V973">
        <f t="shared" si="93"/>
        <v>2.2680000000000002</v>
      </c>
      <c r="W973">
        <f t="shared" si="94"/>
        <v>54.432000000000002</v>
      </c>
      <c r="X973">
        <v>0.7</v>
      </c>
      <c r="Y973">
        <f t="shared" si="95"/>
        <v>55.132000000000005</v>
      </c>
    </row>
    <row r="974" spans="1:25" x14ac:dyDescent="0.25">
      <c r="A974" t="s">
        <v>2068</v>
      </c>
      <c r="B974">
        <v>42683</v>
      </c>
      <c r="C974" t="str">
        <f t="shared" si="90"/>
        <v>2016</v>
      </c>
      <c r="D974" t="s">
        <v>2069</v>
      </c>
      <c r="E974" t="s">
        <v>1805</v>
      </c>
      <c r="F974" t="s">
        <v>257</v>
      </c>
      <c r="G974" t="s">
        <v>258</v>
      </c>
      <c r="H974" t="s">
        <v>259</v>
      </c>
      <c r="I974" t="s">
        <v>275</v>
      </c>
      <c r="J974" t="s">
        <v>243</v>
      </c>
      <c r="K974" t="s">
        <v>353</v>
      </c>
      <c r="L974" t="s">
        <v>245</v>
      </c>
      <c r="M974" t="s">
        <v>323</v>
      </c>
      <c r="N974" t="s">
        <v>247</v>
      </c>
      <c r="O974">
        <v>42685</v>
      </c>
      <c r="P974">
        <v>0.94</v>
      </c>
      <c r="Q974">
        <v>2.08</v>
      </c>
      <c r="R974">
        <f t="shared" si="91"/>
        <v>1.1400000000000001</v>
      </c>
      <c r="S974">
        <v>39</v>
      </c>
      <c r="T974">
        <f t="shared" si="92"/>
        <v>81.12</v>
      </c>
      <c r="U974">
        <v>0.04</v>
      </c>
      <c r="V974">
        <f t="shared" si="93"/>
        <v>3.2448000000000001</v>
      </c>
      <c r="W974">
        <f t="shared" si="94"/>
        <v>77.875200000000007</v>
      </c>
      <c r="X974">
        <v>2.56</v>
      </c>
      <c r="Y974">
        <f t="shared" si="95"/>
        <v>80.435200000000009</v>
      </c>
    </row>
    <row r="975" spans="1:25" x14ac:dyDescent="0.25">
      <c r="A975" t="s">
        <v>2070</v>
      </c>
      <c r="B975">
        <v>42684</v>
      </c>
      <c r="C975" t="str">
        <f t="shared" si="90"/>
        <v>2016</v>
      </c>
      <c r="D975" t="s">
        <v>1676</v>
      </c>
      <c r="E975" t="s">
        <v>709</v>
      </c>
      <c r="F975" t="s">
        <v>257</v>
      </c>
      <c r="G975" t="s">
        <v>258</v>
      </c>
      <c r="H975" t="s">
        <v>274</v>
      </c>
      <c r="I975" t="s">
        <v>275</v>
      </c>
      <c r="J975" t="s">
        <v>294</v>
      </c>
      <c r="K975" t="s">
        <v>488</v>
      </c>
      <c r="L975" t="s">
        <v>268</v>
      </c>
      <c r="M975" t="s">
        <v>323</v>
      </c>
      <c r="N975" t="s">
        <v>247</v>
      </c>
      <c r="O975">
        <v>42686</v>
      </c>
      <c r="P975">
        <v>20.18</v>
      </c>
      <c r="Q975">
        <v>35.409999999999997</v>
      </c>
      <c r="R975">
        <f t="shared" si="91"/>
        <v>15.229999999999997</v>
      </c>
      <c r="S975">
        <v>21</v>
      </c>
      <c r="T975">
        <f t="shared" si="92"/>
        <v>743.6099999999999</v>
      </c>
      <c r="U975">
        <v>0.09</v>
      </c>
      <c r="V975">
        <f t="shared" si="93"/>
        <v>66.924899999999994</v>
      </c>
      <c r="W975">
        <f t="shared" si="94"/>
        <v>676.68509999999992</v>
      </c>
      <c r="X975">
        <v>1.99</v>
      </c>
      <c r="Y975">
        <f t="shared" si="95"/>
        <v>678.67509999999993</v>
      </c>
    </row>
    <row r="976" spans="1:25" x14ac:dyDescent="0.25">
      <c r="A976" t="s">
        <v>2071</v>
      </c>
      <c r="B976">
        <v>42686</v>
      </c>
      <c r="C976" t="str">
        <f t="shared" si="90"/>
        <v>2016</v>
      </c>
      <c r="D976" t="s">
        <v>778</v>
      </c>
      <c r="E976" t="s">
        <v>767</v>
      </c>
      <c r="F976" t="s">
        <v>257</v>
      </c>
      <c r="G976" t="s">
        <v>258</v>
      </c>
      <c r="H976" t="s">
        <v>293</v>
      </c>
      <c r="I976" t="s">
        <v>260</v>
      </c>
      <c r="J976" t="s">
        <v>294</v>
      </c>
      <c r="K976" t="s">
        <v>514</v>
      </c>
      <c r="L976" t="s">
        <v>245</v>
      </c>
      <c r="M976" t="s">
        <v>246</v>
      </c>
      <c r="N976" t="s">
        <v>247</v>
      </c>
      <c r="O976">
        <v>42686</v>
      </c>
      <c r="P976">
        <v>19.829999999999998</v>
      </c>
      <c r="Q976">
        <v>30.98</v>
      </c>
      <c r="R976">
        <f t="shared" si="91"/>
        <v>11.150000000000002</v>
      </c>
      <c r="S976">
        <v>15</v>
      </c>
      <c r="T976">
        <f t="shared" si="92"/>
        <v>464.7</v>
      </c>
      <c r="U976">
        <v>0</v>
      </c>
      <c r="V976">
        <f t="shared" si="93"/>
        <v>0</v>
      </c>
      <c r="W976">
        <f t="shared" si="94"/>
        <v>464.7</v>
      </c>
      <c r="X976">
        <v>19.510000000000002</v>
      </c>
      <c r="Y976">
        <f t="shared" si="95"/>
        <v>484.21</v>
      </c>
    </row>
    <row r="977" spans="1:25" x14ac:dyDescent="0.25">
      <c r="A977" t="s">
        <v>2072</v>
      </c>
      <c r="B977">
        <v>42687</v>
      </c>
      <c r="C977" t="str">
        <f t="shared" si="90"/>
        <v>2016</v>
      </c>
      <c r="D977" t="s">
        <v>2073</v>
      </c>
      <c r="E977" t="s">
        <v>1621</v>
      </c>
      <c r="F977" t="s">
        <v>257</v>
      </c>
      <c r="G977" t="s">
        <v>258</v>
      </c>
      <c r="H977" t="s">
        <v>293</v>
      </c>
      <c r="I977" t="s">
        <v>381</v>
      </c>
      <c r="J977" t="s">
        <v>279</v>
      </c>
      <c r="K977" t="s">
        <v>555</v>
      </c>
      <c r="L977" t="s">
        <v>245</v>
      </c>
      <c r="M977" t="s">
        <v>246</v>
      </c>
      <c r="N977" t="s">
        <v>247</v>
      </c>
      <c r="O977">
        <v>42689</v>
      </c>
      <c r="P977">
        <v>1.98</v>
      </c>
      <c r="Q977">
        <v>3.15</v>
      </c>
      <c r="R977">
        <f t="shared" si="91"/>
        <v>1.17</v>
      </c>
      <c r="S977">
        <v>41</v>
      </c>
      <c r="T977">
        <f t="shared" si="92"/>
        <v>129.15</v>
      </c>
      <c r="U977">
        <v>0.06</v>
      </c>
      <c r="V977">
        <f t="shared" si="93"/>
        <v>7.7489999999999997</v>
      </c>
      <c r="W977">
        <f t="shared" si="94"/>
        <v>121.40100000000001</v>
      </c>
      <c r="X977">
        <v>0.49</v>
      </c>
      <c r="Y977">
        <f t="shared" si="95"/>
        <v>121.89100000000001</v>
      </c>
    </row>
    <row r="978" spans="1:25" x14ac:dyDescent="0.25">
      <c r="A978" t="s">
        <v>2074</v>
      </c>
      <c r="B978">
        <v>42688</v>
      </c>
      <c r="C978" t="str">
        <f t="shared" si="90"/>
        <v>2016</v>
      </c>
      <c r="D978" t="s">
        <v>2075</v>
      </c>
      <c r="E978" t="s">
        <v>2076</v>
      </c>
      <c r="F978" t="s">
        <v>257</v>
      </c>
      <c r="G978" t="s">
        <v>258</v>
      </c>
      <c r="H978" t="s">
        <v>259</v>
      </c>
      <c r="I978" t="s">
        <v>299</v>
      </c>
      <c r="J978" t="s">
        <v>304</v>
      </c>
      <c r="K978" t="s">
        <v>280</v>
      </c>
      <c r="L978" t="s">
        <v>245</v>
      </c>
      <c r="M978" t="s">
        <v>253</v>
      </c>
      <c r="N978" t="s">
        <v>247</v>
      </c>
      <c r="O978">
        <v>42689</v>
      </c>
      <c r="P978">
        <v>1.0900000000000001</v>
      </c>
      <c r="Q978">
        <v>2.6</v>
      </c>
      <c r="R978">
        <f t="shared" si="91"/>
        <v>1.51</v>
      </c>
      <c r="S978">
        <v>11</v>
      </c>
      <c r="T978">
        <f t="shared" si="92"/>
        <v>28.6</v>
      </c>
      <c r="U978">
        <v>0.09</v>
      </c>
      <c r="V978">
        <f t="shared" si="93"/>
        <v>2.5739999999999998</v>
      </c>
      <c r="W978">
        <f t="shared" si="94"/>
        <v>26.026000000000003</v>
      </c>
      <c r="X978">
        <v>2.4</v>
      </c>
      <c r="Y978">
        <f t="shared" si="95"/>
        <v>28.426000000000002</v>
      </c>
    </row>
    <row r="979" spans="1:25" x14ac:dyDescent="0.25">
      <c r="A979" t="s">
        <v>2077</v>
      </c>
      <c r="B979">
        <v>42690</v>
      </c>
      <c r="C979" t="str">
        <f t="shared" si="90"/>
        <v>2016</v>
      </c>
      <c r="D979" t="s">
        <v>2078</v>
      </c>
      <c r="E979" t="s">
        <v>727</v>
      </c>
      <c r="F979" t="s">
        <v>257</v>
      </c>
      <c r="G979" t="s">
        <v>258</v>
      </c>
      <c r="H979" t="s">
        <v>259</v>
      </c>
      <c r="I979" t="s">
        <v>333</v>
      </c>
      <c r="J979" t="s">
        <v>243</v>
      </c>
      <c r="K979" t="s">
        <v>468</v>
      </c>
      <c r="L979" t="s">
        <v>245</v>
      </c>
      <c r="M979" t="s">
        <v>253</v>
      </c>
      <c r="N979" t="s">
        <v>247</v>
      </c>
      <c r="O979">
        <v>42690</v>
      </c>
      <c r="P979">
        <v>2.29</v>
      </c>
      <c r="Q979">
        <v>3.58</v>
      </c>
      <c r="R979">
        <f t="shared" si="91"/>
        <v>1.29</v>
      </c>
      <c r="S979">
        <v>32</v>
      </c>
      <c r="T979">
        <f t="shared" si="92"/>
        <v>114.56</v>
      </c>
      <c r="U979">
        <v>0.09</v>
      </c>
      <c r="V979">
        <f t="shared" si="93"/>
        <v>10.3104</v>
      </c>
      <c r="W979">
        <f t="shared" si="94"/>
        <v>104.2496</v>
      </c>
      <c r="X979">
        <v>1.63</v>
      </c>
      <c r="Y979">
        <f t="shared" si="95"/>
        <v>105.8796</v>
      </c>
    </row>
    <row r="980" spans="1:25" x14ac:dyDescent="0.25">
      <c r="A980" t="s">
        <v>2079</v>
      </c>
      <c r="B980">
        <v>42691</v>
      </c>
      <c r="C980" t="str">
        <f t="shared" si="90"/>
        <v>2016</v>
      </c>
      <c r="D980" t="s">
        <v>1000</v>
      </c>
      <c r="E980" t="s">
        <v>1001</v>
      </c>
      <c r="F980" t="s">
        <v>239</v>
      </c>
      <c r="G980" t="s">
        <v>240</v>
      </c>
      <c r="H980" t="s">
        <v>293</v>
      </c>
      <c r="I980" t="s">
        <v>251</v>
      </c>
      <c r="J980" t="s">
        <v>243</v>
      </c>
      <c r="K980" t="s">
        <v>443</v>
      </c>
      <c r="L980" t="s">
        <v>245</v>
      </c>
      <c r="M980" t="s">
        <v>246</v>
      </c>
      <c r="N980" t="s">
        <v>247</v>
      </c>
      <c r="O980">
        <v>42693</v>
      </c>
      <c r="P980">
        <v>13.64</v>
      </c>
      <c r="Q980">
        <v>20.98</v>
      </c>
      <c r="R980">
        <f t="shared" si="91"/>
        <v>7.34</v>
      </c>
      <c r="S980">
        <v>42</v>
      </c>
      <c r="T980">
        <f t="shared" si="92"/>
        <v>881.16</v>
      </c>
      <c r="U980">
        <v>0.1</v>
      </c>
      <c r="V980">
        <f t="shared" si="93"/>
        <v>88.116</v>
      </c>
      <c r="W980">
        <f t="shared" si="94"/>
        <v>793.04399999999998</v>
      </c>
      <c r="X980">
        <v>1.49</v>
      </c>
      <c r="Y980">
        <f t="shared" si="95"/>
        <v>794.53399999999999</v>
      </c>
    </row>
    <row r="981" spans="1:25" x14ac:dyDescent="0.25">
      <c r="A981" t="s">
        <v>2080</v>
      </c>
      <c r="B981">
        <v>42691</v>
      </c>
      <c r="C981" t="str">
        <f t="shared" si="90"/>
        <v>2016</v>
      </c>
      <c r="D981" t="s">
        <v>882</v>
      </c>
      <c r="E981" t="s">
        <v>816</v>
      </c>
      <c r="F981" t="s">
        <v>257</v>
      </c>
      <c r="G981" t="s">
        <v>258</v>
      </c>
      <c r="H981" t="s">
        <v>259</v>
      </c>
      <c r="I981" t="s">
        <v>492</v>
      </c>
      <c r="J981" t="s">
        <v>304</v>
      </c>
      <c r="K981" t="s">
        <v>779</v>
      </c>
      <c r="L981" t="s">
        <v>245</v>
      </c>
      <c r="M981" t="s">
        <v>246</v>
      </c>
      <c r="N981" t="s">
        <v>247</v>
      </c>
      <c r="O981">
        <v>42693</v>
      </c>
      <c r="P981">
        <v>11.04</v>
      </c>
      <c r="Q981">
        <v>16.98</v>
      </c>
      <c r="R981">
        <f t="shared" si="91"/>
        <v>5.9400000000000013</v>
      </c>
      <c r="S981">
        <v>46</v>
      </c>
      <c r="T981">
        <f t="shared" si="92"/>
        <v>781.08</v>
      </c>
      <c r="U981">
        <v>0.09</v>
      </c>
      <c r="V981">
        <f t="shared" si="93"/>
        <v>70.297200000000004</v>
      </c>
      <c r="W981">
        <f t="shared" si="94"/>
        <v>710.78280000000007</v>
      </c>
      <c r="X981">
        <v>12.39</v>
      </c>
      <c r="Y981">
        <f t="shared" si="95"/>
        <v>723.17280000000005</v>
      </c>
    </row>
    <row r="982" spans="1:25" x14ac:dyDescent="0.25">
      <c r="A982" t="s">
        <v>2081</v>
      </c>
      <c r="B982">
        <v>42694</v>
      </c>
      <c r="C982" t="str">
        <f t="shared" si="90"/>
        <v>2016</v>
      </c>
      <c r="D982" t="s">
        <v>646</v>
      </c>
      <c r="E982" t="s">
        <v>376</v>
      </c>
      <c r="F982" t="s">
        <v>239</v>
      </c>
      <c r="G982" t="s">
        <v>240</v>
      </c>
      <c r="H982" t="s">
        <v>241</v>
      </c>
      <c r="I982" t="s">
        <v>242</v>
      </c>
      <c r="J982" t="s">
        <v>261</v>
      </c>
      <c r="K982" t="s">
        <v>1021</v>
      </c>
      <c r="L982" t="s">
        <v>245</v>
      </c>
      <c r="M982" t="s">
        <v>253</v>
      </c>
      <c r="N982" t="s">
        <v>247</v>
      </c>
      <c r="O982">
        <v>42695</v>
      </c>
      <c r="P982">
        <v>1.05</v>
      </c>
      <c r="Q982">
        <v>1.95</v>
      </c>
      <c r="R982">
        <f t="shared" si="91"/>
        <v>0.89999999999999991</v>
      </c>
      <c r="S982">
        <v>20</v>
      </c>
      <c r="T982">
        <f t="shared" si="92"/>
        <v>39</v>
      </c>
      <c r="U982">
        <v>0.06</v>
      </c>
      <c r="V982">
        <f t="shared" si="93"/>
        <v>2.34</v>
      </c>
      <c r="W982">
        <f t="shared" si="94"/>
        <v>36.659999999999997</v>
      </c>
      <c r="X982">
        <v>1.63</v>
      </c>
      <c r="Y982">
        <f t="shared" si="95"/>
        <v>38.29</v>
      </c>
    </row>
    <row r="983" spans="1:25" x14ac:dyDescent="0.25">
      <c r="A983" t="s">
        <v>2082</v>
      </c>
      <c r="B983">
        <v>42696</v>
      </c>
      <c r="C983" t="str">
        <f t="shared" si="90"/>
        <v>2016</v>
      </c>
      <c r="D983" t="s">
        <v>2083</v>
      </c>
      <c r="E983" t="s">
        <v>456</v>
      </c>
      <c r="F983" t="s">
        <v>257</v>
      </c>
      <c r="G983" t="s">
        <v>258</v>
      </c>
      <c r="H983" t="s">
        <v>259</v>
      </c>
      <c r="I983" t="s">
        <v>342</v>
      </c>
      <c r="J983" t="s">
        <v>279</v>
      </c>
      <c r="K983" t="s">
        <v>349</v>
      </c>
      <c r="L983" t="s">
        <v>245</v>
      </c>
      <c r="M983" t="s">
        <v>246</v>
      </c>
      <c r="N983" t="s">
        <v>247</v>
      </c>
      <c r="O983">
        <v>42701</v>
      </c>
      <c r="P983">
        <v>3.52</v>
      </c>
      <c r="Q983">
        <v>5.68</v>
      </c>
      <c r="R983">
        <f t="shared" si="91"/>
        <v>2.1599999999999997</v>
      </c>
      <c r="S983">
        <v>10</v>
      </c>
      <c r="T983">
        <f t="shared" si="92"/>
        <v>56.8</v>
      </c>
      <c r="U983">
        <v>0.09</v>
      </c>
      <c r="V983">
        <f t="shared" si="93"/>
        <v>5.1119999999999992</v>
      </c>
      <c r="W983">
        <f t="shared" si="94"/>
        <v>51.687999999999995</v>
      </c>
      <c r="X983">
        <v>1.39</v>
      </c>
      <c r="Y983">
        <f t="shared" si="95"/>
        <v>53.077999999999996</v>
      </c>
    </row>
    <row r="984" spans="1:25" x14ac:dyDescent="0.25">
      <c r="A984" t="s">
        <v>2084</v>
      </c>
      <c r="B984">
        <v>42697</v>
      </c>
      <c r="C984" t="str">
        <f t="shared" si="90"/>
        <v>2016</v>
      </c>
      <c r="D984" t="s">
        <v>2085</v>
      </c>
      <c r="E984" t="s">
        <v>428</v>
      </c>
      <c r="F984" t="s">
        <v>257</v>
      </c>
      <c r="G984" t="s">
        <v>258</v>
      </c>
      <c r="H984" t="s">
        <v>259</v>
      </c>
      <c r="I984" t="s">
        <v>333</v>
      </c>
      <c r="J984" t="s">
        <v>261</v>
      </c>
      <c r="K984" t="s">
        <v>435</v>
      </c>
      <c r="L984" t="s">
        <v>245</v>
      </c>
      <c r="M984" t="s">
        <v>253</v>
      </c>
      <c r="N984" t="s">
        <v>247</v>
      </c>
      <c r="O984">
        <v>42699</v>
      </c>
      <c r="P984">
        <v>3.75</v>
      </c>
      <c r="Q984">
        <v>7.08</v>
      </c>
      <c r="R984">
        <f t="shared" si="91"/>
        <v>3.33</v>
      </c>
      <c r="S984">
        <v>29</v>
      </c>
      <c r="T984">
        <f t="shared" si="92"/>
        <v>205.32</v>
      </c>
      <c r="U984">
        <v>7.0000000000000007E-2</v>
      </c>
      <c r="V984">
        <f t="shared" si="93"/>
        <v>14.372400000000001</v>
      </c>
      <c r="W984">
        <f t="shared" si="94"/>
        <v>190.94759999999999</v>
      </c>
      <c r="X984">
        <v>2.35</v>
      </c>
      <c r="Y984">
        <f t="shared" si="95"/>
        <v>193.29759999999999</v>
      </c>
    </row>
    <row r="985" spans="1:25" x14ac:dyDescent="0.25">
      <c r="A985" t="s">
        <v>2086</v>
      </c>
      <c r="B985">
        <v>42700</v>
      </c>
      <c r="C985" t="str">
        <f t="shared" si="90"/>
        <v>2016</v>
      </c>
      <c r="D985" t="s">
        <v>379</v>
      </c>
      <c r="E985" t="s">
        <v>380</v>
      </c>
      <c r="F985" t="s">
        <v>257</v>
      </c>
      <c r="G985" t="s">
        <v>258</v>
      </c>
      <c r="H985" t="s">
        <v>293</v>
      </c>
      <c r="I985" t="s">
        <v>381</v>
      </c>
      <c r="J985" t="s">
        <v>304</v>
      </c>
      <c r="K985" t="s">
        <v>533</v>
      </c>
      <c r="L985" t="s">
        <v>245</v>
      </c>
      <c r="M985" t="s">
        <v>246</v>
      </c>
      <c r="N985" t="s">
        <v>247</v>
      </c>
      <c r="O985">
        <v>42702</v>
      </c>
      <c r="P985">
        <v>3.4</v>
      </c>
      <c r="Q985">
        <v>5.4</v>
      </c>
      <c r="R985">
        <f t="shared" si="91"/>
        <v>2.0000000000000004</v>
      </c>
      <c r="S985">
        <v>1</v>
      </c>
      <c r="T985">
        <f t="shared" si="92"/>
        <v>5.4</v>
      </c>
      <c r="U985">
        <v>0</v>
      </c>
      <c r="V985">
        <f t="shared" si="93"/>
        <v>0</v>
      </c>
      <c r="W985">
        <f t="shared" si="94"/>
        <v>5.4</v>
      </c>
      <c r="X985">
        <v>7.78</v>
      </c>
      <c r="Y985">
        <f t="shared" si="95"/>
        <v>13.18</v>
      </c>
    </row>
    <row r="986" spans="1:25" x14ac:dyDescent="0.25">
      <c r="A986" t="s">
        <v>2087</v>
      </c>
      <c r="B986">
        <v>42700</v>
      </c>
      <c r="C986" t="str">
        <f t="shared" si="90"/>
        <v>2016</v>
      </c>
      <c r="D986" t="s">
        <v>2088</v>
      </c>
      <c r="E986" t="s">
        <v>673</v>
      </c>
      <c r="F986" t="s">
        <v>257</v>
      </c>
      <c r="G986" t="s">
        <v>258</v>
      </c>
      <c r="H986" t="s">
        <v>241</v>
      </c>
      <c r="I986" t="s">
        <v>372</v>
      </c>
      <c r="J986" t="s">
        <v>304</v>
      </c>
      <c r="K986" t="s">
        <v>1119</v>
      </c>
      <c r="L986" t="s">
        <v>245</v>
      </c>
      <c r="M986" t="s">
        <v>246</v>
      </c>
      <c r="N986" t="s">
        <v>247</v>
      </c>
      <c r="O986">
        <v>42702</v>
      </c>
      <c r="P986">
        <v>1.84</v>
      </c>
      <c r="Q986">
        <v>2.88</v>
      </c>
      <c r="R986">
        <f t="shared" si="91"/>
        <v>1.0399999999999998</v>
      </c>
      <c r="S986">
        <v>6</v>
      </c>
      <c r="T986">
        <f t="shared" si="92"/>
        <v>17.28</v>
      </c>
      <c r="U986">
        <v>0.06</v>
      </c>
      <c r="V986">
        <f t="shared" si="93"/>
        <v>1.0367999999999999</v>
      </c>
      <c r="W986">
        <f t="shared" si="94"/>
        <v>16.243200000000002</v>
      </c>
      <c r="X986">
        <v>0.99</v>
      </c>
      <c r="Y986">
        <f t="shared" si="95"/>
        <v>17.2332</v>
      </c>
    </row>
    <row r="987" spans="1:25" x14ac:dyDescent="0.25">
      <c r="A987" t="s">
        <v>2089</v>
      </c>
      <c r="B987">
        <v>42700</v>
      </c>
      <c r="C987" t="str">
        <f t="shared" si="90"/>
        <v>2016</v>
      </c>
      <c r="D987" t="s">
        <v>819</v>
      </c>
      <c r="E987" t="s">
        <v>256</v>
      </c>
      <c r="F987" t="s">
        <v>257</v>
      </c>
      <c r="G987" t="s">
        <v>258</v>
      </c>
      <c r="H987" t="s">
        <v>274</v>
      </c>
      <c r="I987" t="s">
        <v>260</v>
      </c>
      <c r="J987" t="s">
        <v>279</v>
      </c>
      <c r="K987" t="s">
        <v>1051</v>
      </c>
      <c r="L987" t="s">
        <v>245</v>
      </c>
      <c r="M987" t="s">
        <v>253</v>
      </c>
      <c r="N987" t="s">
        <v>247</v>
      </c>
      <c r="O987">
        <v>42704</v>
      </c>
      <c r="P987">
        <v>0.87</v>
      </c>
      <c r="Q987">
        <v>1.81</v>
      </c>
      <c r="R987">
        <f t="shared" si="91"/>
        <v>0.94000000000000006</v>
      </c>
      <c r="S987">
        <v>18</v>
      </c>
      <c r="T987">
        <f t="shared" si="92"/>
        <v>32.58</v>
      </c>
      <c r="U987">
        <v>0.06</v>
      </c>
      <c r="V987">
        <f t="shared" si="93"/>
        <v>1.9547999999999999</v>
      </c>
      <c r="W987">
        <f t="shared" si="94"/>
        <v>30.6252</v>
      </c>
      <c r="X987">
        <v>0.75</v>
      </c>
      <c r="Y987">
        <f t="shared" si="95"/>
        <v>31.3752</v>
      </c>
    </row>
    <row r="988" spans="1:25" x14ac:dyDescent="0.25">
      <c r="A988" t="s">
        <v>2090</v>
      </c>
      <c r="B988">
        <v>42701</v>
      </c>
      <c r="C988" t="str">
        <f t="shared" si="90"/>
        <v>2016</v>
      </c>
      <c r="D988" t="s">
        <v>973</v>
      </c>
      <c r="E988" t="s">
        <v>346</v>
      </c>
      <c r="F988" t="s">
        <v>257</v>
      </c>
      <c r="G988" t="s">
        <v>258</v>
      </c>
      <c r="H988" t="s">
        <v>259</v>
      </c>
      <c r="I988" t="s">
        <v>309</v>
      </c>
      <c r="J988" t="s">
        <v>294</v>
      </c>
      <c r="K988" t="s">
        <v>761</v>
      </c>
      <c r="L988" t="s">
        <v>268</v>
      </c>
      <c r="M988" t="s">
        <v>246</v>
      </c>
      <c r="N988" t="s">
        <v>247</v>
      </c>
      <c r="O988">
        <v>42703</v>
      </c>
      <c r="P988">
        <v>62.4</v>
      </c>
      <c r="Q988">
        <v>155.99</v>
      </c>
      <c r="R988">
        <f t="shared" si="91"/>
        <v>93.59</v>
      </c>
      <c r="S988">
        <v>24</v>
      </c>
      <c r="T988">
        <f t="shared" si="92"/>
        <v>3743.76</v>
      </c>
      <c r="U988">
        <v>0.04</v>
      </c>
      <c r="V988">
        <f t="shared" si="93"/>
        <v>149.75040000000001</v>
      </c>
      <c r="W988">
        <f t="shared" si="94"/>
        <v>3594.0096000000003</v>
      </c>
      <c r="X988">
        <v>8.08</v>
      </c>
      <c r="Y988">
        <f t="shared" si="95"/>
        <v>3602.0896000000002</v>
      </c>
    </row>
    <row r="989" spans="1:25" x14ac:dyDescent="0.25">
      <c r="A989" t="s">
        <v>2091</v>
      </c>
      <c r="B989">
        <v>42701</v>
      </c>
      <c r="C989" t="str">
        <f t="shared" si="90"/>
        <v>2016</v>
      </c>
      <c r="D989" t="s">
        <v>1279</v>
      </c>
      <c r="E989" t="s">
        <v>288</v>
      </c>
      <c r="F989" t="s">
        <v>257</v>
      </c>
      <c r="G989" t="s">
        <v>258</v>
      </c>
      <c r="H989" t="s">
        <v>293</v>
      </c>
      <c r="I989" t="s">
        <v>284</v>
      </c>
      <c r="J989" t="s">
        <v>279</v>
      </c>
      <c r="K989" t="s">
        <v>594</v>
      </c>
      <c r="L989" t="s">
        <v>268</v>
      </c>
      <c r="M989" t="s">
        <v>269</v>
      </c>
      <c r="N989" t="s">
        <v>270</v>
      </c>
      <c r="O989">
        <v>42701</v>
      </c>
      <c r="P989">
        <v>278.99</v>
      </c>
      <c r="Q989">
        <v>449.99</v>
      </c>
      <c r="R989">
        <f t="shared" si="91"/>
        <v>171</v>
      </c>
      <c r="S989">
        <v>18</v>
      </c>
      <c r="T989">
        <f t="shared" si="92"/>
        <v>8099.82</v>
      </c>
      <c r="U989">
        <v>0.09</v>
      </c>
      <c r="V989">
        <f t="shared" si="93"/>
        <v>728.98379999999997</v>
      </c>
      <c r="W989">
        <f t="shared" si="94"/>
        <v>7370.8361999999997</v>
      </c>
      <c r="X989">
        <v>49</v>
      </c>
      <c r="Y989">
        <f t="shared" si="95"/>
        <v>7419.8361999999997</v>
      </c>
    </row>
    <row r="990" spans="1:25" x14ac:dyDescent="0.25">
      <c r="A990" t="s">
        <v>2092</v>
      </c>
      <c r="B990">
        <v>42702</v>
      </c>
      <c r="C990" t="str">
        <f t="shared" si="90"/>
        <v>2016</v>
      </c>
      <c r="D990" t="s">
        <v>1337</v>
      </c>
      <c r="E990" t="s">
        <v>1338</v>
      </c>
      <c r="F990" t="s">
        <v>257</v>
      </c>
      <c r="G990" t="s">
        <v>258</v>
      </c>
      <c r="H990" t="s">
        <v>293</v>
      </c>
      <c r="I990" t="s">
        <v>372</v>
      </c>
      <c r="J990" t="s">
        <v>261</v>
      </c>
      <c r="K990" t="s">
        <v>617</v>
      </c>
      <c r="L990" t="s">
        <v>245</v>
      </c>
      <c r="M990" t="s">
        <v>246</v>
      </c>
      <c r="N990" t="s">
        <v>247</v>
      </c>
      <c r="O990">
        <v>42703</v>
      </c>
      <c r="P990">
        <v>1.94</v>
      </c>
      <c r="Q990">
        <v>3.08</v>
      </c>
      <c r="R990">
        <f t="shared" si="91"/>
        <v>1.1400000000000001</v>
      </c>
      <c r="S990">
        <v>18</v>
      </c>
      <c r="T990">
        <f t="shared" si="92"/>
        <v>55.44</v>
      </c>
      <c r="U990">
        <v>0.02</v>
      </c>
      <c r="V990">
        <f t="shared" si="93"/>
        <v>1.1088</v>
      </c>
      <c r="W990">
        <f t="shared" si="94"/>
        <v>54.331199999999995</v>
      </c>
      <c r="X990">
        <v>0.99</v>
      </c>
      <c r="Y990">
        <f t="shared" si="95"/>
        <v>55.321199999999997</v>
      </c>
    </row>
    <row r="991" spans="1:25" x14ac:dyDescent="0.25">
      <c r="A991" t="s">
        <v>2093</v>
      </c>
      <c r="B991">
        <v>42702</v>
      </c>
      <c r="C991" t="str">
        <f t="shared" si="90"/>
        <v>2016</v>
      </c>
      <c r="D991" t="s">
        <v>1413</v>
      </c>
      <c r="E991" t="s">
        <v>511</v>
      </c>
      <c r="F991" t="s">
        <v>257</v>
      </c>
      <c r="G991" t="s">
        <v>258</v>
      </c>
      <c r="H991" t="s">
        <v>259</v>
      </c>
      <c r="I991" t="s">
        <v>381</v>
      </c>
      <c r="J991" t="s">
        <v>261</v>
      </c>
      <c r="K991" t="s">
        <v>941</v>
      </c>
      <c r="L991" t="s">
        <v>245</v>
      </c>
      <c r="M991" t="s">
        <v>253</v>
      </c>
      <c r="N991" t="s">
        <v>247</v>
      </c>
      <c r="O991">
        <v>42705</v>
      </c>
      <c r="P991">
        <v>2.59</v>
      </c>
      <c r="Q991">
        <v>3.98</v>
      </c>
      <c r="R991">
        <f t="shared" si="91"/>
        <v>1.3900000000000001</v>
      </c>
      <c r="S991">
        <v>11</v>
      </c>
      <c r="T991">
        <f t="shared" si="92"/>
        <v>43.78</v>
      </c>
      <c r="U991">
        <v>7.0000000000000007E-2</v>
      </c>
      <c r="V991">
        <f t="shared" si="93"/>
        <v>3.0646000000000004</v>
      </c>
      <c r="W991">
        <f t="shared" si="94"/>
        <v>40.715400000000002</v>
      </c>
      <c r="X991">
        <v>2.97</v>
      </c>
      <c r="Y991">
        <f t="shared" si="95"/>
        <v>43.685400000000001</v>
      </c>
    </row>
    <row r="992" spans="1:25" x14ac:dyDescent="0.25">
      <c r="A992" t="s">
        <v>2094</v>
      </c>
      <c r="B992">
        <v>42703</v>
      </c>
      <c r="C992" t="str">
        <f t="shared" si="90"/>
        <v>2016</v>
      </c>
      <c r="D992" t="s">
        <v>408</v>
      </c>
      <c r="E992" t="s">
        <v>409</v>
      </c>
      <c r="F992" t="s">
        <v>257</v>
      </c>
      <c r="G992" t="s">
        <v>258</v>
      </c>
      <c r="H992" t="s">
        <v>293</v>
      </c>
      <c r="I992" t="s">
        <v>342</v>
      </c>
      <c r="J992" t="s">
        <v>294</v>
      </c>
      <c r="K992" t="s">
        <v>1356</v>
      </c>
      <c r="L992" t="s">
        <v>245</v>
      </c>
      <c r="M992" t="s">
        <v>253</v>
      </c>
      <c r="N992" t="s">
        <v>247</v>
      </c>
      <c r="O992">
        <v>42704</v>
      </c>
      <c r="P992">
        <v>2.68</v>
      </c>
      <c r="Q992">
        <v>6.08</v>
      </c>
      <c r="R992">
        <f t="shared" si="91"/>
        <v>3.4</v>
      </c>
      <c r="S992">
        <v>49</v>
      </c>
      <c r="T992">
        <f t="shared" si="92"/>
        <v>297.92</v>
      </c>
      <c r="U992">
        <v>0.08</v>
      </c>
      <c r="V992">
        <f t="shared" si="93"/>
        <v>23.833600000000001</v>
      </c>
      <c r="W992">
        <f t="shared" si="94"/>
        <v>274.08640000000003</v>
      </c>
      <c r="X992">
        <v>1.17</v>
      </c>
      <c r="Y992">
        <f t="shared" si="95"/>
        <v>275.25640000000004</v>
      </c>
    </row>
    <row r="993" spans="1:25" x14ac:dyDescent="0.25">
      <c r="A993" t="s">
        <v>2095</v>
      </c>
      <c r="B993">
        <v>42705</v>
      </c>
      <c r="C993" t="str">
        <f t="shared" si="90"/>
        <v>2016</v>
      </c>
      <c r="D993" t="s">
        <v>516</v>
      </c>
      <c r="E993" t="s">
        <v>256</v>
      </c>
      <c r="F993" t="s">
        <v>257</v>
      </c>
      <c r="G993" t="s">
        <v>258</v>
      </c>
      <c r="H993" t="s">
        <v>274</v>
      </c>
      <c r="I993" t="s">
        <v>260</v>
      </c>
      <c r="J993" t="s">
        <v>243</v>
      </c>
      <c r="K993" t="s">
        <v>586</v>
      </c>
      <c r="L993" t="s">
        <v>268</v>
      </c>
      <c r="M993" t="s">
        <v>246</v>
      </c>
      <c r="N993" t="s">
        <v>247</v>
      </c>
      <c r="O993">
        <v>42706</v>
      </c>
      <c r="P993">
        <v>54.52</v>
      </c>
      <c r="Q993">
        <v>100.97</v>
      </c>
      <c r="R993">
        <f t="shared" si="91"/>
        <v>46.449999999999996</v>
      </c>
      <c r="S993">
        <v>42</v>
      </c>
      <c r="T993">
        <f t="shared" si="92"/>
        <v>4240.74</v>
      </c>
      <c r="U993">
        <v>0.1</v>
      </c>
      <c r="V993">
        <f t="shared" si="93"/>
        <v>424.07400000000001</v>
      </c>
      <c r="W993">
        <f t="shared" si="94"/>
        <v>3816.6659999999997</v>
      </c>
      <c r="X993">
        <v>7.18</v>
      </c>
      <c r="Y993">
        <f t="shared" si="95"/>
        <v>3823.8459999999995</v>
      </c>
    </row>
    <row r="994" spans="1:25" x14ac:dyDescent="0.25">
      <c r="A994" t="s">
        <v>2096</v>
      </c>
      <c r="B994">
        <v>42707</v>
      </c>
      <c r="C994" t="str">
        <f t="shared" si="90"/>
        <v>2016</v>
      </c>
      <c r="D994" t="s">
        <v>474</v>
      </c>
      <c r="E994" t="s">
        <v>1439</v>
      </c>
      <c r="F994" t="s">
        <v>448</v>
      </c>
      <c r="G994" t="s">
        <v>449</v>
      </c>
      <c r="H994" t="s">
        <v>293</v>
      </c>
      <c r="I994" t="s">
        <v>381</v>
      </c>
      <c r="J994" t="s">
        <v>304</v>
      </c>
      <c r="K994" t="s">
        <v>625</v>
      </c>
      <c r="L994" t="s">
        <v>245</v>
      </c>
      <c r="M994" t="s">
        <v>246</v>
      </c>
      <c r="N994" t="s">
        <v>247</v>
      </c>
      <c r="O994">
        <v>42709</v>
      </c>
      <c r="P994">
        <v>1.84</v>
      </c>
      <c r="Q994">
        <v>2.88</v>
      </c>
      <c r="R994">
        <f t="shared" si="91"/>
        <v>1.0399999999999998</v>
      </c>
      <c r="S994">
        <v>40</v>
      </c>
      <c r="T994">
        <f t="shared" si="92"/>
        <v>115.19999999999999</v>
      </c>
      <c r="U994">
        <v>0</v>
      </c>
      <c r="V994">
        <f t="shared" si="93"/>
        <v>0</v>
      </c>
      <c r="W994">
        <f t="shared" si="94"/>
        <v>115.19999999999999</v>
      </c>
      <c r="X994">
        <v>1.49</v>
      </c>
      <c r="Y994">
        <f t="shared" si="95"/>
        <v>116.68999999999998</v>
      </c>
    </row>
    <row r="995" spans="1:25" x14ac:dyDescent="0.25">
      <c r="A995" t="s">
        <v>2097</v>
      </c>
      <c r="B995">
        <v>42708</v>
      </c>
      <c r="C995" t="str">
        <f t="shared" si="90"/>
        <v>2016</v>
      </c>
      <c r="D995" t="s">
        <v>2098</v>
      </c>
      <c r="E995" t="s">
        <v>637</v>
      </c>
      <c r="F995" t="s">
        <v>239</v>
      </c>
      <c r="G995" t="s">
        <v>240</v>
      </c>
      <c r="H995" t="s">
        <v>241</v>
      </c>
      <c r="I995" t="s">
        <v>251</v>
      </c>
      <c r="J995" t="s">
        <v>243</v>
      </c>
      <c r="K995" t="s">
        <v>373</v>
      </c>
      <c r="L995" t="s">
        <v>268</v>
      </c>
      <c r="M995" t="s">
        <v>246</v>
      </c>
      <c r="N995" t="s">
        <v>247</v>
      </c>
      <c r="O995">
        <v>42709</v>
      </c>
      <c r="P995">
        <v>6.39</v>
      </c>
      <c r="Q995">
        <v>19.98</v>
      </c>
      <c r="R995">
        <f t="shared" si="91"/>
        <v>13.59</v>
      </c>
      <c r="S995">
        <v>29</v>
      </c>
      <c r="T995">
        <f t="shared" si="92"/>
        <v>579.41999999999996</v>
      </c>
      <c r="U995">
        <v>0.06</v>
      </c>
      <c r="V995">
        <f t="shared" si="93"/>
        <v>34.765199999999993</v>
      </c>
      <c r="W995">
        <f t="shared" si="94"/>
        <v>544.65480000000002</v>
      </c>
      <c r="X995">
        <v>4</v>
      </c>
      <c r="Y995">
        <f t="shared" si="95"/>
        <v>548.65480000000002</v>
      </c>
    </row>
    <row r="996" spans="1:25" x14ac:dyDescent="0.25">
      <c r="A996" t="s">
        <v>2099</v>
      </c>
      <c r="B996">
        <v>42709</v>
      </c>
      <c r="C996" t="str">
        <f t="shared" si="90"/>
        <v>2016</v>
      </c>
      <c r="D996" t="s">
        <v>1604</v>
      </c>
      <c r="E996" t="s">
        <v>332</v>
      </c>
      <c r="F996" t="s">
        <v>257</v>
      </c>
      <c r="G996" t="s">
        <v>258</v>
      </c>
      <c r="H996" t="s">
        <v>259</v>
      </c>
      <c r="I996" t="s">
        <v>333</v>
      </c>
      <c r="J996" t="s">
        <v>243</v>
      </c>
      <c r="K996" t="s">
        <v>638</v>
      </c>
      <c r="L996" t="s">
        <v>245</v>
      </c>
      <c r="M996" t="s">
        <v>323</v>
      </c>
      <c r="N996" t="s">
        <v>263</v>
      </c>
      <c r="O996">
        <v>42711</v>
      </c>
      <c r="P996">
        <v>1.46</v>
      </c>
      <c r="Q996">
        <v>3.57</v>
      </c>
      <c r="R996">
        <f t="shared" si="91"/>
        <v>2.11</v>
      </c>
      <c r="S996">
        <v>10</v>
      </c>
      <c r="T996">
        <f t="shared" si="92"/>
        <v>35.699999999999996</v>
      </c>
      <c r="U996">
        <v>0.01</v>
      </c>
      <c r="V996">
        <f t="shared" si="93"/>
        <v>0.35699999999999998</v>
      </c>
      <c r="W996">
        <f t="shared" si="94"/>
        <v>35.342999999999996</v>
      </c>
      <c r="X996">
        <v>4.17</v>
      </c>
      <c r="Y996">
        <f t="shared" si="95"/>
        <v>39.512999999999998</v>
      </c>
    </row>
    <row r="997" spans="1:25" x14ac:dyDescent="0.25">
      <c r="A997" t="s">
        <v>2100</v>
      </c>
      <c r="B997">
        <v>42710</v>
      </c>
      <c r="C997" t="str">
        <f t="shared" si="90"/>
        <v>2016</v>
      </c>
      <c r="D997" t="s">
        <v>861</v>
      </c>
      <c r="E997" t="s">
        <v>456</v>
      </c>
      <c r="F997" t="s">
        <v>257</v>
      </c>
      <c r="G997" t="s">
        <v>258</v>
      </c>
      <c r="H997" t="s">
        <v>259</v>
      </c>
      <c r="I997" t="s">
        <v>260</v>
      </c>
      <c r="J997" t="s">
        <v>279</v>
      </c>
      <c r="K997" t="s">
        <v>377</v>
      </c>
      <c r="L997" t="s">
        <v>268</v>
      </c>
      <c r="M997" t="s">
        <v>246</v>
      </c>
      <c r="N997" t="s">
        <v>247</v>
      </c>
      <c r="O997">
        <v>42712</v>
      </c>
      <c r="P997">
        <v>32.020000000000003</v>
      </c>
      <c r="Q997">
        <v>152.47999999999999</v>
      </c>
      <c r="R997">
        <f t="shared" si="91"/>
        <v>120.45999999999998</v>
      </c>
      <c r="S997">
        <v>46</v>
      </c>
      <c r="T997">
        <f t="shared" si="92"/>
        <v>7014.08</v>
      </c>
      <c r="U997">
        <v>0.01</v>
      </c>
      <c r="V997">
        <f t="shared" si="93"/>
        <v>70.140799999999999</v>
      </c>
      <c r="W997">
        <f t="shared" si="94"/>
        <v>6943.9391999999998</v>
      </c>
      <c r="X997">
        <v>4</v>
      </c>
      <c r="Y997">
        <f t="shared" si="95"/>
        <v>6947.9391999999998</v>
      </c>
    </row>
    <row r="998" spans="1:25" x14ac:dyDescent="0.25">
      <c r="A998" t="s">
        <v>2101</v>
      </c>
      <c r="B998">
        <v>42712</v>
      </c>
      <c r="C998" t="str">
        <f t="shared" si="90"/>
        <v>2016</v>
      </c>
      <c r="D998" t="s">
        <v>499</v>
      </c>
      <c r="E998" t="s">
        <v>500</v>
      </c>
      <c r="F998" t="s">
        <v>257</v>
      </c>
      <c r="G998" t="s">
        <v>258</v>
      </c>
      <c r="H998" t="s">
        <v>293</v>
      </c>
      <c r="I998" t="s">
        <v>275</v>
      </c>
      <c r="J998" t="s">
        <v>279</v>
      </c>
      <c r="K998" t="s">
        <v>329</v>
      </c>
      <c r="L998" t="s">
        <v>245</v>
      </c>
      <c r="M998" t="s">
        <v>246</v>
      </c>
      <c r="N998" t="s">
        <v>247</v>
      </c>
      <c r="O998">
        <v>42719</v>
      </c>
      <c r="P998">
        <v>4.59</v>
      </c>
      <c r="Q998">
        <v>7.28</v>
      </c>
      <c r="R998">
        <f t="shared" si="91"/>
        <v>2.6900000000000004</v>
      </c>
      <c r="S998">
        <v>18</v>
      </c>
      <c r="T998">
        <f t="shared" si="92"/>
        <v>131.04</v>
      </c>
      <c r="U998">
        <v>0.09</v>
      </c>
      <c r="V998">
        <f t="shared" si="93"/>
        <v>11.7936</v>
      </c>
      <c r="W998">
        <f t="shared" si="94"/>
        <v>119.24639999999999</v>
      </c>
      <c r="X998">
        <v>11.15</v>
      </c>
      <c r="Y998">
        <f t="shared" si="95"/>
        <v>130.3964</v>
      </c>
    </row>
    <row r="999" spans="1:25" x14ac:dyDescent="0.25">
      <c r="A999" t="s">
        <v>2102</v>
      </c>
      <c r="B999">
        <v>42712</v>
      </c>
      <c r="C999" t="str">
        <f t="shared" si="90"/>
        <v>2016</v>
      </c>
      <c r="D999" t="s">
        <v>499</v>
      </c>
      <c r="E999" t="s">
        <v>500</v>
      </c>
      <c r="F999" t="s">
        <v>257</v>
      </c>
      <c r="G999" t="s">
        <v>258</v>
      </c>
      <c r="H999" t="s">
        <v>293</v>
      </c>
      <c r="I999" t="s">
        <v>275</v>
      </c>
      <c r="J999" t="s">
        <v>279</v>
      </c>
      <c r="K999" t="s">
        <v>317</v>
      </c>
      <c r="L999" t="s">
        <v>245</v>
      </c>
      <c r="M999" t="s">
        <v>253</v>
      </c>
      <c r="N999" t="s">
        <v>247</v>
      </c>
      <c r="O999">
        <v>42716</v>
      </c>
      <c r="P999">
        <v>0.71</v>
      </c>
      <c r="Q999">
        <v>1.1399999999999999</v>
      </c>
      <c r="R999">
        <f t="shared" si="91"/>
        <v>0.42999999999999994</v>
      </c>
      <c r="S999">
        <v>28</v>
      </c>
      <c r="T999">
        <f t="shared" si="92"/>
        <v>31.919999999999998</v>
      </c>
      <c r="U999">
        <v>0.09</v>
      </c>
      <c r="V999">
        <f t="shared" si="93"/>
        <v>2.8727999999999998</v>
      </c>
      <c r="W999">
        <f t="shared" si="94"/>
        <v>29.047199999999997</v>
      </c>
      <c r="X999">
        <v>0.7</v>
      </c>
      <c r="Y999">
        <f t="shared" si="95"/>
        <v>29.747199999999996</v>
      </c>
    </row>
    <row r="1000" spans="1:25" x14ac:dyDescent="0.25">
      <c r="A1000" t="s">
        <v>2103</v>
      </c>
      <c r="B1000">
        <v>42712</v>
      </c>
      <c r="C1000" t="str">
        <f t="shared" si="90"/>
        <v>2016</v>
      </c>
      <c r="D1000" t="s">
        <v>2104</v>
      </c>
      <c r="E1000" t="s">
        <v>694</v>
      </c>
      <c r="F1000" t="s">
        <v>239</v>
      </c>
      <c r="G1000" t="s">
        <v>240</v>
      </c>
      <c r="H1000" t="s">
        <v>293</v>
      </c>
      <c r="I1000" t="s">
        <v>242</v>
      </c>
      <c r="J1000" t="s">
        <v>243</v>
      </c>
      <c r="K1000" t="s">
        <v>734</v>
      </c>
      <c r="L1000" t="s">
        <v>245</v>
      </c>
      <c r="M1000" t="s">
        <v>246</v>
      </c>
      <c r="N1000" t="s">
        <v>247</v>
      </c>
      <c r="O1000">
        <v>42714</v>
      </c>
      <c r="P1000">
        <v>14.95</v>
      </c>
      <c r="Q1000">
        <v>34.76</v>
      </c>
      <c r="R1000">
        <f t="shared" si="91"/>
        <v>19.809999999999999</v>
      </c>
      <c r="S1000">
        <v>10</v>
      </c>
      <c r="T1000">
        <f t="shared" si="92"/>
        <v>347.59999999999997</v>
      </c>
      <c r="U1000">
        <v>0.06</v>
      </c>
      <c r="V1000">
        <f t="shared" si="93"/>
        <v>20.855999999999998</v>
      </c>
      <c r="W1000">
        <f t="shared" si="94"/>
        <v>326.74399999999997</v>
      </c>
      <c r="X1000">
        <v>8.2200000000000006</v>
      </c>
      <c r="Y1000">
        <f t="shared" si="95"/>
        <v>334.964</v>
      </c>
    </row>
    <row r="1001" spans="1:25" x14ac:dyDescent="0.25">
      <c r="A1001" t="s">
        <v>2105</v>
      </c>
      <c r="B1001">
        <v>42713</v>
      </c>
      <c r="C1001" t="str">
        <f t="shared" si="90"/>
        <v>2016</v>
      </c>
      <c r="D1001" t="s">
        <v>1510</v>
      </c>
      <c r="E1001" t="s">
        <v>1239</v>
      </c>
      <c r="F1001" t="s">
        <v>257</v>
      </c>
      <c r="G1001" t="s">
        <v>258</v>
      </c>
      <c r="H1001" t="s">
        <v>259</v>
      </c>
      <c r="I1001" t="s">
        <v>309</v>
      </c>
      <c r="J1001" t="s">
        <v>243</v>
      </c>
      <c r="K1001" t="s">
        <v>280</v>
      </c>
      <c r="L1001" t="s">
        <v>245</v>
      </c>
      <c r="M1001" t="s">
        <v>253</v>
      </c>
      <c r="N1001" t="s">
        <v>247</v>
      </c>
      <c r="O1001">
        <v>42714</v>
      </c>
      <c r="P1001">
        <v>1.0900000000000001</v>
      </c>
      <c r="Q1001">
        <v>2.6</v>
      </c>
      <c r="R1001">
        <f t="shared" si="91"/>
        <v>1.51</v>
      </c>
      <c r="S1001">
        <v>8</v>
      </c>
      <c r="T1001">
        <f t="shared" si="92"/>
        <v>20.8</v>
      </c>
      <c r="U1001">
        <v>0.02</v>
      </c>
      <c r="V1001">
        <f t="shared" si="93"/>
        <v>0.41600000000000004</v>
      </c>
      <c r="W1001">
        <f t="shared" si="94"/>
        <v>20.384</v>
      </c>
      <c r="X1001">
        <v>2.4</v>
      </c>
      <c r="Y1001">
        <f t="shared" si="95"/>
        <v>22.783999999999999</v>
      </c>
    </row>
    <row r="1002" spans="1:25" x14ac:dyDescent="0.25">
      <c r="A1002" t="s">
        <v>2106</v>
      </c>
      <c r="B1002">
        <v>42714</v>
      </c>
      <c r="C1002" t="str">
        <f t="shared" si="90"/>
        <v>2016</v>
      </c>
      <c r="D1002" t="s">
        <v>1227</v>
      </c>
      <c r="E1002" t="s">
        <v>760</v>
      </c>
      <c r="F1002" t="s">
        <v>448</v>
      </c>
      <c r="G1002" t="s">
        <v>449</v>
      </c>
      <c r="H1002" t="s">
        <v>259</v>
      </c>
      <c r="I1002" t="s">
        <v>333</v>
      </c>
      <c r="J1002" t="s">
        <v>261</v>
      </c>
      <c r="K1002" t="s">
        <v>582</v>
      </c>
      <c r="L1002" t="s">
        <v>245</v>
      </c>
      <c r="M1002" t="s">
        <v>253</v>
      </c>
      <c r="N1002" t="s">
        <v>247</v>
      </c>
      <c r="O1002">
        <v>42716</v>
      </c>
      <c r="P1002">
        <v>0.24</v>
      </c>
      <c r="Q1002">
        <v>1.26</v>
      </c>
      <c r="R1002">
        <f t="shared" si="91"/>
        <v>1.02</v>
      </c>
      <c r="S1002">
        <v>37</v>
      </c>
      <c r="T1002">
        <f t="shared" si="92"/>
        <v>46.62</v>
      </c>
      <c r="U1002">
        <v>0.03</v>
      </c>
      <c r="V1002">
        <f t="shared" si="93"/>
        <v>1.3985999999999998</v>
      </c>
      <c r="W1002">
        <f t="shared" si="94"/>
        <v>45.221399999999996</v>
      </c>
      <c r="X1002">
        <v>0.7</v>
      </c>
      <c r="Y1002">
        <f t="shared" si="95"/>
        <v>45.921399999999998</v>
      </c>
    </row>
    <row r="1003" spans="1:25" x14ac:dyDescent="0.25">
      <c r="A1003" t="s">
        <v>2107</v>
      </c>
      <c r="B1003">
        <v>42714</v>
      </c>
      <c r="C1003" t="str">
        <f t="shared" si="90"/>
        <v>2016</v>
      </c>
      <c r="D1003" t="s">
        <v>923</v>
      </c>
      <c r="E1003" t="s">
        <v>356</v>
      </c>
      <c r="F1003" t="s">
        <v>239</v>
      </c>
      <c r="G1003" t="s">
        <v>240</v>
      </c>
      <c r="H1003" t="s">
        <v>274</v>
      </c>
      <c r="I1003" t="s">
        <v>251</v>
      </c>
      <c r="J1003" t="s">
        <v>279</v>
      </c>
      <c r="K1003" t="s">
        <v>252</v>
      </c>
      <c r="L1003" t="s">
        <v>245</v>
      </c>
      <c r="M1003" t="s">
        <v>253</v>
      </c>
      <c r="N1003" t="s">
        <v>247</v>
      </c>
      <c r="O1003">
        <v>42718</v>
      </c>
      <c r="P1003">
        <v>2.39</v>
      </c>
      <c r="Q1003">
        <v>4.26</v>
      </c>
      <c r="R1003">
        <f t="shared" si="91"/>
        <v>1.8699999999999997</v>
      </c>
      <c r="S1003">
        <v>44</v>
      </c>
      <c r="T1003">
        <f t="shared" si="92"/>
        <v>187.44</v>
      </c>
      <c r="U1003">
        <v>0.01</v>
      </c>
      <c r="V1003">
        <f t="shared" si="93"/>
        <v>1.8744000000000001</v>
      </c>
      <c r="W1003">
        <f t="shared" si="94"/>
        <v>185.56559999999999</v>
      </c>
      <c r="X1003">
        <v>1.2</v>
      </c>
      <c r="Y1003">
        <f t="shared" si="95"/>
        <v>186.76559999999998</v>
      </c>
    </row>
    <row r="1004" spans="1:25" x14ac:dyDescent="0.25">
      <c r="A1004" t="s">
        <v>2108</v>
      </c>
      <c r="B1004">
        <v>42714</v>
      </c>
      <c r="C1004" t="str">
        <f t="shared" si="90"/>
        <v>2016</v>
      </c>
      <c r="D1004" t="s">
        <v>846</v>
      </c>
      <c r="E1004" t="s">
        <v>396</v>
      </c>
      <c r="F1004" t="s">
        <v>257</v>
      </c>
      <c r="G1004" t="s">
        <v>258</v>
      </c>
      <c r="H1004" t="s">
        <v>241</v>
      </c>
      <c r="I1004" t="s">
        <v>372</v>
      </c>
      <c r="J1004" t="s">
        <v>294</v>
      </c>
      <c r="K1004" t="s">
        <v>353</v>
      </c>
      <c r="L1004" t="s">
        <v>245</v>
      </c>
      <c r="M1004" t="s">
        <v>323</v>
      </c>
      <c r="N1004" t="s">
        <v>247</v>
      </c>
      <c r="O1004">
        <v>42716</v>
      </c>
      <c r="P1004">
        <v>0.94</v>
      </c>
      <c r="Q1004">
        <v>2.08</v>
      </c>
      <c r="R1004">
        <f t="shared" si="91"/>
        <v>1.1400000000000001</v>
      </c>
      <c r="S1004">
        <v>36</v>
      </c>
      <c r="T1004">
        <f t="shared" si="92"/>
        <v>74.88</v>
      </c>
      <c r="U1004">
        <v>0.1</v>
      </c>
      <c r="V1004">
        <f t="shared" si="93"/>
        <v>7.4879999999999995</v>
      </c>
      <c r="W1004">
        <f t="shared" si="94"/>
        <v>67.391999999999996</v>
      </c>
      <c r="X1004">
        <v>2.56</v>
      </c>
      <c r="Y1004">
        <f t="shared" si="95"/>
        <v>69.951999999999998</v>
      </c>
    </row>
    <row r="1005" spans="1:25" x14ac:dyDescent="0.25">
      <c r="A1005" t="s">
        <v>2109</v>
      </c>
      <c r="B1005">
        <v>42714</v>
      </c>
      <c r="C1005" t="str">
        <f t="shared" si="90"/>
        <v>2016</v>
      </c>
      <c r="D1005" t="s">
        <v>431</v>
      </c>
      <c r="E1005" t="s">
        <v>432</v>
      </c>
      <c r="F1005" t="s">
        <v>257</v>
      </c>
      <c r="G1005" t="s">
        <v>258</v>
      </c>
      <c r="H1005" t="s">
        <v>259</v>
      </c>
      <c r="I1005" t="s">
        <v>333</v>
      </c>
      <c r="J1005" t="s">
        <v>279</v>
      </c>
      <c r="K1005" t="s">
        <v>338</v>
      </c>
      <c r="L1005" t="s">
        <v>245</v>
      </c>
      <c r="M1005" t="s">
        <v>253</v>
      </c>
      <c r="N1005" t="s">
        <v>247</v>
      </c>
      <c r="O1005">
        <v>42719</v>
      </c>
      <c r="P1005">
        <v>1.82</v>
      </c>
      <c r="Q1005">
        <v>2.98</v>
      </c>
      <c r="R1005">
        <f t="shared" si="91"/>
        <v>1.1599999999999999</v>
      </c>
      <c r="S1005">
        <v>45</v>
      </c>
      <c r="T1005">
        <f t="shared" si="92"/>
        <v>134.1</v>
      </c>
      <c r="U1005">
        <v>0.05</v>
      </c>
      <c r="V1005">
        <f t="shared" si="93"/>
        <v>6.7050000000000001</v>
      </c>
      <c r="W1005">
        <f t="shared" si="94"/>
        <v>127.395</v>
      </c>
      <c r="X1005">
        <v>1.58</v>
      </c>
      <c r="Y1005">
        <f t="shared" si="95"/>
        <v>128.97499999999999</v>
      </c>
    </row>
    <row r="1006" spans="1:25" x14ac:dyDescent="0.25">
      <c r="A1006" t="s">
        <v>2110</v>
      </c>
      <c r="B1006">
        <v>42714</v>
      </c>
      <c r="C1006" t="str">
        <f t="shared" si="90"/>
        <v>2016</v>
      </c>
      <c r="D1006" t="s">
        <v>1790</v>
      </c>
      <c r="E1006" t="s">
        <v>767</v>
      </c>
      <c r="F1006" t="s">
        <v>257</v>
      </c>
      <c r="G1006" t="s">
        <v>258</v>
      </c>
      <c r="H1006" t="s">
        <v>259</v>
      </c>
      <c r="I1006" t="s">
        <v>260</v>
      </c>
      <c r="J1006" t="s">
        <v>261</v>
      </c>
      <c r="K1006" t="s">
        <v>464</v>
      </c>
      <c r="L1006" t="s">
        <v>268</v>
      </c>
      <c r="M1006" t="s">
        <v>246</v>
      </c>
      <c r="N1006" t="s">
        <v>263</v>
      </c>
      <c r="O1006">
        <v>42716</v>
      </c>
      <c r="P1006">
        <v>156.5</v>
      </c>
      <c r="Q1006">
        <v>300.97000000000003</v>
      </c>
      <c r="R1006">
        <f t="shared" si="91"/>
        <v>144.47000000000003</v>
      </c>
      <c r="S1006">
        <v>8</v>
      </c>
      <c r="T1006">
        <f t="shared" si="92"/>
        <v>2407.7600000000002</v>
      </c>
      <c r="U1006">
        <v>0.05</v>
      </c>
      <c r="V1006">
        <f t="shared" si="93"/>
        <v>120.38800000000002</v>
      </c>
      <c r="W1006">
        <f t="shared" si="94"/>
        <v>2287.3720000000003</v>
      </c>
      <c r="X1006">
        <v>7.18</v>
      </c>
      <c r="Y1006">
        <f t="shared" si="95"/>
        <v>2294.5520000000001</v>
      </c>
    </row>
    <row r="1007" spans="1:25" x14ac:dyDescent="0.25">
      <c r="A1007" t="s">
        <v>2111</v>
      </c>
      <c r="B1007">
        <v>42718</v>
      </c>
      <c r="C1007" t="str">
        <f t="shared" si="90"/>
        <v>2016</v>
      </c>
      <c r="D1007" t="s">
        <v>1190</v>
      </c>
      <c r="E1007" t="s">
        <v>552</v>
      </c>
      <c r="F1007" t="s">
        <v>257</v>
      </c>
      <c r="G1007" t="s">
        <v>258</v>
      </c>
      <c r="H1007" t="s">
        <v>241</v>
      </c>
      <c r="I1007" t="s">
        <v>284</v>
      </c>
      <c r="J1007" t="s">
        <v>243</v>
      </c>
      <c r="K1007" t="s">
        <v>479</v>
      </c>
      <c r="L1007" t="s">
        <v>245</v>
      </c>
      <c r="M1007" t="s">
        <v>246</v>
      </c>
      <c r="N1007" t="s">
        <v>247</v>
      </c>
      <c r="O1007">
        <v>42719</v>
      </c>
      <c r="P1007">
        <v>8.92</v>
      </c>
      <c r="Q1007">
        <v>29.74</v>
      </c>
      <c r="R1007">
        <f t="shared" si="91"/>
        <v>20.82</v>
      </c>
      <c r="S1007">
        <v>22</v>
      </c>
      <c r="T1007">
        <f t="shared" si="92"/>
        <v>654.28</v>
      </c>
      <c r="U1007">
        <v>7.0000000000000007E-2</v>
      </c>
      <c r="V1007">
        <f t="shared" si="93"/>
        <v>45.799600000000005</v>
      </c>
      <c r="W1007">
        <f t="shared" si="94"/>
        <v>608.48039999999992</v>
      </c>
      <c r="X1007">
        <v>6.64</v>
      </c>
      <c r="Y1007">
        <f t="shared" si="95"/>
        <v>615.1203999999999</v>
      </c>
    </row>
    <row r="1008" spans="1:25" x14ac:dyDescent="0.25">
      <c r="A1008" t="s">
        <v>2112</v>
      </c>
      <c r="B1008">
        <v>42719</v>
      </c>
      <c r="C1008" t="str">
        <f t="shared" si="90"/>
        <v>2016</v>
      </c>
      <c r="D1008" t="s">
        <v>1132</v>
      </c>
      <c r="E1008" t="s">
        <v>1133</v>
      </c>
      <c r="F1008" t="s">
        <v>257</v>
      </c>
      <c r="G1008" t="s">
        <v>258</v>
      </c>
      <c r="H1008" t="s">
        <v>259</v>
      </c>
      <c r="I1008" t="s">
        <v>372</v>
      </c>
      <c r="J1008" t="s">
        <v>279</v>
      </c>
      <c r="K1008" t="s">
        <v>439</v>
      </c>
      <c r="L1008" t="s">
        <v>440</v>
      </c>
      <c r="M1008" t="s">
        <v>323</v>
      </c>
      <c r="N1008" t="s">
        <v>263</v>
      </c>
      <c r="O1008">
        <v>42728</v>
      </c>
      <c r="P1008">
        <v>5.5</v>
      </c>
      <c r="Q1008">
        <v>12.22</v>
      </c>
      <c r="R1008">
        <f t="shared" si="91"/>
        <v>6.7200000000000006</v>
      </c>
      <c r="S1008">
        <v>17</v>
      </c>
      <c r="T1008">
        <f t="shared" si="92"/>
        <v>207.74</v>
      </c>
      <c r="U1008">
        <v>0.01</v>
      </c>
      <c r="V1008">
        <f t="shared" si="93"/>
        <v>2.0773999999999999</v>
      </c>
      <c r="W1008">
        <f t="shared" si="94"/>
        <v>205.6626</v>
      </c>
      <c r="X1008">
        <v>2.85</v>
      </c>
      <c r="Y1008">
        <f t="shared" si="95"/>
        <v>208.51259999999999</v>
      </c>
    </row>
    <row r="1009" spans="1:25" x14ac:dyDescent="0.25">
      <c r="A1009" t="s">
        <v>2113</v>
      </c>
      <c r="B1009">
        <v>42721</v>
      </c>
      <c r="C1009" t="str">
        <f t="shared" si="90"/>
        <v>2016</v>
      </c>
      <c r="D1009" t="s">
        <v>2114</v>
      </c>
      <c r="E1009" t="s">
        <v>782</v>
      </c>
      <c r="F1009" t="s">
        <v>257</v>
      </c>
      <c r="G1009" t="s">
        <v>258</v>
      </c>
      <c r="H1009" t="s">
        <v>241</v>
      </c>
      <c r="I1009" t="s">
        <v>333</v>
      </c>
      <c r="J1009" t="s">
        <v>243</v>
      </c>
      <c r="K1009" t="s">
        <v>360</v>
      </c>
      <c r="L1009" t="s">
        <v>245</v>
      </c>
      <c r="M1009" t="s">
        <v>253</v>
      </c>
      <c r="N1009" t="s">
        <v>247</v>
      </c>
      <c r="O1009">
        <v>42723</v>
      </c>
      <c r="P1009">
        <v>2.52</v>
      </c>
      <c r="Q1009">
        <v>4</v>
      </c>
      <c r="R1009">
        <f t="shared" si="91"/>
        <v>1.48</v>
      </c>
      <c r="S1009">
        <v>28</v>
      </c>
      <c r="T1009">
        <f t="shared" si="92"/>
        <v>112</v>
      </c>
      <c r="U1009">
        <v>0.04</v>
      </c>
      <c r="V1009">
        <f t="shared" si="93"/>
        <v>4.4800000000000004</v>
      </c>
      <c r="W1009">
        <f t="shared" si="94"/>
        <v>107.52</v>
      </c>
      <c r="X1009">
        <v>1.3</v>
      </c>
      <c r="Y1009">
        <f t="shared" si="95"/>
        <v>108.82</v>
      </c>
    </row>
    <row r="1010" spans="1:25" x14ac:dyDescent="0.25">
      <c r="A1010" t="s">
        <v>2115</v>
      </c>
      <c r="B1010">
        <v>42722</v>
      </c>
      <c r="C1010" t="str">
        <f t="shared" si="90"/>
        <v>2016</v>
      </c>
      <c r="D1010" t="s">
        <v>1084</v>
      </c>
      <c r="E1010" t="s">
        <v>2116</v>
      </c>
      <c r="F1010" t="s">
        <v>448</v>
      </c>
      <c r="G1010" t="s">
        <v>449</v>
      </c>
      <c r="H1010" t="s">
        <v>241</v>
      </c>
      <c r="I1010" t="s">
        <v>333</v>
      </c>
      <c r="J1010" t="s">
        <v>261</v>
      </c>
      <c r="K1010" t="s">
        <v>963</v>
      </c>
      <c r="L1010" t="s">
        <v>245</v>
      </c>
      <c r="M1010" t="s">
        <v>323</v>
      </c>
      <c r="N1010" t="s">
        <v>247</v>
      </c>
      <c r="O1010">
        <v>42723</v>
      </c>
      <c r="P1010">
        <v>4.1900000000000004</v>
      </c>
      <c r="Q1010">
        <v>10.23</v>
      </c>
      <c r="R1010">
        <f t="shared" si="91"/>
        <v>6.04</v>
      </c>
      <c r="S1010">
        <v>19</v>
      </c>
      <c r="T1010">
        <f t="shared" si="92"/>
        <v>194.37</v>
      </c>
      <c r="U1010">
        <v>0.05</v>
      </c>
      <c r="V1010">
        <f t="shared" si="93"/>
        <v>9.7185000000000006</v>
      </c>
      <c r="W1010">
        <f t="shared" si="94"/>
        <v>184.6515</v>
      </c>
      <c r="X1010">
        <v>4.68</v>
      </c>
      <c r="Y1010">
        <f t="shared" si="95"/>
        <v>189.33150000000001</v>
      </c>
    </row>
    <row r="1011" spans="1:25" x14ac:dyDescent="0.25">
      <c r="A1011" t="s">
        <v>2117</v>
      </c>
      <c r="B1011">
        <v>42723</v>
      </c>
      <c r="C1011" t="str">
        <f t="shared" si="90"/>
        <v>2016</v>
      </c>
      <c r="D1011" t="s">
        <v>1635</v>
      </c>
      <c r="E1011" t="s">
        <v>1348</v>
      </c>
      <c r="F1011" t="s">
        <v>257</v>
      </c>
      <c r="G1011" t="s">
        <v>258</v>
      </c>
      <c r="H1011" t="s">
        <v>241</v>
      </c>
      <c r="I1011" t="s">
        <v>492</v>
      </c>
      <c r="J1011" t="s">
        <v>261</v>
      </c>
      <c r="K1011" t="s">
        <v>377</v>
      </c>
      <c r="L1011" t="s">
        <v>268</v>
      </c>
      <c r="M1011" t="s">
        <v>246</v>
      </c>
      <c r="N1011" t="s">
        <v>247</v>
      </c>
      <c r="O1011">
        <v>42725</v>
      </c>
      <c r="P1011">
        <v>32.020000000000003</v>
      </c>
      <c r="Q1011">
        <v>152.47999999999999</v>
      </c>
      <c r="R1011">
        <f t="shared" si="91"/>
        <v>120.45999999999998</v>
      </c>
      <c r="S1011">
        <v>12</v>
      </c>
      <c r="T1011">
        <f t="shared" si="92"/>
        <v>1829.7599999999998</v>
      </c>
      <c r="U1011">
        <v>7.0000000000000007E-2</v>
      </c>
      <c r="V1011">
        <f t="shared" si="93"/>
        <v>128.08320000000001</v>
      </c>
      <c r="W1011">
        <f t="shared" si="94"/>
        <v>1701.6767999999997</v>
      </c>
      <c r="X1011">
        <v>4</v>
      </c>
      <c r="Y1011">
        <f t="shared" si="95"/>
        <v>1705.6767999999997</v>
      </c>
    </row>
    <row r="1012" spans="1:25" x14ac:dyDescent="0.25">
      <c r="A1012" t="s">
        <v>2118</v>
      </c>
      <c r="B1012">
        <v>42725</v>
      </c>
      <c r="C1012" t="str">
        <f t="shared" si="90"/>
        <v>2016</v>
      </c>
      <c r="D1012" t="s">
        <v>2119</v>
      </c>
      <c r="E1012" t="s">
        <v>589</v>
      </c>
      <c r="F1012" t="s">
        <v>257</v>
      </c>
      <c r="G1012" t="s">
        <v>258</v>
      </c>
      <c r="H1012" t="s">
        <v>241</v>
      </c>
      <c r="I1012" t="s">
        <v>333</v>
      </c>
      <c r="J1012" t="s">
        <v>261</v>
      </c>
      <c r="K1012" t="s">
        <v>353</v>
      </c>
      <c r="L1012" t="s">
        <v>245</v>
      </c>
      <c r="M1012" t="s">
        <v>323</v>
      </c>
      <c r="N1012" t="s">
        <v>247</v>
      </c>
      <c r="O1012">
        <v>42726</v>
      </c>
      <c r="P1012">
        <v>0.94</v>
      </c>
      <c r="Q1012">
        <v>2.08</v>
      </c>
      <c r="R1012">
        <f t="shared" si="91"/>
        <v>1.1400000000000001</v>
      </c>
      <c r="S1012">
        <v>49</v>
      </c>
      <c r="T1012">
        <f t="shared" si="92"/>
        <v>101.92</v>
      </c>
      <c r="U1012">
        <v>7.0000000000000007E-2</v>
      </c>
      <c r="V1012">
        <f t="shared" si="93"/>
        <v>7.1344000000000012</v>
      </c>
      <c r="W1012">
        <f t="shared" si="94"/>
        <v>94.785600000000002</v>
      </c>
      <c r="X1012">
        <v>2.56</v>
      </c>
      <c r="Y1012">
        <f t="shared" si="95"/>
        <v>97.345600000000005</v>
      </c>
    </row>
    <row r="1013" spans="1:25" x14ac:dyDescent="0.25">
      <c r="A1013" t="s">
        <v>2120</v>
      </c>
      <c r="B1013">
        <v>42726</v>
      </c>
      <c r="C1013" t="str">
        <f t="shared" si="90"/>
        <v>2016</v>
      </c>
      <c r="D1013" t="s">
        <v>297</v>
      </c>
      <c r="E1013" t="s">
        <v>298</v>
      </c>
      <c r="F1013" t="s">
        <v>257</v>
      </c>
      <c r="G1013" t="s">
        <v>258</v>
      </c>
      <c r="H1013" t="s">
        <v>241</v>
      </c>
      <c r="I1013" t="s">
        <v>299</v>
      </c>
      <c r="J1013" t="s">
        <v>261</v>
      </c>
      <c r="K1013" t="s">
        <v>453</v>
      </c>
      <c r="L1013" t="s">
        <v>245</v>
      </c>
      <c r="M1013" t="s">
        <v>246</v>
      </c>
      <c r="N1013" t="s">
        <v>247</v>
      </c>
      <c r="O1013">
        <v>42727</v>
      </c>
      <c r="P1013">
        <v>1.18</v>
      </c>
      <c r="Q1013">
        <v>1.88</v>
      </c>
      <c r="R1013">
        <f t="shared" si="91"/>
        <v>0.7</v>
      </c>
      <c r="S1013">
        <v>19</v>
      </c>
      <c r="T1013">
        <f t="shared" si="92"/>
        <v>35.72</v>
      </c>
      <c r="U1013">
        <v>0.06</v>
      </c>
      <c r="V1013">
        <f t="shared" si="93"/>
        <v>2.1431999999999998</v>
      </c>
      <c r="W1013">
        <f t="shared" si="94"/>
        <v>33.576799999999999</v>
      </c>
      <c r="X1013">
        <v>1.49</v>
      </c>
      <c r="Y1013">
        <f t="shared" si="95"/>
        <v>35.066800000000001</v>
      </c>
    </row>
    <row r="1014" spans="1:25" x14ac:dyDescent="0.25">
      <c r="A1014" t="s">
        <v>2121</v>
      </c>
      <c r="B1014">
        <v>42728</v>
      </c>
      <c r="C1014" t="str">
        <f t="shared" si="90"/>
        <v>2016</v>
      </c>
      <c r="D1014" t="s">
        <v>2122</v>
      </c>
      <c r="E1014" t="s">
        <v>1539</v>
      </c>
      <c r="F1014" t="s">
        <v>239</v>
      </c>
      <c r="G1014" t="s">
        <v>240</v>
      </c>
      <c r="H1014" t="s">
        <v>241</v>
      </c>
      <c r="I1014" t="s">
        <v>242</v>
      </c>
      <c r="J1014" t="s">
        <v>243</v>
      </c>
      <c r="K1014" t="s">
        <v>688</v>
      </c>
      <c r="L1014" t="s">
        <v>245</v>
      </c>
      <c r="M1014" t="s">
        <v>246</v>
      </c>
      <c r="N1014" t="s">
        <v>247</v>
      </c>
      <c r="O1014">
        <v>42729</v>
      </c>
      <c r="P1014">
        <v>2.4500000000000002</v>
      </c>
      <c r="Q1014">
        <v>3.89</v>
      </c>
      <c r="R1014">
        <f t="shared" si="91"/>
        <v>1.44</v>
      </c>
      <c r="S1014">
        <v>3</v>
      </c>
      <c r="T1014">
        <f t="shared" si="92"/>
        <v>11.67</v>
      </c>
      <c r="U1014">
        <v>0</v>
      </c>
      <c r="V1014">
        <f t="shared" si="93"/>
        <v>0</v>
      </c>
      <c r="W1014">
        <f t="shared" si="94"/>
        <v>11.67</v>
      </c>
      <c r="X1014">
        <v>7.01</v>
      </c>
      <c r="Y1014">
        <f t="shared" si="95"/>
        <v>18.68</v>
      </c>
    </row>
    <row r="1015" spans="1:25" x14ac:dyDescent="0.25">
      <c r="A1015" t="s">
        <v>2123</v>
      </c>
      <c r="B1015">
        <v>42729</v>
      </c>
      <c r="C1015" t="str">
        <f t="shared" si="90"/>
        <v>2016</v>
      </c>
      <c r="D1015" t="s">
        <v>516</v>
      </c>
      <c r="E1015" t="s">
        <v>256</v>
      </c>
      <c r="F1015" t="s">
        <v>257</v>
      </c>
      <c r="G1015" t="s">
        <v>258</v>
      </c>
      <c r="H1015" t="s">
        <v>293</v>
      </c>
      <c r="I1015" t="s">
        <v>260</v>
      </c>
      <c r="J1015" t="s">
        <v>294</v>
      </c>
      <c r="K1015" t="s">
        <v>949</v>
      </c>
      <c r="L1015" t="s">
        <v>245</v>
      </c>
      <c r="M1015" t="s">
        <v>246</v>
      </c>
      <c r="N1015" t="s">
        <v>247</v>
      </c>
      <c r="O1015">
        <v>42730</v>
      </c>
      <c r="P1015">
        <v>52.07</v>
      </c>
      <c r="Q1015">
        <v>83.98</v>
      </c>
      <c r="R1015">
        <f t="shared" si="91"/>
        <v>31.910000000000004</v>
      </c>
      <c r="S1015">
        <v>38</v>
      </c>
      <c r="T1015">
        <f t="shared" si="92"/>
        <v>3191.2400000000002</v>
      </c>
      <c r="U1015">
        <v>0</v>
      </c>
      <c r="V1015">
        <f t="shared" si="93"/>
        <v>0</v>
      </c>
      <c r="W1015">
        <f t="shared" si="94"/>
        <v>3191.2400000000002</v>
      </c>
      <c r="X1015">
        <v>5.01</v>
      </c>
      <c r="Y1015">
        <f t="shared" si="95"/>
        <v>3196.2500000000005</v>
      </c>
    </row>
    <row r="1016" spans="1:25" x14ac:dyDescent="0.25">
      <c r="A1016" t="s">
        <v>2124</v>
      </c>
      <c r="B1016">
        <v>42732</v>
      </c>
      <c r="C1016" t="str">
        <f t="shared" si="90"/>
        <v>2016</v>
      </c>
      <c r="D1016" t="s">
        <v>1227</v>
      </c>
      <c r="E1016" t="s">
        <v>760</v>
      </c>
      <c r="F1016" t="s">
        <v>448</v>
      </c>
      <c r="G1016" t="s">
        <v>449</v>
      </c>
      <c r="H1016" t="s">
        <v>274</v>
      </c>
      <c r="I1016" t="s">
        <v>333</v>
      </c>
      <c r="J1016" t="s">
        <v>243</v>
      </c>
      <c r="K1016" t="s">
        <v>859</v>
      </c>
      <c r="L1016" t="s">
        <v>245</v>
      </c>
      <c r="M1016" t="s">
        <v>246</v>
      </c>
      <c r="N1016" t="s">
        <v>247</v>
      </c>
      <c r="O1016">
        <v>42734</v>
      </c>
      <c r="P1016">
        <v>3.75</v>
      </c>
      <c r="Q1016">
        <v>5.77</v>
      </c>
      <c r="R1016">
        <f t="shared" si="91"/>
        <v>2.0199999999999996</v>
      </c>
      <c r="S1016">
        <v>42</v>
      </c>
      <c r="T1016">
        <f t="shared" si="92"/>
        <v>242.33999999999997</v>
      </c>
      <c r="U1016">
        <v>0</v>
      </c>
      <c r="V1016">
        <f t="shared" si="93"/>
        <v>0</v>
      </c>
      <c r="W1016">
        <f t="shared" si="94"/>
        <v>242.33999999999997</v>
      </c>
      <c r="X1016">
        <v>4.97</v>
      </c>
      <c r="Y1016">
        <f t="shared" si="95"/>
        <v>247.30999999999997</v>
      </c>
    </row>
    <row r="1017" spans="1:25" x14ac:dyDescent="0.25">
      <c r="A1017" t="s">
        <v>2125</v>
      </c>
      <c r="B1017">
        <v>42732</v>
      </c>
      <c r="C1017" t="str">
        <f t="shared" si="90"/>
        <v>2016</v>
      </c>
      <c r="D1017" t="s">
        <v>2126</v>
      </c>
      <c r="E1017" t="s">
        <v>503</v>
      </c>
      <c r="F1017" t="s">
        <v>257</v>
      </c>
      <c r="G1017" t="s">
        <v>258</v>
      </c>
      <c r="H1017" t="s">
        <v>274</v>
      </c>
      <c r="I1017" t="s">
        <v>504</v>
      </c>
      <c r="J1017" t="s">
        <v>304</v>
      </c>
      <c r="K1017" t="s">
        <v>630</v>
      </c>
      <c r="L1017" t="s">
        <v>245</v>
      </c>
      <c r="M1017" t="s">
        <v>253</v>
      </c>
      <c r="N1017" t="s">
        <v>247</v>
      </c>
      <c r="O1017">
        <v>42733</v>
      </c>
      <c r="P1017">
        <v>1.17</v>
      </c>
      <c r="Q1017">
        <v>2.78</v>
      </c>
      <c r="R1017">
        <f t="shared" si="91"/>
        <v>1.6099999999999999</v>
      </c>
      <c r="S1017">
        <v>48</v>
      </c>
      <c r="T1017">
        <f t="shared" si="92"/>
        <v>133.44</v>
      </c>
      <c r="U1017">
        <v>0.03</v>
      </c>
      <c r="V1017">
        <f t="shared" si="93"/>
        <v>4.0031999999999996</v>
      </c>
      <c r="W1017">
        <f t="shared" si="94"/>
        <v>129.43680000000001</v>
      </c>
      <c r="X1017">
        <v>1.2</v>
      </c>
      <c r="Y1017">
        <f t="shared" si="95"/>
        <v>130.63679999999999</v>
      </c>
    </row>
    <row r="1018" spans="1:25" x14ac:dyDescent="0.25">
      <c r="A1018" t="s">
        <v>2127</v>
      </c>
      <c r="B1018">
        <v>42732</v>
      </c>
      <c r="C1018" t="str">
        <f t="shared" si="90"/>
        <v>2016</v>
      </c>
      <c r="D1018" t="s">
        <v>1510</v>
      </c>
      <c r="E1018" t="s">
        <v>1239</v>
      </c>
      <c r="F1018" t="s">
        <v>257</v>
      </c>
      <c r="G1018" t="s">
        <v>258</v>
      </c>
      <c r="H1018" t="s">
        <v>259</v>
      </c>
      <c r="I1018" t="s">
        <v>309</v>
      </c>
      <c r="J1018" t="s">
        <v>304</v>
      </c>
      <c r="K1018" t="s">
        <v>384</v>
      </c>
      <c r="L1018" t="s">
        <v>268</v>
      </c>
      <c r="M1018" t="s">
        <v>246</v>
      </c>
      <c r="N1018" t="s">
        <v>247</v>
      </c>
      <c r="O1018">
        <v>42733</v>
      </c>
      <c r="P1018">
        <v>10.07</v>
      </c>
      <c r="Q1018">
        <v>15.98</v>
      </c>
      <c r="R1018">
        <f t="shared" si="91"/>
        <v>5.91</v>
      </c>
      <c r="S1018">
        <v>14</v>
      </c>
      <c r="T1018">
        <f t="shared" si="92"/>
        <v>223.72</v>
      </c>
      <c r="U1018">
        <v>0.05</v>
      </c>
      <c r="V1018">
        <f t="shared" si="93"/>
        <v>11.186</v>
      </c>
      <c r="W1018">
        <f t="shared" si="94"/>
        <v>212.53399999999999</v>
      </c>
      <c r="X1018">
        <v>4</v>
      </c>
      <c r="Y1018">
        <f t="shared" si="95"/>
        <v>216.53399999999999</v>
      </c>
    </row>
    <row r="1019" spans="1:25" x14ac:dyDescent="0.25">
      <c r="A1019" t="s">
        <v>2128</v>
      </c>
      <c r="B1019">
        <v>42735</v>
      </c>
      <c r="C1019" t="str">
        <f t="shared" si="90"/>
        <v>2016</v>
      </c>
      <c r="D1019" t="s">
        <v>781</v>
      </c>
      <c r="E1019" t="s">
        <v>782</v>
      </c>
      <c r="F1019" t="s">
        <v>257</v>
      </c>
      <c r="G1019" t="s">
        <v>258</v>
      </c>
      <c r="H1019" t="s">
        <v>259</v>
      </c>
      <c r="I1019" t="s">
        <v>381</v>
      </c>
      <c r="J1019" t="s">
        <v>279</v>
      </c>
      <c r="K1019" t="s">
        <v>453</v>
      </c>
      <c r="L1019" t="s">
        <v>245</v>
      </c>
      <c r="M1019" t="s">
        <v>246</v>
      </c>
      <c r="N1019" t="s">
        <v>247</v>
      </c>
      <c r="O1019">
        <v>42739</v>
      </c>
      <c r="P1019">
        <v>1.18</v>
      </c>
      <c r="Q1019">
        <v>1.88</v>
      </c>
      <c r="R1019">
        <f t="shared" si="91"/>
        <v>0.7</v>
      </c>
      <c r="S1019">
        <v>22</v>
      </c>
      <c r="T1019">
        <f t="shared" si="92"/>
        <v>41.36</v>
      </c>
      <c r="U1019">
        <v>0.04</v>
      </c>
      <c r="V1019">
        <f t="shared" si="93"/>
        <v>1.6544000000000001</v>
      </c>
      <c r="W1019">
        <f t="shared" si="94"/>
        <v>39.705599999999997</v>
      </c>
      <c r="X1019">
        <v>1.49</v>
      </c>
      <c r="Y1019">
        <f t="shared" si="95"/>
        <v>41.195599999999999</v>
      </c>
    </row>
    <row r="1020" spans="1:25" x14ac:dyDescent="0.25">
      <c r="A1020" t="s">
        <v>2129</v>
      </c>
      <c r="B1020">
        <v>42738</v>
      </c>
      <c r="C1020" t="str">
        <f t="shared" si="90"/>
        <v>2017</v>
      </c>
      <c r="D1020" t="s">
        <v>1302</v>
      </c>
      <c r="E1020" t="s">
        <v>1303</v>
      </c>
      <c r="F1020" t="s">
        <v>257</v>
      </c>
      <c r="G1020" t="s">
        <v>258</v>
      </c>
      <c r="H1020" t="s">
        <v>241</v>
      </c>
      <c r="I1020" t="s">
        <v>260</v>
      </c>
      <c r="J1020" t="s">
        <v>294</v>
      </c>
      <c r="K1020" t="s">
        <v>377</v>
      </c>
      <c r="L1020" t="s">
        <v>268</v>
      </c>
      <c r="M1020" t="s">
        <v>246</v>
      </c>
      <c r="N1020" t="s">
        <v>247</v>
      </c>
      <c r="O1020">
        <v>42739</v>
      </c>
      <c r="P1020">
        <v>32.020000000000003</v>
      </c>
      <c r="Q1020">
        <v>152.47999999999999</v>
      </c>
      <c r="R1020">
        <f t="shared" si="91"/>
        <v>120.45999999999998</v>
      </c>
      <c r="S1020">
        <v>46</v>
      </c>
      <c r="T1020">
        <f t="shared" si="92"/>
        <v>7014.08</v>
      </c>
      <c r="U1020">
        <v>0.04</v>
      </c>
      <c r="V1020">
        <f t="shared" si="93"/>
        <v>280.56319999999999</v>
      </c>
      <c r="W1020">
        <f t="shared" si="94"/>
        <v>6733.5168000000003</v>
      </c>
      <c r="X1020">
        <v>4</v>
      </c>
      <c r="Y1020">
        <f t="shared" si="95"/>
        <v>6737.5168000000003</v>
      </c>
    </row>
    <row r="1021" spans="1:25" x14ac:dyDescent="0.25">
      <c r="A1021" t="s">
        <v>2130</v>
      </c>
      <c r="B1021">
        <v>42739</v>
      </c>
      <c r="C1021" t="str">
        <f t="shared" si="90"/>
        <v>2017</v>
      </c>
      <c r="D1021" t="s">
        <v>272</v>
      </c>
      <c r="E1021" t="s">
        <v>273</v>
      </c>
      <c r="F1021" t="s">
        <v>257</v>
      </c>
      <c r="G1021" t="s">
        <v>258</v>
      </c>
      <c r="H1021" t="s">
        <v>274</v>
      </c>
      <c r="I1021" t="s">
        <v>275</v>
      </c>
      <c r="K1021" t="s">
        <v>1119</v>
      </c>
      <c r="L1021" t="s">
        <v>245</v>
      </c>
      <c r="M1021" t="s">
        <v>246</v>
      </c>
      <c r="N1021" t="s">
        <v>247</v>
      </c>
      <c r="O1021">
        <v>42740</v>
      </c>
      <c r="P1021">
        <v>1.84</v>
      </c>
      <c r="Q1021">
        <v>2.88</v>
      </c>
      <c r="R1021">
        <f t="shared" si="91"/>
        <v>1.0399999999999998</v>
      </c>
      <c r="S1021">
        <v>26</v>
      </c>
      <c r="T1021">
        <f t="shared" si="92"/>
        <v>74.88</v>
      </c>
      <c r="U1021">
        <v>0.01</v>
      </c>
      <c r="V1021">
        <f t="shared" si="93"/>
        <v>0.74880000000000002</v>
      </c>
      <c r="W1021">
        <f t="shared" si="94"/>
        <v>74.131199999999993</v>
      </c>
      <c r="X1021">
        <v>0.99</v>
      </c>
      <c r="Y1021">
        <f t="shared" si="95"/>
        <v>75.121199999999988</v>
      </c>
    </row>
    <row r="1022" spans="1:25" x14ac:dyDescent="0.25">
      <c r="A1022" t="s">
        <v>2131</v>
      </c>
      <c r="B1022">
        <v>42739</v>
      </c>
      <c r="C1022" t="str">
        <f t="shared" si="90"/>
        <v>2017</v>
      </c>
      <c r="D1022" t="s">
        <v>670</v>
      </c>
      <c r="E1022" t="s">
        <v>558</v>
      </c>
      <c r="F1022" t="s">
        <v>257</v>
      </c>
      <c r="G1022" t="s">
        <v>258</v>
      </c>
      <c r="H1022" t="s">
        <v>293</v>
      </c>
      <c r="I1022" t="s">
        <v>333</v>
      </c>
      <c r="J1022" t="s">
        <v>304</v>
      </c>
      <c r="K1022" t="s">
        <v>529</v>
      </c>
      <c r="L1022" t="s">
        <v>245</v>
      </c>
      <c r="M1022" t="s">
        <v>253</v>
      </c>
      <c r="N1022" t="s">
        <v>247</v>
      </c>
      <c r="O1022">
        <v>42741</v>
      </c>
      <c r="P1022">
        <v>1.6</v>
      </c>
      <c r="Q1022">
        <v>2.62</v>
      </c>
      <c r="R1022">
        <f t="shared" si="91"/>
        <v>1.02</v>
      </c>
      <c r="S1022">
        <v>35</v>
      </c>
      <c r="T1022">
        <f t="shared" si="92"/>
        <v>91.7</v>
      </c>
      <c r="U1022">
        <v>0.04</v>
      </c>
      <c r="V1022">
        <f t="shared" si="93"/>
        <v>3.6680000000000001</v>
      </c>
      <c r="W1022">
        <f t="shared" si="94"/>
        <v>88.031999999999996</v>
      </c>
      <c r="X1022">
        <v>0.8</v>
      </c>
      <c r="Y1022">
        <f t="shared" si="95"/>
        <v>88.831999999999994</v>
      </c>
    </row>
    <row r="1023" spans="1:25" x14ac:dyDescent="0.25">
      <c r="A1023" t="s">
        <v>2132</v>
      </c>
      <c r="B1023">
        <v>42741</v>
      </c>
      <c r="C1023" t="str">
        <f t="shared" si="90"/>
        <v>2017</v>
      </c>
      <c r="D1023" t="s">
        <v>2133</v>
      </c>
      <c r="E1023" t="s">
        <v>1621</v>
      </c>
      <c r="F1023" t="s">
        <v>257</v>
      </c>
      <c r="G1023" t="s">
        <v>258</v>
      </c>
      <c r="H1023" t="s">
        <v>274</v>
      </c>
      <c r="I1023" t="s">
        <v>381</v>
      </c>
      <c r="J1023" t="s">
        <v>304</v>
      </c>
      <c r="K1023" t="s">
        <v>482</v>
      </c>
      <c r="L1023" t="s">
        <v>268</v>
      </c>
      <c r="M1023" t="s">
        <v>246</v>
      </c>
      <c r="N1023" t="s">
        <v>247</v>
      </c>
      <c r="O1023">
        <v>42742</v>
      </c>
      <c r="P1023">
        <v>60.59</v>
      </c>
      <c r="Q1023">
        <v>100.98</v>
      </c>
      <c r="R1023">
        <f t="shared" si="91"/>
        <v>40.39</v>
      </c>
      <c r="S1023">
        <v>12</v>
      </c>
      <c r="T1023">
        <f t="shared" si="92"/>
        <v>1211.76</v>
      </c>
      <c r="U1023">
        <v>0</v>
      </c>
      <c r="V1023">
        <f t="shared" si="93"/>
        <v>0</v>
      </c>
      <c r="W1023">
        <f t="shared" si="94"/>
        <v>1211.76</v>
      </c>
      <c r="X1023">
        <v>7.18</v>
      </c>
      <c r="Y1023">
        <f t="shared" si="95"/>
        <v>1218.94</v>
      </c>
    </row>
    <row r="1024" spans="1:25" x14ac:dyDescent="0.25">
      <c r="A1024" t="s">
        <v>2134</v>
      </c>
      <c r="B1024">
        <v>42745</v>
      </c>
      <c r="C1024" t="str">
        <f t="shared" si="90"/>
        <v>2017</v>
      </c>
      <c r="D1024" t="s">
        <v>1355</v>
      </c>
      <c r="E1024" t="s">
        <v>673</v>
      </c>
      <c r="F1024" t="s">
        <v>257</v>
      </c>
      <c r="G1024" t="s">
        <v>258</v>
      </c>
      <c r="H1024" t="s">
        <v>241</v>
      </c>
      <c r="I1024" t="s">
        <v>372</v>
      </c>
      <c r="J1024" t="s">
        <v>304</v>
      </c>
      <c r="K1024" t="s">
        <v>1119</v>
      </c>
      <c r="L1024" t="s">
        <v>245</v>
      </c>
      <c r="M1024" t="s">
        <v>246</v>
      </c>
      <c r="N1024" t="s">
        <v>247</v>
      </c>
      <c r="O1024">
        <v>42746</v>
      </c>
      <c r="P1024">
        <v>1.84</v>
      </c>
      <c r="Q1024">
        <v>2.88</v>
      </c>
      <c r="R1024">
        <f t="shared" si="91"/>
        <v>1.0399999999999998</v>
      </c>
      <c r="S1024">
        <v>22</v>
      </c>
      <c r="T1024">
        <f t="shared" si="92"/>
        <v>63.36</v>
      </c>
      <c r="U1024">
        <v>0.02</v>
      </c>
      <c r="V1024">
        <f t="shared" si="93"/>
        <v>1.2672000000000001</v>
      </c>
      <c r="W1024">
        <f t="shared" si="94"/>
        <v>62.092799999999997</v>
      </c>
      <c r="X1024">
        <v>0.99</v>
      </c>
      <c r="Y1024">
        <f t="shared" si="95"/>
        <v>63.082799999999999</v>
      </c>
    </row>
    <row r="1025" spans="1:25" x14ac:dyDescent="0.25">
      <c r="A1025" t="s">
        <v>2135</v>
      </c>
      <c r="B1025">
        <v>42746</v>
      </c>
      <c r="C1025" t="str">
        <f t="shared" si="90"/>
        <v>2017</v>
      </c>
      <c r="D1025" t="s">
        <v>1219</v>
      </c>
      <c r="E1025" t="s">
        <v>1220</v>
      </c>
      <c r="F1025" t="s">
        <v>257</v>
      </c>
      <c r="G1025" t="s">
        <v>258</v>
      </c>
      <c r="H1025" t="s">
        <v>259</v>
      </c>
      <c r="I1025" t="s">
        <v>275</v>
      </c>
      <c r="J1025" t="s">
        <v>261</v>
      </c>
      <c r="K1025" t="s">
        <v>676</v>
      </c>
      <c r="L1025" t="s">
        <v>245</v>
      </c>
      <c r="M1025" t="s">
        <v>323</v>
      </c>
      <c r="N1025" t="s">
        <v>247</v>
      </c>
      <c r="O1025">
        <v>42748</v>
      </c>
      <c r="P1025">
        <v>5.19</v>
      </c>
      <c r="Q1025">
        <v>12.98</v>
      </c>
      <c r="R1025">
        <f t="shared" si="91"/>
        <v>7.79</v>
      </c>
      <c r="S1025">
        <v>49</v>
      </c>
      <c r="T1025">
        <f t="shared" si="92"/>
        <v>636.02</v>
      </c>
      <c r="U1025">
        <v>0.02</v>
      </c>
      <c r="V1025">
        <f t="shared" si="93"/>
        <v>12.7204</v>
      </c>
      <c r="W1025">
        <f t="shared" si="94"/>
        <v>623.29959999999994</v>
      </c>
      <c r="X1025">
        <v>3.14</v>
      </c>
      <c r="Y1025">
        <f t="shared" si="95"/>
        <v>626.43959999999993</v>
      </c>
    </row>
    <row r="1026" spans="1:25" x14ac:dyDescent="0.25">
      <c r="A1026" t="s">
        <v>2136</v>
      </c>
      <c r="B1026">
        <v>42749</v>
      </c>
      <c r="C1026" t="str">
        <f t="shared" si="90"/>
        <v>2017</v>
      </c>
      <c r="D1026" t="s">
        <v>1782</v>
      </c>
      <c r="E1026" t="s">
        <v>643</v>
      </c>
      <c r="F1026" t="s">
        <v>257</v>
      </c>
      <c r="G1026" t="s">
        <v>258</v>
      </c>
      <c r="H1026" t="s">
        <v>241</v>
      </c>
      <c r="I1026" t="s">
        <v>342</v>
      </c>
      <c r="J1026" t="s">
        <v>304</v>
      </c>
      <c r="K1026" t="s">
        <v>634</v>
      </c>
      <c r="L1026" t="s">
        <v>245</v>
      </c>
      <c r="M1026" t="s">
        <v>246</v>
      </c>
      <c r="N1026" t="s">
        <v>247</v>
      </c>
      <c r="O1026">
        <v>42750</v>
      </c>
      <c r="P1026">
        <v>2.2599999999999998</v>
      </c>
      <c r="Q1026">
        <v>3.58</v>
      </c>
      <c r="R1026">
        <f t="shared" si="91"/>
        <v>1.3200000000000003</v>
      </c>
      <c r="S1026">
        <v>38</v>
      </c>
      <c r="T1026">
        <f t="shared" si="92"/>
        <v>136.04</v>
      </c>
      <c r="U1026">
        <v>0.03</v>
      </c>
      <c r="V1026">
        <f t="shared" si="93"/>
        <v>4.0811999999999999</v>
      </c>
      <c r="W1026">
        <f t="shared" si="94"/>
        <v>131.9588</v>
      </c>
      <c r="X1026">
        <v>5.47</v>
      </c>
      <c r="Y1026">
        <f t="shared" si="95"/>
        <v>137.4288</v>
      </c>
    </row>
    <row r="1027" spans="1:25" x14ac:dyDescent="0.25">
      <c r="A1027" t="s">
        <v>2137</v>
      </c>
      <c r="B1027">
        <v>42752</v>
      </c>
      <c r="C1027" t="str">
        <f t="shared" si="90"/>
        <v>2017</v>
      </c>
      <c r="D1027" t="s">
        <v>2138</v>
      </c>
      <c r="E1027" t="s">
        <v>507</v>
      </c>
      <c r="F1027" t="s">
        <v>257</v>
      </c>
      <c r="G1027" t="s">
        <v>258</v>
      </c>
      <c r="H1027" t="s">
        <v>259</v>
      </c>
      <c r="I1027" t="s">
        <v>275</v>
      </c>
      <c r="J1027" t="s">
        <v>261</v>
      </c>
      <c r="K1027" t="s">
        <v>329</v>
      </c>
      <c r="L1027" t="s">
        <v>245</v>
      </c>
      <c r="M1027" t="s">
        <v>246</v>
      </c>
      <c r="N1027" t="s">
        <v>247</v>
      </c>
      <c r="O1027">
        <v>42753</v>
      </c>
      <c r="P1027">
        <v>4.59</v>
      </c>
      <c r="Q1027">
        <v>7.28</v>
      </c>
      <c r="R1027">
        <f t="shared" si="91"/>
        <v>2.6900000000000004</v>
      </c>
      <c r="S1027">
        <v>39</v>
      </c>
      <c r="T1027">
        <f t="shared" si="92"/>
        <v>283.92</v>
      </c>
      <c r="U1027">
        <v>0.08</v>
      </c>
      <c r="V1027">
        <f t="shared" si="93"/>
        <v>22.713600000000003</v>
      </c>
      <c r="W1027">
        <f t="shared" si="94"/>
        <v>261.20640000000003</v>
      </c>
      <c r="X1027">
        <v>11.15</v>
      </c>
      <c r="Y1027">
        <f t="shared" si="95"/>
        <v>272.35640000000001</v>
      </c>
    </row>
    <row r="1028" spans="1:25" x14ac:dyDescent="0.25">
      <c r="A1028" t="s">
        <v>2139</v>
      </c>
      <c r="B1028">
        <v>42753</v>
      </c>
      <c r="C1028" t="str">
        <f t="shared" si="90"/>
        <v>2017</v>
      </c>
      <c r="D1028" t="s">
        <v>788</v>
      </c>
      <c r="E1028" t="s">
        <v>789</v>
      </c>
      <c r="F1028" t="s">
        <v>257</v>
      </c>
      <c r="G1028" t="s">
        <v>258</v>
      </c>
      <c r="H1028" t="s">
        <v>241</v>
      </c>
      <c r="I1028" t="s">
        <v>309</v>
      </c>
      <c r="J1028" t="s">
        <v>294</v>
      </c>
      <c r="K1028" t="s">
        <v>317</v>
      </c>
      <c r="L1028" t="s">
        <v>245</v>
      </c>
      <c r="M1028" t="s">
        <v>253</v>
      </c>
      <c r="N1028" t="s">
        <v>263</v>
      </c>
      <c r="O1028">
        <v>42755</v>
      </c>
      <c r="P1028">
        <v>0.71</v>
      </c>
      <c r="Q1028">
        <v>1.1399999999999999</v>
      </c>
      <c r="R1028">
        <f t="shared" si="91"/>
        <v>0.42999999999999994</v>
      </c>
      <c r="S1028">
        <v>14</v>
      </c>
      <c r="T1028">
        <f t="shared" si="92"/>
        <v>15.959999999999999</v>
      </c>
      <c r="U1028">
        <v>0</v>
      </c>
      <c r="V1028">
        <f t="shared" si="93"/>
        <v>0</v>
      </c>
      <c r="W1028">
        <f t="shared" si="94"/>
        <v>15.959999999999999</v>
      </c>
      <c r="X1028">
        <v>0.7</v>
      </c>
      <c r="Y1028">
        <f t="shared" si="95"/>
        <v>16.66</v>
      </c>
    </row>
    <row r="1029" spans="1:25" x14ac:dyDescent="0.25">
      <c r="A1029" t="s">
        <v>2140</v>
      </c>
      <c r="B1029">
        <v>42754</v>
      </c>
      <c r="C1029" t="str">
        <f t="shared" si="90"/>
        <v>2017</v>
      </c>
      <c r="D1029" t="s">
        <v>1112</v>
      </c>
      <c r="E1029" t="s">
        <v>1041</v>
      </c>
      <c r="F1029" t="s">
        <v>257</v>
      </c>
      <c r="G1029" t="s">
        <v>258</v>
      </c>
      <c r="H1029" t="s">
        <v>259</v>
      </c>
      <c r="I1029" t="s">
        <v>372</v>
      </c>
      <c r="J1029" t="s">
        <v>294</v>
      </c>
      <c r="K1029" t="s">
        <v>413</v>
      </c>
      <c r="L1029" t="s">
        <v>268</v>
      </c>
      <c r="M1029" t="s">
        <v>414</v>
      </c>
      <c r="N1029" t="s">
        <v>247</v>
      </c>
      <c r="O1029">
        <v>42756</v>
      </c>
      <c r="P1029">
        <v>8.82</v>
      </c>
      <c r="Q1029">
        <v>20.99</v>
      </c>
      <c r="R1029">
        <f t="shared" si="91"/>
        <v>12.169999999999998</v>
      </c>
      <c r="S1029">
        <v>29</v>
      </c>
      <c r="T1029">
        <f t="shared" si="92"/>
        <v>608.70999999999992</v>
      </c>
      <c r="U1029">
        <v>0.03</v>
      </c>
      <c r="V1029">
        <f t="shared" si="93"/>
        <v>18.261299999999999</v>
      </c>
      <c r="W1029">
        <f t="shared" si="94"/>
        <v>590.44869999999992</v>
      </c>
      <c r="X1029">
        <v>4.8099999999999996</v>
      </c>
      <c r="Y1029">
        <f t="shared" si="95"/>
        <v>595.25869999999986</v>
      </c>
    </row>
    <row r="1030" spans="1:25" x14ac:dyDescent="0.25">
      <c r="A1030" t="s">
        <v>2141</v>
      </c>
      <c r="B1030">
        <v>42754</v>
      </c>
      <c r="C1030" t="str">
        <f t="shared" ref="C1030:C1044" si="96">TEXT(B1030,"yyyy")</f>
        <v>2017</v>
      </c>
      <c r="D1030" t="s">
        <v>2142</v>
      </c>
      <c r="E1030" t="s">
        <v>681</v>
      </c>
      <c r="F1030" t="s">
        <v>257</v>
      </c>
      <c r="G1030" t="s">
        <v>258</v>
      </c>
      <c r="H1030" t="s">
        <v>241</v>
      </c>
      <c r="I1030" t="s">
        <v>299</v>
      </c>
      <c r="J1030" t="s">
        <v>304</v>
      </c>
      <c r="K1030" t="s">
        <v>676</v>
      </c>
      <c r="L1030" t="s">
        <v>245</v>
      </c>
      <c r="M1030" t="s">
        <v>323</v>
      </c>
      <c r="N1030" t="s">
        <v>263</v>
      </c>
      <c r="O1030">
        <v>42756</v>
      </c>
      <c r="P1030">
        <v>5.19</v>
      </c>
      <c r="Q1030">
        <v>12.98</v>
      </c>
      <c r="R1030">
        <f t="shared" ref="R1030:R1044" si="97">Q1030-P1030</f>
        <v>7.79</v>
      </c>
      <c r="S1030">
        <v>10</v>
      </c>
      <c r="T1030">
        <f t="shared" ref="T1030:T1044" si="98">Q1030*S1030</f>
        <v>129.80000000000001</v>
      </c>
      <c r="U1030">
        <v>0.05</v>
      </c>
      <c r="V1030">
        <f t="shared" ref="V1030:V1044" si="99">T1030*U1030</f>
        <v>6.4900000000000011</v>
      </c>
      <c r="W1030">
        <f t="shared" ref="W1030:W1044" si="100">T1030-V1030</f>
        <v>123.31000000000002</v>
      </c>
      <c r="X1030">
        <v>3.14</v>
      </c>
      <c r="Y1030">
        <f t="shared" ref="Y1030:Y1044" si="101">W1030+X1030</f>
        <v>126.45000000000002</v>
      </c>
    </row>
    <row r="1031" spans="1:25" x14ac:dyDescent="0.25">
      <c r="A1031" t="s">
        <v>2143</v>
      </c>
      <c r="B1031">
        <v>42754</v>
      </c>
      <c r="C1031" t="str">
        <f t="shared" si="96"/>
        <v>2017</v>
      </c>
      <c r="D1031" t="s">
        <v>1834</v>
      </c>
      <c r="E1031" t="s">
        <v>637</v>
      </c>
      <c r="F1031" t="s">
        <v>239</v>
      </c>
      <c r="G1031" t="s">
        <v>240</v>
      </c>
      <c r="H1031" t="s">
        <v>293</v>
      </c>
      <c r="I1031" t="s">
        <v>242</v>
      </c>
      <c r="J1031" t="s">
        <v>279</v>
      </c>
      <c r="K1031" t="s">
        <v>514</v>
      </c>
      <c r="L1031" t="s">
        <v>245</v>
      </c>
      <c r="M1031" t="s">
        <v>246</v>
      </c>
      <c r="N1031" t="s">
        <v>263</v>
      </c>
      <c r="O1031">
        <v>42761</v>
      </c>
      <c r="P1031">
        <v>19.829999999999998</v>
      </c>
      <c r="Q1031">
        <v>30.98</v>
      </c>
      <c r="R1031">
        <f t="shared" si="97"/>
        <v>11.150000000000002</v>
      </c>
      <c r="S1031">
        <v>41</v>
      </c>
      <c r="T1031">
        <f t="shared" si="98"/>
        <v>1270.18</v>
      </c>
      <c r="U1031">
        <v>0.04</v>
      </c>
      <c r="V1031">
        <f t="shared" si="99"/>
        <v>50.807200000000002</v>
      </c>
      <c r="W1031">
        <f t="shared" si="100"/>
        <v>1219.3728000000001</v>
      </c>
      <c r="X1031">
        <v>19.510000000000002</v>
      </c>
      <c r="Y1031">
        <f t="shared" si="101"/>
        <v>1238.8828000000001</v>
      </c>
    </row>
    <row r="1032" spans="1:25" x14ac:dyDescent="0.25">
      <c r="A1032" t="s">
        <v>2144</v>
      </c>
      <c r="B1032">
        <v>42755</v>
      </c>
      <c r="C1032" t="str">
        <f t="shared" si="96"/>
        <v>2017</v>
      </c>
      <c r="D1032" t="s">
        <v>1302</v>
      </c>
      <c r="E1032" t="s">
        <v>1303</v>
      </c>
      <c r="F1032" t="s">
        <v>257</v>
      </c>
      <c r="G1032" t="s">
        <v>258</v>
      </c>
      <c r="H1032" t="s">
        <v>259</v>
      </c>
      <c r="I1032" t="s">
        <v>260</v>
      </c>
      <c r="J1032" t="s">
        <v>294</v>
      </c>
      <c r="K1032" t="s">
        <v>329</v>
      </c>
      <c r="L1032" t="s">
        <v>245</v>
      </c>
      <c r="M1032" t="s">
        <v>246</v>
      </c>
      <c r="N1032" t="s">
        <v>247</v>
      </c>
      <c r="O1032">
        <v>42756</v>
      </c>
      <c r="P1032">
        <v>4.59</v>
      </c>
      <c r="Q1032">
        <v>7.28</v>
      </c>
      <c r="R1032">
        <f t="shared" si="97"/>
        <v>2.6900000000000004</v>
      </c>
      <c r="S1032">
        <v>24</v>
      </c>
      <c r="T1032">
        <f t="shared" si="98"/>
        <v>174.72</v>
      </c>
      <c r="U1032">
        <v>0.1</v>
      </c>
      <c r="V1032">
        <f t="shared" si="99"/>
        <v>17.472000000000001</v>
      </c>
      <c r="W1032">
        <f t="shared" si="100"/>
        <v>157.24799999999999</v>
      </c>
      <c r="X1032">
        <v>11.15</v>
      </c>
      <c r="Y1032">
        <f t="shared" si="101"/>
        <v>168.398</v>
      </c>
    </row>
    <row r="1033" spans="1:25" x14ac:dyDescent="0.25">
      <c r="A1033" t="s">
        <v>2145</v>
      </c>
      <c r="B1033">
        <v>42758</v>
      </c>
      <c r="C1033" t="str">
        <f t="shared" si="96"/>
        <v>2017</v>
      </c>
      <c r="D1033" t="s">
        <v>1413</v>
      </c>
      <c r="E1033" t="s">
        <v>511</v>
      </c>
      <c r="F1033" t="s">
        <v>257</v>
      </c>
      <c r="G1033" t="s">
        <v>258</v>
      </c>
      <c r="H1033" t="s">
        <v>259</v>
      </c>
      <c r="I1033" t="s">
        <v>381</v>
      </c>
      <c r="J1033" t="s">
        <v>294</v>
      </c>
      <c r="K1033" t="s">
        <v>953</v>
      </c>
      <c r="L1033" t="s">
        <v>245</v>
      </c>
      <c r="M1033" t="s">
        <v>253</v>
      </c>
      <c r="N1033" t="s">
        <v>247</v>
      </c>
      <c r="O1033">
        <v>42760</v>
      </c>
      <c r="P1033">
        <v>2.16</v>
      </c>
      <c r="Q1033">
        <v>3.85</v>
      </c>
      <c r="R1033">
        <f t="shared" si="97"/>
        <v>1.69</v>
      </c>
      <c r="S1033">
        <v>18</v>
      </c>
      <c r="T1033">
        <f t="shared" si="98"/>
        <v>69.3</v>
      </c>
      <c r="U1033">
        <v>0.04</v>
      </c>
      <c r="V1033">
        <f t="shared" si="99"/>
        <v>2.7719999999999998</v>
      </c>
      <c r="W1033">
        <f t="shared" si="100"/>
        <v>66.527999999999992</v>
      </c>
      <c r="X1033">
        <v>0.7</v>
      </c>
      <c r="Y1033">
        <f t="shared" si="101"/>
        <v>67.227999999999994</v>
      </c>
    </row>
    <row r="1034" spans="1:25" x14ac:dyDescent="0.25">
      <c r="A1034" t="s">
        <v>2146</v>
      </c>
      <c r="B1034">
        <v>42759</v>
      </c>
      <c r="C1034" t="str">
        <f t="shared" si="96"/>
        <v>2017</v>
      </c>
      <c r="D1034" t="s">
        <v>2147</v>
      </c>
      <c r="E1034" t="s">
        <v>424</v>
      </c>
      <c r="F1034" t="s">
        <v>257</v>
      </c>
      <c r="G1034" t="s">
        <v>258</v>
      </c>
      <c r="H1034" t="s">
        <v>259</v>
      </c>
      <c r="I1034" t="s">
        <v>299</v>
      </c>
      <c r="J1034" t="s">
        <v>294</v>
      </c>
      <c r="K1034" t="s">
        <v>653</v>
      </c>
      <c r="L1034" t="s">
        <v>245</v>
      </c>
      <c r="M1034" t="s">
        <v>246</v>
      </c>
      <c r="N1034" t="s">
        <v>247</v>
      </c>
      <c r="O1034">
        <v>42761</v>
      </c>
      <c r="P1034">
        <v>3.5</v>
      </c>
      <c r="Q1034">
        <v>5.74</v>
      </c>
      <c r="R1034">
        <f t="shared" si="97"/>
        <v>2.2400000000000002</v>
      </c>
      <c r="S1034">
        <v>46</v>
      </c>
      <c r="T1034">
        <f t="shared" si="98"/>
        <v>264.04000000000002</v>
      </c>
      <c r="U1034">
        <v>0.05</v>
      </c>
      <c r="V1034">
        <f t="shared" si="99"/>
        <v>13.202000000000002</v>
      </c>
      <c r="W1034">
        <f t="shared" si="100"/>
        <v>250.83800000000002</v>
      </c>
      <c r="X1034">
        <v>5.01</v>
      </c>
      <c r="Y1034">
        <f t="shared" si="101"/>
        <v>255.84800000000001</v>
      </c>
    </row>
    <row r="1035" spans="1:25" x14ac:dyDescent="0.25">
      <c r="A1035" t="s">
        <v>2148</v>
      </c>
      <c r="B1035">
        <v>42761</v>
      </c>
      <c r="C1035" t="str">
        <f t="shared" si="96"/>
        <v>2017</v>
      </c>
      <c r="D1035" t="s">
        <v>1446</v>
      </c>
      <c r="E1035" t="s">
        <v>528</v>
      </c>
      <c r="F1035" t="s">
        <v>239</v>
      </c>
      <c r="G1035" t="s">
        <v>240</v>
      </c>
      <c r="H1035" t="s">
        <v>293</v>
      </c>
      <c r="I1035" t="s">
        <v>251</v>
      </c>
      <c r="J1035" t="s">
        <v>243</v>
      </c>
      <c r="K1035" t="s">
        <v>464</v>
      </c>
      <c r="L1035" t="s">
        <v>268</v>
      </c>
      <c r="M1035" t="s">
        <v>246</v>
      </c>
      <c r="N1035" t="s">
        <v>247</v>
      </c>
      <c r="O1035">
        <v>42762</v>
      </c>
      <c r="P1035">
        <v>156.5</v>
      </c>
      <c r="Q1035">
        <v>300.97000000000003</v>
      </c>
      <c r="R1035">
        <f t="shared" si="97"/>
        <v>144.47000000000003</v>
      </c>
      <c r="S1035">
        <v>29</v>
      </c>
      <c r="T1035">
        <f t="shared" si="98"/>
        <v>8728.130000000001</v>
      </c>
      <c r="U1035">
        <v>0.03</v>
      </c>
      <c r="V1035">
        <f t="shared" si="99"/>
        <v>261.84390000000002</v>
      </c>
      <c r="W1035">
        <f t="shared" si="100"/>
        <v>8466.2861000000012</v>
      </c>
      <c r="X1035">
        <v>7.18</v>
      </c>
      <c r="Y1035">
        <f t="shared" si="101"/>
        <v>8473.4661000000015</v>
      </c>
    </row>
    <row r="1036" spans="1:25" x14ac:dyDescent="0.25">
      <c r="A1036" t="s">
        <v>2149</v>
      </c>
      <c r="B1036">
        <v>42762</v>
      </c>
      <c r="C1036" t="str">
        <f t="shared" si="96"/>
        <v>2017</v>
      </c>
      <c r="D1036" t="s">
        <v>1206</v>
      </c>
      <c r="E1036" t="s">
        <v>1207</v>
      </c>
      <c r="F1036" t="s">
        <v>448</v>
      </c>
      <c r="G1036" t="s">
        <v>449</v>
      </c>
      <c r="H1036" t="s">
        <v>259</v>
      </c>
      <c r="I1036" t="s">
        <v>299</v>
      </c>
      <c r="J1036" t="s">
        <v>261</v>
      </c>
      <c r="K1036" t="s">
        <v>1429</v>
      </c>
      <c r="L1036" t="s">
        <v>245</v>
      </c>
      <c r="M1036" t="s">
        <v>246</v>
      </c>
      <c r="N1036" t="s">
        <v>247</v>
      </c>
      <c r="O1036">
        <v>42763</v>
      </c>
      <c r="P1036">
        <v>3.99</v>
      </c>
      <c r="Q1036">
        <v>6.23</v>
      </c>
      <c r="R1036">
        <f t="shared" si="97"/>
        <v>2.2400000000000002</v>
      </c>
      <c r="S1036">
        <v>25</v>
      </c>
      <c r="T1036">
        <f t="shared" si="98"/>
        <v>155.75</v>
      </c>
      <c r="U1036">
        <v>7.0000000000000007E-2</v>
      </c>
      <c r="V1036">
        <f t="shared" si="99"/>
        <v>10.902500000000002</v>
      </c>
      <c r="W1036">
        <f t="shared" si="100"/>
        <v>144.8475</v>
      </c>
      <c r="X1036">
        <v>6.97</v>
      </c>
      <c r="Y1036">
        <f t="shared" si="101"/>
        <v>151.8175</v>
      </c>
    </row>
    <row r="1037" spans="1:25" x14ac:dyDescent="0.25">
      <c r="A1037" t="s">
        <v>2150</v>
      </c>
      <c r="B1037">
        <v>42765</v>
      </c>
      <c r="C1037" t="str">
        <f t="shared" si="96"/>
        <v>2017</v>
      </c>
      <c r="D1037" t="s">
        <v>596</v>
      </c>
      <c r="E1037" t="s">
        <v>352</v>
      </c>
      <c r="F1037" t="s">
        <v>257</v>
      </c>
      <c r="G1037" t="s">
        <v>258</v>
      </c>
      <c r="H1037" t="s">
        <v>241</v>
      </c>
      <c r="I1037" t="s">
        <v>275</v>
      </c>
      <c r="J1037" t="s">
        <v>294</v>
      </c>
      <c r="K1037" t="s">
        <v>267</v>
      </c>
      <c r="L1037" t="s">
        <v>268</v>
      </c>
      <c r="M1037" t="s">
        <v>269</v>
      </c>
      <c r="N1037" t="s">
        <v>270</v>
      </c>
      <c r="O1037">
        <v>42768</v>
      </c>
      <c r="P1037">
        <v>75</v>
      </c>
      <c r="Q1037">
        <v>120.97</v>
      </c>
      <c r="R1037">
        <f t="shared" si="97"/>
        <v>45.97</v>
      </c>
      <c r="S1037">
        <v>4</v>
      </c>
      <c r="T1037">
        <f t="shared" si="98"/>
        <v>483.88</v>
      </c>
      <c r="U1037">
        <v>7.0000000000000007E-2</v>
      </c>
      <c r="V1037">
        <f t="shared" si="99"/>
        <v>33.871600000000001</v>
      </c>
      <c r="W1037">
        <f t="shared" si="100"/>
        <v>450.00839999999999</v>
      </c>
      <c r="X1037">
        <v>26.3</v>
      </c>
      <c r="Y1037">
        <f t="shared" si="101"/>
        <v>476.30840000000001</v>
      </c>
    </row>
    <row r="1038" spans="1:25" x14ac:dyDescent="0.25">
      <c r="A1038" t="s">
        <v>2151</v>
      </c>
      <c r="B1038">
        <v>42767</v>
      </c>
      <c r="C1038" t="str">
        <f t="shared" si="96"/>
        <v>2017</v>
      </c>
      <c r="D1038" t="s">
        <v>2152</v>
      </c>
      <c r="E1038" t="s">
        <v>500</v>
      </c>
      <c r="F1038" t="s">
        <v>257</v>
      </c>
      <c r="G1038" t="s">
        <v>258</v>
      </c>
      <c r="H1038" t="s">
        <v>259</v>
      </c>
      <c r="I1038" t="s">
        <v>275</v>
      </c>
      <c r="J1038" t="s">
        <v>279</v>
      </c>
      <c r="K1038" t="s">
        <v>638</v>
      </c>
      <c r="L1038" t="s">
        <v>245</v>
      </c>
      <c r="M1038" t="s">
        <v>323</v>
      </c>
      <c r="N1038" t="s">
        <v>247</v>
      </c>
      <c r="O1038">
        <v>42771</v>
      </c>
      <c r="P1038">
        <v>1.46</v>
      </c>
      <c r="Q1038">
        <v>3.57</v>
      </c>
      <c r="R1038">
        <f t="shared" si="97"/>
        <v>2.11</v>
      </c>
      <c r="S1038">
        <v>25</v>
      </c>
      <c r="T1038">
        <f t="shared" si="98"/>
        <v>89.25</v>
      </c>
      <c r="U1038">
        <v>0.01</v>
      </c>
      <c r="V1038">
        <f t="shared" si="99"/>
        <v>0.89250000000000007</v>
      </c>
      <c r="W1038">
        <f t="shared" si="100"/>
        <v>88.357500000000002</v>
      </c>
      <c r="X1038">
        <v>4.17</v>
      </c>
      <c r="Y1038">
        <f t="shared" si="101"/>
        <v>92.527500000000003</v>
      </c>
    </row>
    <row r="1039" spans="1:25" x14ac:dyDescent="0.25">
      <c r="A1039" t="s">
        <v>2153</v>
      </c>
      <c r="B1039">
        <v>42768</v>
      </c>
      <c r="C1039" t="str">
        <f t="shared" si="96"/>
        <v>2017</v>
      </c>
      <c r="D1039" t="s">
        <v>1227</v>
      </c>
      <c r="E1039" t="s">
        <v>760</v>
      </c>
      <c r="F1039" t="s">
        <v>448</v>
      </c>
      <c r="G1039" t="s">
        <v>449</v>
      </c>
      <c r="H1039" t="s">
        <v>259</v>
      </c>
      <c r="I1039" t="s">
        <v>333</v>
      </c>
      <c r="K1039" t="s">
        <v>435</v>
      </c>
      <c r="L1039" t="s">
        <v>245</v>
      </c>
      <c r="M1039" t="s">
        <v>253</v>
      </c>
      <c r="N1039" t="s">
        <v>247</v>
      </c>
      <c r="O1039">
        <v>42770</v>
      </c>
      <c r="P1039">
        <v>3.75</v>
      </c>
      <c r="Q1039">
        <v>7.08</v>
      </c>
      <c r="R1039">
        <f t="shared" si="97"/>
        <v>3.33</v>
      </c>
      <c r="S1039">
        <v>46</v>
      </c>
      <c r="T1039">
        <f t="shared" si="98"/>
        <v>325.68</v>
      </c>
      <c r="U1039">
        <v>0.1</v>
      </c>
      <c r="V1039">
        <f t="shared" si="99"/>
        <v>32.568000000000005</v>
      </c>
      <c r="W1039">
        <f t="shared" si="100"/>
        <v>293.11200000000002</v>
      </c>
      <c r="X1039">
        <v>2.35</v>
      </c>
      <c r="Y1039">
        <f t="shared" si="101"/>
        <v>295.46200000000005</v>
      </c>
    </row>
    <row r="1040" spans="1:25" x14ac:dyDescent="0.25">
      <c r="A1040" t="s">
        <v>2154</v>
      </c>
      <c r="B1040">
        <v>42769</v>
      </c>
      <c r="C1040" t="str">
        <f t="shared" si="96"/>
        <v>2017</v>
      </c>
      <c r="D1040" t="s">
        <v>249</v>
      </c>
      <c r="E1040" t="s">
        <v>2155</v>
      </c>
      <c r="F1040" t="s">
        <v>239</v>
      </c>
      <c r="G1040" t="s">
        <v>240</v>
      </c>
      <c r="H1040" t="s">
        <v>241</v>
      </c>
      <c r="I1040" t="s">
        <v>251</v>
      </c>
      <c r="J1040" t="s">
        <v>243</v>
      </c>
      <c r="K1040" t="s">
        <v>368</v>
      </c>
      <c r="L1040" t="s">
        <v>245</v>
      </c>
      <c r="M1040" t="s">
        <v>246</v>
      </c>
      <c r="N1040" t="s">
        <v>247</v>
      </c>
      <c r="O1040">
        <v>42771</v>
      </c>
      <c r="P1040">
        <v>1.59</v>
      </c>
      <c r="Q1040">
        <v>2.61</v>
      </c>
      <c r="R1040">
        <f t="shared" si="97"/>
        <v>1.0199999999999998</v>
      </c>
      <c r="S1040">
        <v>38</v>
      </c>
      <c r="T1040">
        <f t="shared" si="98"/>
        <v>99.179999999999993</v>
      </c>
      <c r="U1040">
        <v>0.04</v>
      </c>
      <c r="V1040">
        <f t="shared" si="99"/>
        <v>3.9671999999999996</v>
      </c>
      <c r="W1040">
        <f t="shared" si="100"/>
        <v>95.212799999999987</v>
      </c>
      <c r="X1040">
        <v>0.5</v>
      </c>
      <c r="Y1040">
        <f t="shared" si="101"/>
        <v>95.712799999999987</v>
      </c>
    </row>
    <row r="1041" spans="1:25" x14ac:dyDescent="0.25">
      <c r="A1041" t="s">
        <v>2156</v>
      </c>
      <c r="B1041">
        <v>42770</v>
      </c>
      <c r="C1041" t="str">
        <f t="shared" si="96"/>
        <v>2017</v>
      </c>
      <c r="D1041" t="s">
        <v>2157</v>
      </c>
      <c r="E1041" t="s">
        <v>424</v>
      </c>
      <c r="F1041" t="s">
        <v>257</v>
      </c>
      <c r="G1041" t="s">
        <v>258</v>
      </c>
      <c r="H1041" t="s">
        <v>293</v>
      </c>
      <c r="I1041" t="s">
        <v>299</v>
      </c>
      <c r="J1041" t="s">
        <v>243</v>
      </c>
      <c r="K1041" t="s">
        <v>443</v>
      </c>
      <c r="L1041" t="s">
        <v>245</v>
      </c>
      <c r="M1041" t="s">
        <v>246</v>
      </c>
      <c r="N1041" t="s">
        <v>247</v>
      </c>
      <c r="O1041">
        <v>42771</v>
      </c>
      <c r="P1041">
        <v>13.64</v>
      </c>
      <c r="Q1041">
        <v>20.98</v>
      </c>
      <c r="R1041">
        <f t="shared" si="97"/>
        <v>7.34</v>
      </c>
      <c r="S1041">
        <v>41</v>
      </c>
      <c r="T1041">
        <f t="shared" si="98"/>
        <v>860.18000000000006</v>
      </c>
      <c r="U1041">
        <v>0.05</v>
      </c>
      <c r="V1041">
        <f t="shared" si="99"/>
        <v>43.009000000000007</v>
      </c>
      <c r="W1041">
        <f t="shared" si="100"/>
        <v>817.17100000000005</v>
      </c>
      <c r="X1041">
        <v>1.49</v>
      </c>
      <c r="Y1041">
        <f t="shared" si="101"/>
        <v>818.66100000000006</v>
      </c>
    </row>
    <row r="1042" spans="1:25" x14ac:dyDescent="0.25">
      <c r="A1042" t="s">
        <v>2158</v>
      </c>
      <c r="B1042">
        <v>42771</v>
      </c>
      <c r="C1042" t="str">
        <f t="shared" si="96"/>
        <v>2017</v>
      </c>
      <c r="D1042" t="s">
        <v>319</v>
      </c>
      <c r="E1042" t="s">
        <v>320</v>
      </c>
      <c r="F1042" t="s">
        <v>257</v>
      </c>
      <c r="G1042" t="s">
        <v>258</v>
      </c>
      <c r="H1042" t="s">
        <v>241</v>
      </c>
      <c r="I1042" t="s">
        <v>321</v>
      </c>
      <c r="J1042" t="s">
        <v>304</v>
      </c>
      <c r="K1042" t="s">
        <v>443</v>
      </c>
      <c r="L1042" t="s">
        <v>245</v>
      </c>
      <c r="M1042" t="s">
        <v>246</v>
      </c>
      <c r="N1042" t="s">
        <v>247</v>
      </c>
      <c r="O1042">
        <v>42773</v>
      </c>
      <c r="P1042">
        <v>13.64</v>
      </c>
      <c r="Q1042">
        <v>20.98</v>
      </c>
      <c r="R1042">
        <f t="shared" si="97"/>
        <v>7.34</v>
      </c>
      <c r="S1042">
        <v>2</v>
      </c>
      <c r="T1042">
        <f t="shared" si="98"/>
        <v>41.96</v>
      </c>
      <c r="U1042">
        <v>0.01</v>
      </c>
      <c r="V1042">
        <f t="shared" si="99"/>
        <v>0.41960000000000003</v>
      </c>
      <c r="W1042">
        <f t="shared" si="100"/>
        <v>41.540399999999998</v>
      </c>
      <c r="X1042">
        <v>1.49</v>
      </c>
      <c r="Y1042">
        <f t="shared" si="101"/>
        <v>43.0304</v>
      </c>
    </row>
    <row r="1043" spans="1:25" x14ac:dyDescent="0.25">
      <c r="A1043" t="s">
        <v>2159</v>
      </c>
      <c r="B1043">
        <v>42773</v>
      </c>
      <c r="C1043" t="str">
        <f t="shared" si="96"/>
        <v>2017</v>
      </c>
      <c r="D1043" t="s">
        <v>1197</v>
      </c>
      <c r="E1043" t="s">
        <v>359</v>
      </c>
      <c r="F1043" t="s">
        <v>239</v>
      </c>
      <c r="G1043" t="s">
        <v>240</v>
      </c>
      <c r="H1043" t="s">
        <v>241</v>
      </c>
      <c r="I1043" t="s">
        <v>251</v>
      </c>
      <c r="J1043" t="s">
        <v>279</v>
      </c>
      <c r="K1043" t="s">
        <v>373</v>
      </c>
      <c r="L1043" t="s">
        <v>268</v>
      </c>
      <c r="M1043" t="s">
        <v>246</v>
      </c>
      <c r="N1043" t="s">
        <v>247</v>
      </c>
      <c r="P1043">
        <v>6.39</v>
      </c>
      <c r="Q1043">
        <v>19.98</v>
      </c>
      <c r="R1043">
        <f t="shared" si="97"/>
        <v>13.59</v>
      </c>
      <c r="S1043">
        <v>31</v>
      </c>
      <c r="T1043">
        <f t="shared" si="98"/>
        <v>619.38</v>
      </c>
      <c r="U1043">
        <v>0</v>
      </c>
      <c r="V1043">
        <f t="shared" si="99"/>
        <v>0</v>
      </c>
      <c r="W1043">
        <f t="shared" si="100"/>
        <v>619.38</v>
      </c>
      <c r="X1043">
        <v>4</v>
      </c>
      <c r="Y1043">
        <f t="shared" si="101"/>
        <v>623.38</v>
      </c>
    </row>
    <row r="1044" spans="1:25" x14ac:dyDescent="0.25">
      <c r="A1044" t="s">
        <v>2160</v>
      </c>
      <c r="B1044">
        <v>42773</v>
      </c>
      <c r="C1044" t="str">
        <f t="shared" si="96"/>
        <v>2017</v>
      </c>
      <c r="D1044" t="s">
        <v>2161</v>
      </c>
      <c r="E1044" t="s">
        <v>359</v>
      </c>
      <c r="F1044" t="s">
        <v>239</v>
      </c>
      <c r="G1044" t="s">
        <v>240</v>
      </c>
      <c r="H1044" t="s">
        <v>274</v>
      </c>
      <c r="I1044" t="s">
        <v>251</v>
      </c>
      <c r="J1044" t="s">
        <v>304</v>
      </c>
      <c r="K1044" t="s">
        <v>656</v>
      </c>
      <c r="L1044" t="s">
        <v>245</v>
      </c>
      <c r="M1044" t="s">
        <v>253</v>
      </c>
      <c r="N1044" t="s">
        <v>247</v>
      </c>
      <c r="P1044">
        <v>0.93</v>
      </c>
      <c r="Q1044">
        <v>1.48</v>
      </c>
      <c r="R1044">
        <f t="shared" si="97"/>
        <v>0.54999999999999993</v>
      </c>
      <c r="S1044">
        <v>10</v>
      </c>
      <c r="T1044">
        <f t="shared" si="98"/>
        <v>14.8</v>
      </c>
      <c r="U1044">
        <v>0.1</v>
      </c>
      <c r="V1044">
        <f t="shared" si="99"/>
        <v>1.4800000000000002</v>
      </c>
      <c r="W1044">
        <f t="shared" si="100"/>
        <v>13.32</v>
      </c>
      <c r="X1044">
        <v>0.7</v>
      </c>
      <c r="Y1044">
        <f t="shared" si="101"/>
        <v>14.02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00CC-FD4B-4057-B9FA-EDE1F6F797BE}">
  <dimension ref="A1:F42"/>
  <sheetViews>
    <sheetView showGridLines="0" tabSelected="1" topLeftCell="A14" zoomScale="90" zoomScaleNormal="90" workbookViewId="0">
      <selection activeCell="L45" sqref="L45"/>
    </sheetView>
  </sheetViews>
  <sheetFormatPr defaultRowHeight="12" x14ac:dyDescent="0.25"/>
  <cols>
    <col min="1" max="1" width="29.42578125" customWidth="1"/>
    <col min="2" max="2" width="19.5703125" customWidth="1"/>
    <col min="3" max="6" width="19.140625" customWidth="1"/>
    <col min="7" max="7" width="30.7109375" customWidth="1"/>
    <col min="8" max="8" width="18.42578125" customWidth="1"/>
  </cols>
  <sheetData>
    <row r="1" spans="1:3" ht="33.9" customHeight="1" x14ac:dyDescent="0.25">
      <c r="A1" t="s">
        <v>2162</v>
      </c>
    </row>
    <row r="4" spans="1:3" x14ac:dyDescent="0.25">
      <c r="A4" t="s">
        <v>217</v>
      </c>
      <c r="B4" t="s">
        <v>235</v>
      </c>
      <c r="C4" t="s">
        <v>2201</v>
      </c>
    </row>
    <row r="5" spans="1:3" x14ac:dyDescent="0.25">
      <c r="A5" t="s">
        <v>240</v>
      </c>
      <c r="B5">
        <f>SUMIFS(Total,State,A5)</f>
        <v>283640.56689999986</v>
      </c>
      <c r="C5">
        <f>COUNTIFS(State,A5)</f>
        <v>289</v>
      </c>
    </row>
    <row r="6" spans="1:3" x14ac:dyDescent="0.25">
      <c r="A6" t="s">
        <v>258</v>
      </c>
      <c r="B6">
        <f>SUMIFS(Total,State,A6)</f>
        <v>768723.21536199981</v>
      </c>
      <c r="C6">
        <f>COUNTIFS(State,A6)</f>
        <v>646</v>
      </c>
    </row>
    <row r="7" spans="1:3" x14ac:dyDescent="0.25">
      <c r="A7" t="s">
        <v>449</v>
      </c>
      <c r="B7">
        <f>SUMIFS(Total,State,A7)</f>
        <v>86443.147299999997</v>
      </c>
      <c r="C7">
        <f>COUNTIFS(State,A7)</f>
        <v>104</v>
      </c>
    </row>
    <row r="10" spans="1:3" x14ac:dyDescent="0.25">
      <c r="A10" t="s">
        <v>218</v>
      </c>
      <c r="B10" t="s">
        <v>235</v>
      </c>
      <c r="C10" t="s">
        <v>2201</v>
      </c>
    </row>
    <row r="11" spans="1:3" x14ac:dyDescent="0.25">
      <c r="A11" t="s">
        <v>241</v>
      </c>
      <c r="B11">
        <f>SUMIFS(Total,Customer_Type,A11)</f>
        <v>272528.74299999984</v>
      </c>
      <c r="C11">
        <f>COUNTIFS(Customer_Type,A11)</f>
        <v>264</v>
      </c>
    </row>
    <row r="12" spans="1:3" x14ac:dyDescent="0.25">
      <c r="A12" t="s">
        <v>274</v>
      </c>
      <c r="B12">
        <f>SUMIFS(Total,Customer_Type,A12)</f>
        <v>191942.84669999999</v>
      </c>
      <c r="C12">
        <f>COUNTIFS(Customer_Type,A12)</f>
        <v>177</v>
      </c>
    </row>
    <row r="13" spans="1:3" x14ac:dyDescent="0.25">
      <c r="A13" t="s">
        <v>293</v>
      </c>
      <c r="B13">
        <f>SUMIFS(Total,Customer_Type,A13)</f>
        <v>285074.24880000018</v>
      </c>
      <c r="C13">
        <f>COUNTIFS(Customer_Type,A13)</f>
        <v>221</v>
      </c>
    </row>
    <row r="14" spans="1:3" x14ac:dyDescent="0.25">
      <c r="A14" t="s">
        <v>259</v>
      </c>
      <c r="B14">
        <f>SUMIFS(Total,Customer_Type,A14)</f>
        <v>389261.09106200002</v>
      </c>
      <c r="C14">
        <f>COUNTIFS(Customer_Type,A14)</f>
        <v>377</v>
      </c>
    </row>
    <row r="17" spans="1:6" x14ac:dyDescent="0.25">
      <c r="A17" t="s">
        <v>2165</v>
      </c>
      <c r="B17">
        <f>COUNTIFS(Order_Quantity,"&gt;40")</f>
        <v>238</v>
      </c>
    </row>
    <row r="20" spans="1:6" x14ac:dyDescent="0.25">
      <c r="A20" t="s">
        <v>2166</v>
      </c>
      <c r="B20" t="s">
        <v>235</v>
      </c>
      <c r="C20">
        <v>2013</v>
      </c>
      <c r="D20">
        <v>2014</v>
      </c>
      <c r="E20">
        <v>2015</v>
      </c>
      <c r="F20">
        <v>2016</v>
      </c>
    </row>
    <row r="21" spans="1:6" x14ac:dyDescent="0.25">
      <c r="A21" t="s">
        <v>251</v>
      </c>
      <c r="B21">
        <f t="shared" ref="B21:B34" si="0">SUMIFS(Total,Account_Manager,A21)</f>
        <v>135493.75280000002</v>
      </c>
      <c r="C21">
        <f t="shared" ref="C21:F34" si="1">SUMIFS(Total,Account_Manager,$A21,Order_Year,C$20)</f>
        <v>8706.8624999999993</v>
      </c>
      <c r="D21">
        <f t="shared" si="1"/>
        <v>27899.607300000003</v>
      </c>
      <c r="E21">
        <f t="shared" si="1"/>
        <v>41877.791499999999</v>
      </c>
      <c r="F21">
        <f t="shared" si="1"/>
        <v>47802.912599999996</v>
      </c>
    </row>
    <row r="22" spans="1:6" x14ac:dyDescent="0.25">
      <c r="A22" t="s">
        <v>321</v>
      </c>
      <c r="B22">
        <f t="shared" si="0"/>
        <v>6771.1900999999989</v>
      </c>
      <c r="C22">
        <f t="shared" si="1"/>
        <v>5695.6566999999995</v>
      </c>
      <c r="D22">
        <f t="shared" si="1"/>
        <v>130.74239999999998</v>
      </c>
      <c r="E22">
        <f t="shared" si="1"/>
        <v>455.70100000000002</v>
      </c>
      <c r="F22">
        <f t="shared" si="1"/>
        <v>446.05959999999993</v>
      </c>
    </row>
    <row r="23" spans="1:6" x14ac:dyDescent="0.25">
      <c r="A23" t="s">
        <v>299</v>
      </c>
      <c r="B23">
        <f t="shared" si="0"/>
        <v>120790.28969999996</v>
      </c>
      <c r="C23">
        <f t="shared" si="1"/>
        <v>16049.806299999998</v>
      </c>
      <c r="D23">
        <f t="shared" si="1"/>
        <v>61179.227299999999</v>
      </c>
      <c r="E23">
        <f t="shared" si="1"/>
        <v>21588.616099999999</v>
      </c>
      <c r="F23">
        <f t="shared" si="1"/>
        <v>20619.863499999999</v>
      </c>
    </row>
    <row r="24" spans="1:6" x14ac:dyDescent="0.25">
      <c r="A24" t="s">
        <v>333</v>
      </c>
      <c r="B24">
        <f t="shared" si="0"/>
        <v>119236.70246200009</v>
      </c>
      <c r="C24">
        <f t="shared" si="1"/>
        <v>21750.561262000003</v>
      </c>
      <c r="D24">
        <f t="shared" si="1"/>
        <v>42012.128400000001</v>
      </c>
      <c r="E24">
        <f t="shared" si="1"/>
        <v>27109.998199999995</v>
      </c>
      <c r="F24">
        <f t="shared" si="1"/>
        <v>27979.720600000004</v>
      </c>
    </row>
    <row r="25" spans="1:6" x14ac:dyDescent="0.25">
      <c r="A25" t="s">
        <v>275</v>
      </c>
      <c r="B25">
        <f t="shared" si="0"/>
        <v>64114.236599999997</v>
      </c>
      <c r="C25">
        <f t="shared" si="1"/>
        <v>7613.9438</v>
      </c>
      <c r="D25">
        <f t="shared" si="1"/>
        <v>6856.232</v>
      </c>
      <c r="E25">
        <f t="shared" si="1"/>
        <v>20874.770600000003</v>
      </c>
      <c r="F25">
        <f t="shared" si="1"/>
        <v>27226.537100000001</v>
      </c>
    </row>
    <row r="26" spans="1:6" x14ac:dyDescent="0.25">
      <c r="A26" t="s">
        <v>381</v>
      </c>
      <c r="B26">
        <f t="shared" si="0"/>
        <v>84170.630400000024</v>
      </c>
      <c r="C26">
        <f t="shared" si="1"/>
        <v>5150.1589000000004</v>
      </c>
      <c r="D26">
        <f t="shared" si="1"/>
        <v>6707.860999999999</v>
      </c>
      <c r="E26">
        <f t="shared" si="1"/>
        <v>68219.158800000005</v>
      </c>
      <c r="F26">
        <f t="shared" si="1"/>
        <v>2807.2836999999995</v>
      </c>
    </row>
    <row r="27" spans="1:6" x14ac:dyDescent="0.25">
      <c r="A27" t="s">
        <v>260</v>
      </c>
      <c r="B27">
        <f t="shared" si="0"/>
        <v>86080.424799999993</v>
      </c>
      <c r="C27">
        <f t="shared" si="1"/>
        <v>6351.314800000001</v>
      </c>
      <c r="D27">
        <f t="shared" si="1"/>
        <v>14097.026299999998</v>
      </c>
      <c r="E27">
        <f t="shared" si="1"/>
        <v>31907.880899999996</v>
      </c>
      <c r="F27">
        <f t="shared" si="1"/>
        <v>26818.288</v>
      </c>
    </row>
    <row r="28" spans="1:6" x14ac:dyDescent="0.25">
      <c r="A28" t="s">
        <v>372</v>
      </c>
      <c r="B28">
        <f t="shared" si="0"/>
        <v>55738.247800000005</v>
      </c>
      <c r="C28">
        <f t="shared" si="1"/>
        <v>5187.7125999999998</v>
      </c>
      <c r="D28">
        <f t="shared" si="1"/>
        <v>33803.7598</v>
      </c>
      <c r="E28">
        <f t="shared" si="1"/>
        <v>13366.221600000001</v>
      </c>
      <c r="F28">
        <f t="shared" si="1"/>
        <v>2722.2123000000001</v>
      </c>
    </row>
    <row r="29" spans="1:6" x14ac:dyDescent="0.25">
      <c r="A29" t="s">
        <v>242</v>
      </c>
      <c r="B29">
        <f t="shared" si="0"/>
        <v>148146.81410000002</v>
      </c>
      <c r="C29">
        <f t="shared" si="1"/>
        <v>41077.482600000003</v>
      </c>
      <c r="D29">
        <f t="shared" si="1"/>
        <v>56246.561600000001</v>
      </c>
      <c r="E29">
        <f t="shared" si="1"/>
        <v>35551.66369999999</v>
      </c>
      <c r="F29">
        <f t="shared" si="1"/>
        <v>14032.223399999999</v>
      </c>
    </row>
    <row r="30" spans="1:6" x14ac:dyDescent="0.25">
      <c r="A30" t="s">
        <v>309</v>
      </c>
      <c r="B30">
        <f t="shared" si="0"/>
        <v>79645.753599999996</v>
      </c>
      <c r="C30">
        <f t="shared" si="1"/>
        <v>14278.113600000002</v>
      </c>
      <c r="D30">
        <f t="shared" si="1"/>
        <v>15766.073200000001</v>
      </c>
      <c r="E30">
        <f t="shared" si="1"/>
        <v>38901.419900000001</v>
      </c>
      <c r="F30">
        <f t="shared" si="1"/>
        <v>10683.4869</v>
      </c>
    </row>
    <row r="31" spans="1:6" x14ac:dyDescent="0.25">
      <c r="A31" t="s">
        <v>342</v>
      </c>
      <c r="B31">
        <f t="shared" si="0"/>
        <v>69318.893999999986</v>
      </c>
      <c r="C31">
        <f t="shared" si="1"/>
        <v>20296.341799999998</v>
      </c>
      <c r="D31">
        <f t="shared" si="1"/>
        <v>4190.5551000000005</v>
      </c>
      <c r="E31">
        <f t="shared" si="1"/>
        <v>2993.3495999999991</v>
      </c>
      <c r="F31">
        <f t="shared" si="1"/>
        <v>41701.218699999998</v>
      </c>
    </row>
    <row r="32" spans="1:6" x14ac:dyDescent="0.25">
      <c r="A32" t="s">
        <v>504</v>
      </c>
      <c r="B32">
        <f t="shared" si="0"/>
        <v>72189.382999999987</v>
      </c>
      <c r="C32">
        <f t="shared" si="1"/>
        <v>3991.8021999999996</v>
      </c>
      <c r="D32">
        <f t="shared" si="1"/>
        <v>36284.862799999995</v>
      </c>
      <c r="E32">
        <f t="shared" si="1"/>
        <v>21313.6908</v>
      </c>
      <c r="F32">
        <f t="shared" si="1"/>
        <v>10599.0272</v>
      </c>
    </row>
    <row r="33" spans="1:6" x14ac:dyDescent="0.25">
      <c r="A33" t="s">
        <v>492</v>
      </c>
      <c r="B33">
        <f t="shared" si="0"/>
        <v>18350.0468</v>
      </c>
      <c r="C33">
        <f t="shared" si="1"/>
        <v>538.94219999999996</v>
      </c>
      <c r="D33">
        <f t="shared" si="1"/>
        <v>3959.5741000000007</v>
      </c>
      <c r="E33">
        <f t="shared" si="1"/>
        <v>6498.4348000000009</v>
      </c>
      <c r="F33">
        <f t="shared" si="1"/>
        <v>7353.0956999999999</v>
      </c>
    </row>
    <row r="34" spans="1:6" x14ac:dyDescent="0.25">
      <c r="A34" t="s">
        <v>284</v>
      </c>
      <c r="B34">
        <f t="shared" si="0"/>
        <v>78760.563399999999</v>
      </c>
      <c r="C34">
        <f t="shared" si="1"/>
        <v>15062.0996</v>
      </c>
      <c r="D34">
        <f t="shared" si="1"/>
        <v>10097.448199999999</v>
      </c>
      <c r="E34">
        <f t="shared" si="1"/>
        <v>22104.2487</v>
      </c>
      <c r="F34">
        <f t="shared" si="1"/>
        <v>31496.766900000002</v>
      </c>
    </row>
    <row r="35" spans="1:6" x14ac:dyDescent="0.25">
      <c r="D35" t="s">
        <v>2168</v>
      </c>
    </row>
    <row r="37" spans="1:6" x14ac:dyDescent="0.25">
      <c r="A37" t="s">
        <v>2169</v>
      </c>
      <c r="B37" t="s">
        <v>258</v>
      </c>
      <c r="C37" t="s">
        <v>240</v>
      </c>
      <c r="D37" t="s">
        <v>449</v>
      </c>
      <c r="E37" t="s">
        <v>2170</v>
      </c>
    </row>
    <row r="38" spans="1:6" x14ac:dyDescent="0.25">
      <c r="A38">
        <v>2013</v>
      </c>
      <c r="B38">
        <f t="shared" ref="B38:D42" si="2">COUNTIFS(Order_Year,$A38,State,B$37)</f>
        <v>138</v>
      </c>
      <c r="C38">
        <f t="shared" si="2"/>
        <v>66</v>
      </c>
      <c r="D38">
        <f t="shared" si="2"/>
        <v>17</v>
      </c>
      <c r="E38">
        <f>SUMIFS(Total,Order_Year,A38)</f>
        <v>171750.79886199994</v>
      </c>
    </row>
    <row r="39" spans="1:6" x14ac:dyDescent="0.25">
      <c r="A39">
        <v>2014</v>
      </c>
      <c r="B39">
        <f t="shared" si="2"/>
        <v>147</v>
      </c>
      <c r="C39">
        <f t="shared" si="2"/>
        <v>70</v>
      </c>
      <c r="D39">
        <f t="shared" si="2"/>
        <v>25</v>
      </c>
      <c r="E39">
        <f>SUMIFS(Total,Order_Year,A39)</f>
        <v>319231.65950000001</v>
      </c>
    </row>
    <row r="40" spans="1:6" x14ac:dyDescent="0.25">
      <c r="A40">
        <v>2015</v>
      </c>
      <c r="B40">
        <f t="shared" si="2"/>
        <v>162</v>
      </c>
      <c r="C40">
        <f t="shared" si="2"/>
        <v>89</v>
      </c>
      <c r="D40">
        <f t="shared" si="2"/>
        <v>27</v>
      </c>
      <c r="E40">
        <f>SUMIFS(Total,Order_Year,A40)</f>
        <v>352762.94619999995</v>
      </c>
    </row>
    <row r="41" spans="1:6" x14ac:dyDescent="0.25">
      <c r="A41">
        <v>2016</v>
      </c>
      <c r="B41">
        <f t="shared" si="2"/>
        <v>181</v>
      </c>
      <c r="C41">
        <f t="shared" si="2"/>
        <v>59</v>
      </c>
      <c r="D41">
        <f t="shared" si="2"/>
        <v>33</v>
      </c>
      <c r="E41">
        <f>SUMIFS(Total,Order_Year,A41)</f>
        <v>272288.69620000001</v>
      </c>
    </row>
    <row r="42" spans="1:6" x14ac:dyDescent="0.25">
      <c r="A42">
        <v>2017</v>
      </c>
      <c r="B42">
        <f t="shared" si="2"/>
        <v>18</v>
      </c>
      <c r="C42">
        <f t="shared" si="2"/>
        <v>5</v>
      </c>
      <c r="D42">
        <f t="shared" si="2"/>
        <v>2</v>
      </c>
      <c r="E42">
        <f>SUMIFS(Total,Order_Year,A42)</f>
        <v>22772.828800000007</v>
      </c>
    </row>
  </sheetData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48</vt:i4>
      </vt:variant>
    </vt:vector>
  </HeadingPairs>
  <TitlesOfParts>
    <vt:vector size="61" baseType="lpstr">
      <vt:lpstr>HR Q3</vt:lpstr>
      <vt:lpstr>Sheet2</vt:lpstr>
      <vt:lpstr>Sheet1</vt:lpstr>
      <vt:lpstr>Sheet3</vt:lpstr>
      <vt:lpstr>Sheet1 (2)</vt:lpstr>
      <vt:lpstr>Staff</vt:lpstr>
      <vt:lpstr>Stats</vt:lpstr>
      <vt:lpstr>Orders</vt:lpstr>
      <vt:lpstr>Sales Dash</vt:lpstr>
      <vt:lpstr>Staff (2)</vt:lpstr>
      <vt:lpstr>Stats (2)</vt:lpstr>
      <vt:lpstr>Orders (2)</vt:lpstr>
      <vt:lpstr>Sales Dash (2)</vt:lpstr>
      <vt:lpstr>Account_Manager</vt:lpstr>
      <vt:lpstr>Address</vt:lpstr>
      <vt:lpstr>Annual_Salary</vt:lpstr>
      <vt:lpstr>City</vt:lpstr>
      <vt:lpstr>Cost_Price</vt:lpstr>
      <vt:lpstr>Customer_Name</vt:lpstr>
      <vt:lpstr>Customer_Type</vt:lpstr>
      <vt:lpstr>Date_of_Hire</vt:lpstr>
      <vt:lpstr>Department</vt:lpstr>
      <vt:lpstr>Discount</vt:lpstr>
      <vt:lpstr>Email</vt:lpstr>
      <vt:lpstr>Emp_ID</vt:lpstr>
      <vt:lpstr>Extension</vt:lpstr>
      <vt:lpstr>First</vt:lpstr>
      <vt:lpstr>Floor</vt:lpstr>
      <vt:lpstr>Gender</vt:lpstr>
      <vt:lpstr>Last</vt:lpstr>
      <vt:lpstr>Last_Review</vt:lpstr>
      <vt:lpstr>Location</vt:lpstr>
      <vt:lpstr>'HR Q3'!MileageRate</vt:lpstr>
      <vt:lpstr>Sheet2!MileageRate</vt:lpstr>
      <vt:lpstr>Sheet3!MileageRate</vt:lpstr>
      <vt:lpstr>MileageRate</vt:lpstr>
      <vt:lpstr>Next_Review</vt:lpstr>
      <vt:lpstr>Order_Date</vt:lpstr>
      <vt:lpstr>Order_No</vt:lpstr>
      <vt:lpstr>Order_Priority</vt:lpstr>
      <vt:lpstr>Order_Quantity</vt:lpstr>
      <vt:lpstr>Order_Total</vt:lpstr>
      <vt:lpstr>Order_Year</vt:lpstr>
      <vt:lpstr>Pension</vt:lpstr>
      <vt:lpstr>Pension_Rate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  <vt:lpstr>'HR Q3'!WeekEnding</vt:lpstr>
      <vt:lpstr>Sheet2!WeekEnding</vt:lpstr>
      <vt:lpstr>Sheet3!WeekEnding</vt:lpstr>
      <vt:lpstr>WeekEnding</vt:lpstr>
      <vt:lpstr>Years_Service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Maini</dc:creator>
  <cp:lastModifiedBy>Rishi Maini</cp:lastModifiedBy>
  <dcterms:created xsi:type="dcterms:W3CDTF">2026-01-04T18:58:10Z</dcterms:created>
  <dcterms:modified xsi:type="dcterms:W3CDTF">2026-01-10T17:45:51Z</dcterms:modified>
</cp:coreProperties>
</file>